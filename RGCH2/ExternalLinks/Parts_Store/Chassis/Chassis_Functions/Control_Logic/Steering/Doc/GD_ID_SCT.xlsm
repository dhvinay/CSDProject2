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my2020_MACHINE_INFO\branch\ExternalLinks\Parts_Store\Chassis\Chassis_Functions\Control_Logic\Steering\Doc\"/>
    </mc:Choice>
  </mc:AlternateContent>
  <bookViews>
    <workbookView xWindow="-8595" yWindow="3630" windowWidth="21825" windowHeight="10050"/>
  </bookViews>
  <sheets>
    <sheet name="SCT" sheetId="1" r:id="rId1"/>
  </sheets>
  <functionGroups builtInGroupCount="18"/>
  <externalReferences>
    <externalReference r:id="rId2"/>
    <externalReference r:id="rId3"/>
    <externalReference r:id="rId4"/>
  </externalReferences>
  <definedNames>
    <definedName name="App._1">#REF!</definedName>
    <definedName name="App._11">#REF!</definedName>
    <definedName name="App._12">#REF!</definedName>
    <definedName name="App._13">#REF!</definedName>
    <definedName name="App._14">#REF!</definedName>
    <definedName name="App._15">#REF!</definedName>
    <definedName name="App._16">#REF!</definedName>
    <definedName name="App._17">#REF!</definedName>
    <definedName name="App._18">#REF!</definedName>
    <definedName name="App._19">#REF!</definedName>
    <definedName name="App._2">#REF!</definedName>
    <definedName name="App._20">#REF!</definedName>
    <definedName name="App._21">#REF!</definedName>
    <definedName name="App._22">#REF!</definedName>
    <definedName name="App._23">#REF!</definedName>
    <definedName name="App._24">#REF!</definedName>
    <definedName name="App._25">#REF!</definedName>
    <definedName name="App._26">#REF!</definedName>
    <definedName name="App._27">#REF!</definedName>
    <definedName name="App._28">#REF!</definedName>
    <definedName name="App._29">#REF!</definedName>
    <definedName name="App._30">#REF!</definedName>
    <definedName name="App._5">#REF!</definedName>
    <definedName name="App._7">#REF!</definedName>
    <definedName name="App._8">#REF!</definedName>
    <definedName name="EBT_Anmerkung_1">#REF!</definedName>
    <definedName name="EBT_Anmerkung_2">#REF!</definedName>
    <definedName name="EHL_ANMERKUNG_1">#REF!</definedName>
    <definedName name="EHL_ANMERKUNG_2">#REF!</definedName>
    <definedName name="EMM_ANMERKUNG_1">#REF!</definedName>
    <definedName name="KHR_ANMERKUNG_1">[1]GD_ID!$A$70:$F$81</definedName>
    <definedName name="KHR_ANMERKUNG_2">[1]GD_ID!$A$83:$F$87</definedName>
    <definedName name="KHR_ANMERKUNG_3">[1]GD_ID!$A$89:$G$100</definedName>
    <definedName name="KHR_ANMERKUNG_4">[1]GD_ID!$A$102:$F$116</definedName>
    <definedName name="Machine_List" localSheetId="0">'[2]Routing-Data RG600'!$P$55:$P$60</definedName>
    <definedName name="Machine_List">'[3]Routing-Data RG3'!$P$23:$P$54</definedName>
    <definedName name="Machine_Select" localSheetId="0">'[2]Routing-Data RG600'!$P$31</definedName>
    <definedName name="Machine_Select">'[3]Routing-Data RG3'!$P$30</definedName>
    <definedName name="MFA_Anmerkung_1">#REF!</definedName>
    <definedName name="MFA_Anmerkung_10">#REF!</definedName>
    <definedName name="MFA_Anmerkung_11">#REF!</definedName>
    <definedName name="MFA_Anmerkung_2">#REF!</definedName>
    <definedName name="MFA_Anmerkung_3">#REF!</definedName>
    <definedName name="MFA_Anmerkung_4">#REF!</definedName>
    <definedName name="MFA_Anmerkung_5">#REF!</definedName>
    <definedName name="MFA_Anmerkung_6">#REF!</definedName>
    <definedName name="MFA_Anmerkung_7">#REF!</definedName>
    <definedName name="MFA_Anmerkung_8">#REF!</definedName>
    <definedName name="MFA_Anmerkung_9">#REF!</definedName>
  </definedNames>
  <calcPr calcId="152511"/>
</workbook>
</file>

<file path=xl/calcChain.xml><?xml version="1.0" encoding="utf-8"?>
<calcChain xmlns="http://schemas.openxmlformats.org/spreadsheetml/2006/main">
  <c r="N313" i="1" l="1"/>
  <c r="M313" i="1"/>
  <c r="O313" i="1" s="1"/>
  <c r="P313" i="1" s="1"/>
  <c r="C313" i="1"/>
  <c r="P312" i="1"/>
  <c r="O312" i="1"/>
  <c r="N312" i="1"/>
  <c r="M312" i="1"/>
  <c r="N311" i="1"/>
  <c r="M311" i="1"/>
  <c r="O311" i="1" s="1"/>
  <c r="P311" i="1" s="1"/>
  <c r="C311" i="1"/>
  <c r="P310" i="1"/>
  <c r="O310" i="1"/>
  <c r="N310" i="1"/>
  <c r="M310" i="1"/>
  <c r="N299" i="1"/>
  <c r="M299" i="1"/>
  <c r="O299" i="1" s="1"/>
  <c r="P299" i="1" s="1"/>
  <c r="P298" i="1"/>
  <c r="O298" i="1"/>
  <c r="N298" i="1"/>
  <c r="M298" i="1"/>
  <c r="N293" i="1"/>
  <c r="M293" i="1"/>
  <c r="O293" i="1" s="1"/>
  <c r="P293" i="1" s="1"/>
  <c r="N288" i="1"/>
  <c r="M288" i="1"/>
  <c r="O288" i="1" s="1"/>
  <c r="P288" i="1" s="1"/>
  <c r="N283" i="1"/>
  <c r="M283" i="1"/>
  <c r="O283" i="1" s="1"/>
  <c r="P283" i="1" s="1"/>
  <c r="N278" i="1"/>
  <c r="M278" i="1"/>
  <c r="O278" i="1" s="1"/>
  <c r="P278" i="1" s="1"/>
  <c r="P277" i="1"/>
  <c r="O277" i="1"/>
  <c r="N277" i="1"/>
  <c r="M277" i="1"/>
  <c r="P276" i="1"/>
  <c r="O276" i="1"/>
  <c r="N276" i="1"/>
  <c r="M276" i="1"/>
  <c r="N275" i="1"/>
  <c r="M275" i="1"/>
  <c r="O275" i="1" s="1"/>
  <c r="P275" i="1" s="1"/>
  <c r="N273" i="1"/>
  <c r="M273" i="1"/>
  <c r="O273" i="1" s="1"/>
  <c r="P273" i="1" s="1"/>
  <c r="P272" i="1"/>
  <c r="O272" i="1"/>
  <c r="N272" i="1"/>
  <c r="M272" i="1"/>
  <c r="P271" i="1"/>
  <c r="O271" i="1"/>
  <c r="N271" i="1"/>
  <c r="M271" i="1"/>
  <c r="P270" i="1"/>
  <c r="O270" i="1"/>
  <c r="N270" i="1"/>
  <c r="M270" i="1"/>
  <c r="N269" i="1"/>
  <c r="M269" i="1"/>
  <c r="O269" i="1" s="1"/>
  <c r="P269" i="1" s="1"/>
  <c r="P268" i="1"/>
  <c r="O268" i="1"/>
  <c r="N268" i="1"/>
  <c r="M268" i="1"/>
  <c r="N266" i="1"/>
  <c r="M266" i="1"/>
  <c r="O266" i="1" s="1"/>
  <c r="P266" i="1" s="1"/>
  <c r="N262" i="1"/>
  <c r="M262" i="1"/>
  <c r="O262" i="1" s="1"/>
  <c r="P262" i="1" s="1"/>
  <c r="N261" i="1"/>
  <c r="M261" i="1"/>
  <c r="O261" i="1" s="1"/>
  <c r="P261" i="1" s="1"/>
  <c r="N260" i="1"/>
  <c r="M260" i="1"/>
  <c r="O260" i="1" s="1"/>
  <c r="P260" i="1" s="1"/>
  <c r="O256" i="1"/>
  <c r="P256" i="1" s="1"/>
  <c r="N256" i="1"/>
  <c r="M256" i="1"/>
  <c r="N255" i="1"/>
  <c r="M255" i="1"/>
  <c r="O255" i="1" s="1"/>
  <c r="P255" i="1" s="1"/>
  <c r="N254" i="1"/>
  <c r="M254" i="1"/>
  <c r="O254" i="1" s="1"/>
  <c r="P254" i="1" s="1"/>
  <c r="N253" i="1"/>
  <c r="M253" i="1"/>
  <c r="O253" i="1" s="1"/>
  <c r="P253" i="1" s="1"/>
  <c r="N252" i="1"/>
  <c r="M252" i="1"/>
  <c r="O252" i="1" s="1"/>
  <c r="P252" i="1" s="1"/>
  <c r="N251" i="1"/>
  <c r="M251" i="1"/>
  <c r="O251" i="1" s="1"/>
  <c r="P251" i="1" s="1"/>
  <c r="O249" i="1"/>
  <c r="P249" i="1" s="1"/>
  <c r="N249" i="1"/>
  <c r="M249" i="1"/>
  <c r="N246" i="1"/>
  <c r="M246" i="1"/>
  <c r="O246" i="1" s="1"/>
  <c r="P246" i="1" s="1"/>
  <c r="N241" i="1"/>
  <c r="M241" i="1"/>
  <c r="O241" i="1" s="1"/>
  <c r="P241" i="1" s="1"/>
  <c r="N239" i="1"/>
  <c r="M239" i="1"/>
  <c r="O239" i="1" s="1"/>
  <c r="P239" i="1" s="1"/>
  <c r="O237" i="1"/>
  <c r="P237" i="1" s="1"/>
  <c r="N237" i="1"/>
  <c r="M237" i="1"/>
  <c r="N235" i="1"/>
  <c r="M235" i="1"/>
  <c r="O235" i="1" s="1"/>
  <c r="P235" i="1" s="1"/>
  <c r="N230" i="1"/>
  <c r="M230" i="1"/>
  <c r="O230" i="1" s="1"/>
  <c r="P230" i="1" s="1"/>
  <c r="N228" i="1"/>
  <c r="M228" i="1"/>
  <c r="O228" i="1" s="1"/>
  <c r="P228" i="1" s="1"/>
  <c r="N226" i="1"/>
  <c r="M226" i="1"/>
  <c r="O226" i="1" s="1"/>
  <c r="P226" i="1" s="1"/>
  <c r="N224" i="1"/>
  <c r="M224" i="1"/>
  <c r="O224" i="1" s="1"/>
  <c r="P224" i="1" s="1"/>
  <c r="O222" i="1"/>
  <c r="P222" i="1" s="1"/>
  <c r="N222" i="1"/>
  <c r="M222" i="1"/>
  <c r="N220" i="1"/>
  <c r="M220" i="1"/>
  <c r="O220" i="1" s="1"/>
  <c r="P220" i="1" s="1"/>
  <c r="N218" i="1"/>
  <c r="M218" i="1"/>
  <c r="O218" i="1" s="1"/>
  <c r="P218" i="1" s="1"/>
  <c r="N216" i="1"/>
  <c r="M216" i="1"/>
  <c r="O216" i="1" s="1"/>
  <c r="P216" i="1" s="1"/>
  <c r="O207" i="1"/>
  <c r="P207" i="1" s="1"/>
  <c r="N207" i="1"/>
  <c r="M207" i="1"/>
  <c r="N205" i="1"/>
  <c r="M205" i="1"/>
  <c r="O205" i="1" s="1"/>
  <c r="P205" i="1" s="1"/>
  <c r="N201" i="1"/>
  <c r="M201" i="1"/>
  <c r="O201" i="1" s="1"/>
  <c r="P201" i="1" s="1"/>
  <c r="N200" i="1"/>
  <c r="M200" i="1"/>
  <c r="O200" i="1" s="1"/>
  <c r="P200" i="1" s="1"/>
  <c r="O199" i="1"/>
  <c r="P199" i="1" s="1"/>
  <c r="N199" i="1"/>
  <c r="M199" i="1"/>
  <c r="N198" i="1"/>
  <c r="M198" i="1"/>
  <c r="O198" i="1" s="1"/>
  <c r="P198" i="1" s="1"/>
  <c r="O195" i="1"/>
  <c r="P195" i="1" s="1"/>
  <c r="N195" i="1"/>
  <c r="M195" i="1"/>
  <c r="N194" i="1"/>
  <c r="M194" i="1"/>
  <c r="O194" i="1" s="1"/>
  <c r="P194" i="1" s="1"/>
  <c r="N193" i="1"/>
  <c r="M193" i="1"/>
  <c r="O193" i="1" s="1"/>
  <c r="P193" i="1" s="1"/>
  <c r="N192" i="1"/>
  <c r="M192" i="1"/>
  <c r="O192" i="1" s="1"/>
  <c r="P192" i="1" s="1"/>
  <c r="N190" i="1"/>
  <c r="M190" i="1"/>
  <c r="O190" i="1" s="1"/>
  <c r="P190" i="1" s="1"/>
  <c r="N188" i="1"/>
  <c r="M188" i="1"/>
  <c r="O188" i="1" s="1"/>
  <c r="P188" i="1" s="1"/>
  <c r="N183" i="1"/>
  <c r="M183" i="1"/>
  <c r="O183" i="1" s="1"/>
  <c r="P183" i="1" s="1"/>
  <c r="N178" i="1"/>
  <c r="M178" i="1"/>
  <c r="O178" i="1" s="1"/>
  <c r="P178" i="1" s="1"/>
  <c r="N173" i="1"/>
  <c r="M173" i="1"/>
  <c r="O173" i="1" s="1"/>
  <c r="P173" i="1" s="1"/>
  <c r="P172" i="1"/>
  <c r="O172" i="1"/>
  <c r="N172" i="1"/>
  <c r="M172" i="1"/>
  <c r="P171" i="1"/>
  <c r="O171" i="1"/>
  <c r="N171" i="1"/>
  <c r="M171" i="1"/>
  <c r="P170" i="1"/>
  <c r="O170" i="1"/>
  <c r="N170" i="1"/>
  <c r="M170" i="1"/>
  <c r="P169" i="1"/>
  <c r="O169" i="1"/>
  <c r="N169" i="1"/>
  <c r="M169" i="1"/>
  <c r="P168" i="1"/>
  <c r="O168" i="1"/>
  <c r="N168" i="1"/>
  <c r="M168" i="1"/>
  <c r="P167" i="1"/>
  <c r="O167" i="1"/>
  <c r="N167" i="1"/>
  <c r="M167" i="1"/>
  <c r="P166" i="1"/>
  <c r="O166" i="1"/>
  <c r="N166" i="1"/>
  <c r="M166" i="1"/>
  <c r="P165" i="1"/>
  <c r="O165" i="1"/>
  <c r="N165" i="1"/>
  <c r="M165" i="1"/>
  <c r="P164" i="1"/>
  <c r="O164" i="1"/>
  <c r="N164" i="1"/>
  <c r="M164" i="1"/>
  <c r="P163" i="1"/>
  <c r="O163" i="1"/>
  <c r="N163" i="1"/>
  <c r="M163" i="1"/>
  <c r="P162" i="1"/>
  <c r="O162" i="1"/>
  <c r="N162" i="1"/>
  <c r="M162" i="1"/>
  <c r="P161" i="1"/>
  <c r="O161" i="1"/>
  <c r="N161" i="1"/>
  <c r="M161" i="1"/>
  <c r="N160" i="1"/>
  <c r="M160" i="1"/>
  <c r="O160" i="1" s="1"/>
  <c r="P160" i="1" s="1"/>
  <c r="N159" i="1"/>
  <c r="M159" i="1"/>
  <c r="O159" i="1" s="1"/>
  <c r="P159" i="1" s="1"/>
  <c r="P158" i="1"/>
  <c r="O158" i="1"/>
  <c r="N158" i="1"/>
  <c r="M158" i="1"/>
  <c r="P157" i="1"/>
  <c r="O157" i="1"/>
  <c r="N157" i="1"/>
  <c r="M157" i="1"/>
  <c r="P156" i="1"/>
  <c r="O156" i="1"/>
  <c r="N156" i="1"/>
  <c r="M156" i="1"/>
  <c r="P155" i="1"/>
  <c r="O155" i="1"/>
  <c r="N155" i="1"/>
  <c r="M155" i="1"/>
  <c r="P154" i="1"/>
  <c r="O154" i="1"/>
  <c r="N154" i="1"/>
  <c r="M154" i="1"/>
  <c r="P153" i="1"/>
  <c r="O153" i="1"/>
  <c r="N153" i="1"/>
  <c r="M153" i="1"/>
  <c r="P152" i="1"/>
  <c r="O152" i="1"/>
  <c r="N152" i="1"/>
  <c r="M152" i="1"/>
  <c r="P151" i="1"/>
  <c r="O151" i="1"/>
  <c r="N151" i="1"/>
  <c r="M151" i="1"/>
  <c r="P150" i="1"/>
  <c r="O150" i="1"/>
  <c r="N150" i="1"/>
  <c r="M150" i="1"/>
  <c r="P149" i="1"/>
  <c r="O149" i="1"/>
  <c r="N149" i="1"/>
  <c r="M149" i="1"/>
  <c r="P148" i="1"/>
  <c r="O148" i="1"/>
  <c r="N148" i="1"/>
  <c r="M148" i="1"/>
  <c r="N147" i="1"/>
  <c r="M147" i="1"/>
  <c r="O147" i="1" s="1"/>
  <c r="P147" i="1" s="1"/>
  <c r="N145" i="1"/>
  <c r="M145" i="1"/>
  <c r="O145" i="1" s="1"/>
  <c r="P145" i="1" s="1"/>
  <c r="N143" i="1"/>
  <c r="M143" i="1"/>
  <c r="O143" i="1" s="1"/>
  <c r="P143" i="1" s="1"/>
  <c r="P142" i="1"/>
  <c r="O142" i="1"/>
  <c r="N142" i="1"/>
  <c r="M142" i="1"/>
  <c r="N140" i="1"/>
  <c r="M140" i="1"/>
  <c r="O140" i="1" s="1"/>
  <c r="P140" i="1" s="1"/>
  <c r="N134" i="1"/>
  <c r="M134" i="1"/>
  <c r="O134" i="1" s="1"/>
  <c r="P134" i="1" s="1"/>
  <c r="O128" i="1"/>
  <c r="P128" i="1" s="1"/>
  <c r="N128" i="1"/>
  <c r="M128" i="1"/>
  <c r="P127" i="1"/>
  <c r="O127" i="1"/>
  <c r="N127" i="1"/>
  <c r="M127" i="1"/>
  <c r="P126" i="1"/>
  <c r="O126" i="1"/>
  <c r="N126" i="1"/>
  <c r="M126" i="1"/>
  <c r="P125" i="1"/>
  <c r="O125" i="1"/>
  <c r="N125" i="1"/>
  <c r="M125" i="1"/>
  <c r="P124" i="1"/>
  <c r="O124" i="1"/>
  <c r="N124" i="1"/>
  <c r="M124" i="1"/>
  <c r="N123" i="1"/>
  <c r="M123" i="1"/>
  <c r="O123" i="1" s="1"/>
  <c r="P123" i="1" s="1"/>
  <c r="N122" i="1"/>
  <c r="M122" i="1"/>
  <c r="O122" i="1" s="1"/>
  <c r="P122" i="1" s="1"/>
  <c r="P121" i="1"/>
  <c r="O121" i="1"/>
  <c r="N121" i="1"/>
  <c r="M121" i="1"/>
  <c r="P120" i="1"/>
  <c r="O120" i="1"/>
  <c r="N120" i="1"/>
  <c r="M120" i="1"/>
  <c r="N119" i="1"/>
  <c r="M119" i="1"/>
  <c r="O119" i="1" s="1"/>
  <c r="P119" i="1" s="1"/>
  <c r="N118" i="1"/>
  <c r="M118" i="1"/>
  <c r="O118" i="1" s="1"/>
  <c r="P118" i="1" s="1"/>
  <c r="N117" i="1"/>
  <c r="M117" i="1"/>
  <c r="O117" i="1" s="1"/>
  <c r="P117" i="1" s="1"/>
  <c r="N116" i="1"/>
  <c r="M116" i="1"/>
  <c r="O116" i="1" s="1"/>
  <c r="P116" i="1" s="1"/>
  <c r="N115" i="1"/>
  <c r="M115" i="1"/>
  <c r="O115" i="1" s="1"/>
  <c r="P115" i="1" s="1"/>
  <c r="N114" i="1"/>
  <c r="M114" i="1"/>
  <c r="O114" i="1" s="1"/>
  <c r="P114" i="1" s="1"/>
  <c r="P113" i="1"/>
  <c r="O113" i="1"/>
  <c r="N113" i="1"/>
  <c r="M113" i="1"/>
  <c r="P112" i="1"/>
  <c r="O112" i="1"/>
  <c r="N112" i="1"/>
  <c r="M112" i="1"/>
  <c r="P111" i="1"/>
  <c r="O111" i="1"/>
  <c r="N111" i="1"/>
  <c r="M111" i="1"/>
  <c r="N109" i="1"/>
  <c r="M109" i="1"/>
  <c r="O109" i="1" s="1"/>
  <c r="P109" i="1" s="1"/>
  <c r="N107" i="1"/>
  <c r="M107" i="1"/>
  <c r="O107" i="1" s="1"/>
  <c r="P107" i="1" s="1"/>
  <c r="N105" i="1"/>
  <c r="M105" i="1"/>
  <c r="O105" i="1" s="1"/>
  <c r="P105" i="1" s="1"/>
  <c r="N103" i="1"/>
  <c r="M103" i="1"/>
  <c r="O103" i="1" s="1"/>
  <c r="P103" i="1" s="1"/>
  <c r="N101" i="1"/>
  <c r="M101" i="1"/>
  <c r="O101" i="1" s="1"/>
  <c r="P101" i="1" s="1"/>
  <c r="P100" i="1"/>
  <c r="O100" i="1"/>
  <c r="N100" i="1"/>
  <c r="M100" i="1"/>
  <c r="P99" i="1"/>
  <c r="O99" i="1"/>
  <c r="N99" i="1"/>
  <c r="M99" i="1"/>
  <c r="P98" i="1"/>
  <c r="O98" i="1"/>
  <c r="N98" i="1"/>
  <c r="M98" i="1"/>
  <c r="P97" i="1"/>
  <c r="O97" i="1"/>
  <c r="N97" i="1"/>
  <c r="M97" i="1"/>
  <c r="P96" i="1"/>
  <c r="O96" i="1"/>
  <c r="N96" i="1"/>
  <c r="M96" i="1"/>
  <c r="N92" i="1"/>
  <c r="M92" i="1"/>
  <c r="O92" i="1" s="1"/>
  <c r="P92" i="1" s="1"/>
  <c r="N90" i="1"/>
  <c r="M90" i="1"/>
  <c r="O90" i="1" s="1"/>
  <c r="P90" i="1" s="1"/>
  <c r="P83" i="1"/>
  <c r="O83" i="1"/>
  <c r="N83" i="1"/>
  <c r="M83" i="1"/>
  <c r="N75" i="1"/>
  <c r="M75" i="1"/>
  <c r="O75" i="1" s="1"/>
  <c r="P75" i="1" s="1"/>
  <c r="N43" i="1"/>
  <c r="M43" i="1"/>
  <c r="O43" i="1" s="1"/>
  <c r="P43" i="1" s="1"/>
  <c r="P42" i="1"/>
  <c r="O42" i="1"/>
  <c r="N42" i="1"/>
  <c r="M42" i="1"/>
  <c r="P41" i="1"/>
  <c r="O41" i="1"/>
  <c r="N41" i="1"/>
  <c r="M41" i="1"/>
  <c r="P40" i="1"/>
  <c r="O40" i="1"/>
  <c r="N40" i="1"/>
  <c r="M40" i="1"/>
  <c r="P39" i="1"/>
  <c r="O39" i="1"/>
  <c r="N39" i="1"/>
  <c r="M39" i="1"/>
  <c r="N38" i="1"/>
  <c r="M38" i="1"/>
  <c r="O38" i="1" s="1"/>
  <c r="P38" i="1" s="1"/>
  <c r="P37" i="1"/>
  <c r="O37" i="1"/>
  <c r="N37" i="1"/>
  <c r="M37" i="1"/>
  <c r="P36" i="1"/>
  <c r="O36" i="1"/>
  <c r="N36" i="1"/>
  <c r="M36" i="1"/>
  <c r="P35" i="1"/>
  <c r="O35" i="1"/>
  <c r="N35" i="1"/>
  <c r="M35" i="1"/>
  <c r="P34" i="1"/>
  <c r="O34" i="1"/>
  <c r="N34" i="1"/>
  <c r="M34" i="1"/>
  <c r="P33" i="1"/>
  <c r="O33" i="1"/>
  <c r="N33" i="1"/>
  <c r="M33" i="1"/>
  <c r="P32" i="1"/>
  <c r="O32" i="1"/>
  <c r="N32" i="1"/>
  <c r="M32" i="1"/>
  <c r="P31" i="1"/>
  <c r="O31" i="1"/>
  <c r="N31" i="1"/>
  <c r="M31" i="1"/>
  <c r="N22" i="1"/>
  <c r="M22" i="1"/>
  <c r="O22" i="1" s="1"/>
  <c r="P22" i="1" s="1"/>
  <c r="N12" i="1"/>
  <c r="M12" i="1"/>
  <c r="O12" i="1" s="1"/>
  <c r="P12" i="1" s="1"/>
  <c r="N11" i="1"/>
  <c r="M11" i="1"/>
  <c r="O11" i="1" s="1"/>
  <c r="P11" i="1" s="1"/>
</calcChain>
</file>

<file path=xl/comments1.xml><?xml version="1.0" encoding="utf-8"?>
<comments xmlns="http://schemas.openxmlformats.org/spreadsheetml/2006/main">
  <authors>
    <author>AGCO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ECU Logical Node Name</t>
        </r>
      </text>
    </comment>
    <comment ref="D3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short name for ECU logical name</t>
        </r>
      </text>
    </comment>
    <comment ref="A310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Never leave blank spaces between the rows. This will affect generation of files</t>
        </r>
      </text>
    </comment>
    <comment ref="A311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494 for error message signal. This holds good for all logical nodes
</t>
        </r>
      </text>
    </comment>
    <comment ref="A313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Make sure to enter 511 for life message. This holds good for all the logical nodes
</t>
        </r>
      </text>
    </comment>
  </commentList>
</comments>
</file>

<file path=xl/sharedStrings.xml><?xml version="1.0" encoding="utf-8"?>
<sst xmlns="http://schemas.openxmlformats.org/spreadsheetml/2006/main" count="870" uniqueCount="351">
  <si>
    <t>Steering Control Module</t>
  </si>
  <si>
    <t>Logical name:</t>
  </si>
  <si>
    <t>SCT</t>
  </si>
  <si>
    <t>Physical Node:</t>
  </si>
  <si>
    <t>Logical Node:</t>
  </si>
  <si>
    <t>Index
0 - 511</t>
  </si>
  <si>
    <t>Status</t>
  </si>
  <si>
    <t>Variable Name
Begin with GD_ID_XXX_</t>
  </si>
  <si>
    <t>Access
R, W, R/W</t>
  </si>
  <si>
    <t>Data - Min/Max</t>
  </si>
  <si>
    <t>Offset</t>
  </si>
  <si>
    <t>Scaling</t>
  </si>
  <si>
    <t>Unit</t>
  </si>
  <si>
    <t>Data
Dimension</t>
  </si>
  <si>
    <t>Description</t>
  </si>
  <si>
    <t>Subscriber Number</t>
  </si>
  <si>
    <t>Globaler Index</t>
  </si>
  <si>
    <t>NT01 Reference</t>
  </si>
  <si>
    <t>Used by EDT</t>
  </si>
  <si>
    <t>Node/s to Respond to Variable</t>
  </si>
  <si>
    <t>Nodes to Request Variable</t>
  </si>
  <si>
    <t>Nodes to Immediate Write Variable</t>
  </si>
  <si>
    <t>Value Table Name For 16 Bit Value</t>
  </si>
  <si>
    <t>Value Text Description</t>
  </si>
  <si>
    <t>Value</t>
  </si>
  <si>
    <t>Bit Table Name For 1 Bit Status</t>
  </si>
  <si>
    <t>Bit Value Description</t>
  </si>
  <si>
    <t>Bit Value</t>
  </si>
  <si>
    <t>(P/I/R)</t>
  </si>
  <si>
    <t>DB5 - Bit7</t>
  </si>
  <si>
    <t xml:space="preserve">MIN </t>
  </si>
  <si>
    <t>Max</t>
  </si>
  <si>
    <t>Factor</t>
  </si>
  <si>
    <t>Logical Node</t>
  </si>
  <si>
    <t>Phy Node</t>
  </si>
  <si>
    <t>Dec</t>
  </si>
  <si>
    <t>Hex</t>
  </si>
  <si>
    <t>GD_ID_SCT_ENABLE</t>
  </si>
  <si>
    <t>R/W</t>
  </si>
  <si>
    <t>---</t>
  </si>
  <si>
    <t>Supported steering protocols</t>
  </si>
  <si>
    <t>GD_ID_SCT_MODUL_OUT_STATUS</t>
  </si>
  <si>
    <t>R</t>
  </si>
  <si>
    <t>Status vector of the SCT module (output)</t>
  </si>
  <si>
    <t>XXXXXXXXXXXXXXXXXXXXX</t>
  </si>
  <si>
    <t>(Byte 6, Bit 0) - SCT_OUT_SYSTEM_PREACTIVE</t>
  </si>
  <si>
    <t>(Byte 6, Bit 1) - SCT_OUT_SYSTEM_ACTIVE</t>
  </si>
  <si>
    <t>(Byte 6, Bit 2) - SCT_OUT_SYSTEM_ERROR</t>
  </si>
  <si>
    <t>(Byte 6, Bit 3) - SCT_OUT_FEELER_GUIDANCE_ACTIVATED</t>
  </si>
  <si>
    <t xml:space="preserve">(Byte 6, Bit 4) - SCT_OUT_CALIB_ACTIVE </t>
  </si>
  <si>
    <t>(Byte 6, Bit 5) - SCT_OUT_OVERLAY_STEERING_ACTIVE</t>
  </si>
  <si>
    <t>(Byte 6, Bit 6) - SCT_OUT_NO_GUIDANCE_SYSTEM_CHOSEN</t>
  </si>
  <si>
    <t>(Byte 6, Bit 7) - SCT_OUT_ROW_FINDER_NOT_ACTIVE</t>
  </si>
  <si>
    <t>(Byte 7, Bit 1) - SCT_OUT_MULTIPLE_CAN_VALVES_WITH_ADR_0</t>
  </si>
  <si>
    <t>GD_ID_SCT_MODUL_IN_STATUS</t>
  </si>
  <si>
    <t>W</t>
  </si>
  <si>
    <t>Status vector of the SCT module (input)</t>
  </si>
  <si>
    <t>(Byte 6, Bit 0) - SCT_IN_SWITCH_AUTOGUIDE_OFF</t>
  </si>
  <si>
    <t xml:space="preserve">(Byte 6, Bit 1) - SCT_IN_SWITCH_AUTOGUIDE_PREACTIVE </t>
  </si>
  <si>
    <t xml:space="preserve">(Byte 6, Bit 2) - SCT_IN_SWITCH_AUTOGUIDE_ACTIVE </t>
  </si>
  <si>
    <t>(Byte 6, Bit 3) - SCT_IN_ENGINE_RUNNING</t>
  </si>
  <si>
    <t xml:space="preserve">(Byte 6, Bit 4) - SCT_IN_SEAT_SWITCH_ON </t>
  </si>
  <si>
    <t xml:space="preserve">(Byte 6, Bit 5) - SCT_IN_SEAT_SWITCH_OFF </t>
  </si>
  <si>
    <t>(Byte 6, Bit 6) - SCT_IN_FIELD_MODE_ACTIVE</t>
  </si>
  <si>
    <t>(Byte 6, Bit 7) - SCT_IN_STOP</t>
  </si>
  <si>
    <t>GD_ID_SCT_STATUSDISPLAY_TERMINAL</t>
  </si>
  <si>
    <t>Current state of the SCT module for displaying in the terminal</t>
  </si>
  <si>
    <t>SCT_OFF</t>
  </si>
  <si>
    <t>SCT_PREACTIVE</t>
  </si>
  <si>
    <t>SCT_ACTIVE</t>
  </si>
  <si>
    <t>GD_ID_SCT_TURNING_OFF_REASON</t>
  </si>
  <si>
    <t>Turning off reason of the automatic steering</t>
  </si>
  <si>
    <t>SCT_CHANGE_STATE_REASON_NONE</t>
  </si>
  <si>
    <t>SCT_CHANGE_STATE_REASON_USER_OVERRIDE</t>
  </si>
  <si>
    <t>SCT_CHANGE_STATE_REASON_BUTTON_ASSISTED_STEERING_PRESSED</t>
  </si>
  <si>
    <t>SCT_CHANGE_STATE_REASON_BUTTON_AUTO_STEERING_PRESSED</t>
  </si>
  <si>
    <t>SCT_CHANGE_STATE_REASON_OPERATOR_PRESENCE</t>
  </si>
  <si>
    <t>SCT_CHANGE_STATE_REASON_EXTERNAL_ACCESS</t>
  </si>
  <si>
    <t>SCT_CHANGE_STATE_REASON_ERROR_REGARDING_EXTERNAL_ACCESS</t>
  </si>
  <si>
    <t>SCT_CHANGE_STATE_REASON_SAFE_STATE_REGARDING_EXTERNAL_ACCESS</t>
  </si>
  <si>
    <t>SCT_CHANGE_STATE_REASON_BSAC_DEACTIVATION</t>
  </si>
  <si>
    <t>SCT_CHANGE_STATE_REASON_BSAC_NOT_AVAILABLE</t>
  </si>
  <si>
    <t>SCT_CHANGE_STATE_REASON_BSAC_TIMEOUT</t>
  </si>
  <si>
    <t>SCT_CHANGE_STATE_REASON_SPEED_LIMIT</t>
  </si>
  <si>
    <t>SCT_CHANGE_STATE_REASON_SPEED_ERROR</t>
  </si>
  <si>
    <t>SCT_CHANGE_STATE_REASON_IGNITION_OFF</t>
  </si>
  <si>
    <t>SCT_CHANGE_STATE_REASON_ENGINE_NOT_RUNNING</t>
  </si>
  <si>
    <t>SCT_CHANGE_STATE_REASON_SWS_STEERING_VALVE_CALIBRATION_ERROR</t>
  </si>
  <si>
    <t>SCT_CHANGE_STATE_REASON_EMERGENCY_OPERATION</t>
  </si>
  <si>
    <t>SCT_CHANGE_STATE_REASON_ERROR_MFA</t>
  </si>
  <si>
    <t>SCT_CHANGE_STATE_REASON_ERROR_OPERATOR_PRESENCE</t>
  </si>
  <si>
    <t>SCT_CHANGE_STATE_REASON_STEERING_WHEEL_CUT_OFF_VALVE</t>
  </si>
  <si>
    <t>SCT_CHANGE_STATE_REASON_ERROR_PILOT_PRESSURE_VALVE</t>
  </si>
  <si>
    <t>SCT_CHANGE_STATE_REASON_ERROR_WAS</t>
  </si>
  <si>
    <t>SCT_CHANGE_STATE_REASON_ERROR_SWS</t>
  </si>
  <si>
    <t>SCT_CHANGE_STATE_REASON_ERROR_PVED</t>
  </si>
  <si>
    <t>SCT_CHANGE_STATE_REASON_ERROR_PVED_NEUTRAL</t>
  </si>
  <si>
    <t>SCT_CHANGE_STATE_REASON_PLAUSI_ASSISTANCE_STEERING</t>
  </si>
  <si>
    <t>SCT_CHANGE_STATE_REASON_PLAUSI_AUTOMATIC_STEERING</t>
  </si>
  <si>
    <t>SCT_CHANGE_STATE_REASON_SYSTEM_ERROR</t>
  </si>
  <si>
    <t>SCT_CHANGE_STATE_REASON_MULTI_ERRORS</t>
  </si>
  <si>
    <t>SCT_CHANGE_STATE_REASON_WAS_CALIBRATION</t>
  </si>
  <si>
    <t>SCT_CHANGE_STATE_REASON_SWITCH_TO_OFF_REQUEST</t>
  </si>
  <si>
    <t>SCT_CHANGE_STATE_REASON_SWITCH_TO_ON_REQUEST</t>
  </si>
  <si>
    <t>GD_ID_SCT_STATE</t>
  </si>
  <si>
    <t>State of the steering system</t>
  </si>
  <si>
    <t>(Byte 6) - STATUS_NONE = 0</t>
  </si>
  <si>
    <t>(Byte 6) - STATUS_INIT = 1</t>
  </si>
  <si>
    <t>(Byte 6) - STATUS_OFF = 2</t>
  </si>
  <si>
    <t>(Byte 6) - STATUS_STANDBY = 3</t>
  </si>
  <si>
    <t>(Byte 6) - STATUS_ON = 4</t>
  </si>
  <si>
    <t>(Byte 6) - STATUS_PRE_ACTIVE = 5</t>
  </si>
  <si>
    <t>(Byte 6) - STATUS_ACTIVE = 6</t>
  </si>
  <si>
    <t>(Byte 6) - STATUS_POST_ACTIVE = 7</t>
  </si>
  <si>
    <t>(Byte 6) - STATUS_POST_ON = 8</t>
  </si>
  <si>
    <t>(Byte 6) - STATUS_CALIB = 9</t>
  </si>
  <si>
    <t>(Byte 7, Bit 0 - Bit 3) - feature deactivated (assisted steering) = 0</t>
  </si>
  <si>
    <t>(Byte 7, Bit 0 - Bit 3) - Superimposed steering) = 1</t>
  </si>
  <si>
    <t>(Byte 7, Bit 4 - Bit 7) - feature deactivated (automatic steering) = 0</t>
  </si>
  <si>
    <t>(Byte 7, Bit 4 - Bit 7) - VarioGUIDE = 1</t>
  </si>
  <si>
    <t>GD_ID_SCT_VOTED_ACTIVE_CLASS_1</t>
  </si>
  <si>
    <t>Feature "assisted steering" (Class 1)</t>
  </si>
  <si>
    <t>feature deactivated</t>
  </si>
  <si>
    <t>Superimposed steering</t>
  </si>
  <si>
    <t>GD_ID_SCT_VOTED_ACTIVE_CLASS_2</t>
  </si>
  <si>
    <t>Feature "automatic steering" (Class 2)</t>
  </si>
  <si>
    <t>GNSS Guidance</t>
  </si>
  <si>
    <t>Feeler Guidance</t>
  </si>
  <si>
    <t>TIM</t>
  </si>
  <si>
    <t>GD_ID_SCT_SETPOINT</t>
  </si>
  <si>
    <t>1/0</t>
  </si>
  <si>
    <t>degrees</t>
  </si>
  <si>
    <t>Steering angle and activation (Status bit)</t>
  </si>
  <si>
    <t>Not Active</t>
  </si>
  <si>
    <t>Active</t>
  </si>
  <si>
    <t>GD_ID_SCT_SETPOINT_FEELER_GUIDANCE</t>
  </si>
  <si>
    <t>GD_ID_SCT_SETPOINT_CURVATURE</t>
  </si>
  <si>
    <t>1/km</t>
  </si>
  <si>
    <t>Steering angle and activation (Status bit) as "Curvature" for GNSS-based guidance (see ISO11783-7:2009 Section A28.1)</t>
  </si>
  <si>
    <t>GD_ID_SCT_SETPOINT_CURVATURE_TIM</t>
  </si>
  <si>
    <t>Steering angle and activation (Status bit) as "Curvature" for TIM-based guidance (see ISO11783-7:2009 Section A28.1)</t>
  </si>
  <si>
    <t>GD_ID_SCT_SETPOINT_CURVATURE_FEELER_GUIDANCE</t>
  </si>
  <si>
    <t>Steering angle and activation (Status bit) as "Curvature" for feeler-based guidance (see ISO11783-7:2009 Section A28.1)</t>
  </si>
  <si>
    <t>GD_ID_SCT_WAS_RAW_VALUE</t>
  </si>
  <si>
    <t>Output of the wheel angle sensor (WAS)</t>
  </si>
  <si>
    <t>GD_ID_SCT_WAS_SCALED_VALUE</t>
  </si>
  <si>
    <t>Scaled output of the wheel angle sensor (WAS)</t>
  </si>
  <si>
    <t>GD_ID_SCT_WAS_SENSOR_ANGLE</t>
  </si>
  <si>
    <t>Angle of the wheel the sensor is connected to</t>
  </si>
  <si>
    <t>GD_ID_SCT_WAS_MEDIAN_ANGLE</t>
  </si>
  <si>
    <t>Mean wheel angle of the vehicle</t>
  </si>
  <si>
    <t>-gd</t>
  </si>
  <si>
    <t>GD_ID_SCT_WAS_MEDIAN_ANGLE_MAX</t>
  </si>
  <si>
    <t>Max. mean wheel angle of the vehicle</t>
  </si>
  <si>
    <t>GD_ID_SCT_WAS_VIRTUAL_ANGLE</t>
  </si>
  <si>
    <t>Calculated angle of the wheel the sensor is NOT connected to</t>
  </si>
  <si>
    <t>GD_ID_SCT_WAS_MEDIAN_CURVATURE</t>
  </si>
  <si>
    <t>Mean wheel angle of the vehicle as "Curvature"</t>
  </si>
  <si>
    <t>GD_ID_SCT_WAS_MEDIAN_CURVATURE_MAX</t>
  </si>
  <si>
    <t>Max. mean wheel angle of the vehicle as "Curvature"</t>
  </si>
  <si>
    <t>GD_ID_SCT_WAS_CALIB_COMMAND</t>
  </si>
  <si>
    <t>Calibration command for the WAS from the terminal</t>
  </si>
  <si>
    <t>Start command</t>
  </si>
  <si>
    <t>Start calibration wheel angle sensor</t>
  </si>
  <si>
    <t>Turn max left and confirm</t>
  </si>
  <si>
    <t>Turn max right and confirm</t>
  </si>
  <si>
    <t>Turn straight and confirm</t>
  </si>
  <si>
    <t>Calibration successful</t>
  </si>
  <si>
    <t>GD_ID_SCT_WAS_CALIB_STATUS</t>
  </si>
  <si>
    <t>Calibration status of the WAS</t>
  </si>
  <si>
    <t>Startkommando</t>
  </si>
  <si>
    <t>GD_ID_SCT_SWS_RAW_VALUE</t>
  </si>
  <si>
    <t>uA</t>
  </si>
  <si>
    <t>Output of the steering wheel sensor (SWS) and indication of reverse station mode (Status bit)</t>
  </si>
  <si>
    <t>Reverse Station Mode OFF</t>
  </si>
  <si>
    <t>Reverse Station Mode ON</t>
  </si>
  <si>
    <t>GD_ID_SCT_SWS_LIMITED_ANGLE</t>
  </si>
  <si>
    <t>Limited angle of the steering wheel sensor (inverted in reverse station mode) and indication of steering intervention (Status bit)</t>
  </si>
  <si>
    <t>NO Steering Intervention</t>
  </si>
  <si>
    <t>Steering Intervention</t>
  </si>
  <si>
    <t>GD_ID_SCT_SWS_CONTINUED_ANGLE</t>
  </si>
  <si>
    <t>Endless angle of the steering wheel sensor (inverted in reverse station mode) and indication of steering intervention (Status bit)</t>
  </si>
  <si>
    <t>GD_ID_SCT_SWS_ROTATIONAL_SPEED</t>
  </si>
  <si>
    <t>deg/sec</t>
  </si>
  <si>
    <t>Rotational speed of the steering wheel sensor (inverted in reverse station mode)</t>
  </si>
  <si>
    <t>GD_ID_SCT_VALVE_SETPOINT</t>
  </si>
  <si>
    <t>%</t>
  </si>
  <si>
    <t>Setpoint from the steering controller to the CAN steering valve</t>
  </si>
  <si>
    <t>GD_ID_SCT_VALVE_POSITION</t>
  </si>
  <si>
    <t>GD_ID_SCT_VALVE_CALIB_COMMAND</t>
  </si>
  <si>
    <t>Calibration command for the steering valve from the terminal</t>
  </si>
  <si>
    <t>Start calibration steering valve</t>
  </si>
  <si>
    <t>Automatic turn left</t>
  </si>
  <si>
    <t>Automatic turn right</t>
  </si>
  <si>
    <t>GD_ID_SCT_VALVE_CALIB_STATUS</t>
  </si>
  <si>
    <t>Calibration status of the steering valve</t>
  </si>
  <si>
    <t>GD_ID_SCT_PILOTVALVE_STATUS</t>
  </si>
  <si>
    <t>mA</t>
  </si>
  <si>
    <t>Status of the pilot valve (Current + Diagnostics)</t>
  </si>
  <si>
    <t>Valve State - Not Active</t>
  </si>
  <si>
    <t>Valve State - Active</t>
  </si>
  <si>
    <t>GD_ID_SCT_OLAY_STEER_FACTOR</t>
  </si>
  <si>
    <t>Sensitivity of the overlay steering</t>
  </si>
  <si>
    <t>GD_ID_SCT_3RDPARTY_READY_STATUS</t>
  </si>
  <si>
    <t>Machine steering system indicates that it is free from faults that would preclude guidance system operation.</t>
  </si>
  <si>
    <t>GD_ID_SCT_3RDPARTY_POSITION_STATUS</t>
  </si>
  <si>
    <t>Machine steering system indicates whether manual steering is in the correct position for guidance to function</t>
  </si>
  <si>
    <t>GD_ID_SCT_3RDPARTY_CANCEL_REQUEST</t>
  </si>
  <si>
    <t>Machine steering system request to the automatic guidance system to change Curvature Command Status state from "Intended to steer" to "Not intended to steer"</t>
  </si>
  <si>
    <t>GD_ID_SCT_3RDPARTY_COMMAND_GUIDANCE</t>
  </si>
  <si>
    <t>Machine steering system requesting guidance ON, if not active or OFF if active.</t>
  </si>
  <si>
    <t>GD_ID_SCT_TSD_MIN_SPEED_FORWARD</t>
  </si>
  <si>
    <t>m/sec</t>
  </si>
  <si>
    <t>General BSAC message ID 40-1</t>
  </si>
  <si>
    <t>GD_ID_SCT_TSD_MAX_SPEED_FORWARD</t>
  </si>
  <si>
    <t>General BSAC message ID 40-2 (not used?)</t>
  </si>
  <si>
    <t>GD_ID_SCT_TSD_MIN_MACHINE_RADIUS</t>
  </si>
  <si>
    <t>mm</t>
  </si>
  <si>
    <t>General BSAC message ID 44-2</t>
  </si>
  <si>
    <t>GD_ID_SCT_TSD_MAX_ACQUISITION_ANGLE</t>
  </si>
  <si>
    <t>General BSAC message ID 46-2</t>
  </si>
  <si>
    <t>GD_ID_SCT_GUIDANCE_CONFIGURATION_DATA</t>
  </si>
  <si>
    <t>Access non-volatile memory block reserved for CEA Guide (GD block transfer)</t>
  </si>
  <si>
    <t>CEAGuideVersion</t>
  </si>
  <si>
    <t>GD_ID_SCT_STEERING_MODE</t>
  </si>
  <si>
    <t>Output of the current machine steering mode and indication if the steering mode of the machine is variable (Status bit)</t>
  </si>
  <si>
    <t>Front-Wheel (all except Three-Wheeler)</t>
  </si>
  <si>
    <t>Steering Mode NOT Variable</t>
  </si>
  <si>
    <t>Front-Wheel (Three-Wheeler)</t>
  </si>
  <si>
    <t>Steering Mode Variable</t>
  </si>
  <si>
    <t>Rear-Wheel</t>
  </si>
  <si>
    <t>Differential</t>
  </si>
  <si>
    <t>Articulated</t>
  </si>
  <si>
    <t>Four-Wheel</t>
  </si>
  <si>
    <t>Auto-Coordinated 4-Wheel Steering</t>
  </si>
  <si>
    <t>Dog-Walk</t>
  </si>
  <si>
    <t>Crab Steering</t>
  </si>
  <si>
    <t>GD_ID_SCT_SECONDARY_WAS_RAW_VALUE</t>
  </si>
  <si>
    <t>Output of the secondary (rear) wheel angle sensor (WAS) and indication if a secondary WAS is present (Status bit)</t>
  </si>
  <si>
    <t>Secondary WAS Is NOT Present</t>
  </si>
  <si>
    <t>Secondary WAS Is Present</t>
  </si>
  <si>
    <t>GD_ID_SCT_SECONDARY_WAS_SENSOR_ANGLE</t>
  </si>
  <si>
    <t>Angle of the 4WS rear wheel the sensor is connected to and indication if a secondary WAS is present (Status bit)</t>
  </si>
  <si>
    <t>GD_ID_SCT_SECONDARY_WAS_MEDIAN_ANGLE</t>
  </si>
  <si>
    <t>Mean 4WS rear wheel angle of the vehicle and indication if a secondary WAS is present (Status bit)</t>
  </si>
  <si>
    <t>GD_ID_SCT_SECONDARY_WAS_MEDIAN_ANGLE_MAX</t>
  </si>
  <si>
    <t>Max. mean 4WS rear wheel angle of the vehicle and indication if a secondary WAS is present (Status bit)</t>
  </si>
  <si>
    <t>GD_ID_SCT_ALS_X_OFFSET</t>
  </si>
  <si>
    <t>Additional x offset caused by an active Auto Leveling System (ALS) and indication if ALS is active (Status bit)</t>
  </si>
  <si>
    <t>Inactive</t>
  </si>
  <si>
    <t>GD_ID_SCT_ALS_Y_OFFSET</t>
  </si>
  <si>
    <t>Additional y offset caused by an active Auto Leveling System (ALS) and indication if ALS is active (Status bit)</t>
  </si>
  <si>
    <t>GD_ID_SCT_ADDITIONAL_WORKING_HEIGHT</t>
  </si>
  <si>
    <t>Determines if a sprayer is using the additional working height</t>
  </si>
  <si>
    <t>GD_ID_SCT_VEHICLE_CURRENT_PAYLOAD</t>
  </si>
  <si>
    <t>Current percentage of vehicle payload defined in EEPROM of the EXT and indication if the vehicle can carry payload like combines and applicators (Status bit)</t>
  </si>
  <si>
    <t>Can NOT Carry Payload</t>
  </si>
  <si>
    <t>Can Carry Payload</t>
  </si>
  <si>
    <t>GD_ID_SCT_ISO_STATE</t>
  </si>
  <si>
    <t>Determines if the guidance controller is allowed to communicate NMEA2000 messages on the ISOBUS</t>
  </si>
  <si>
    <t>NMEA2000 Messages on ISOBus Prohibited</t>
  </si>
  <si>
    <t>NMEA2000 Messages on ISOBUS Allowed</t>
  </si>
  <si>
    <t>GD_ID_SCT_VEHICLE_SPEED</t>
  </si>
  <si>
    <t>km/h</t>
  </si>
  <si>
    <t>Wheel-based (not GNSS) vehicle speed. Status bit indicates the vehicle driving direction which is independent of the direction of the driver</t>
  </si>
  <si>
    <t>Reverse</t>
  </si>
  <si>
    <t>Forward</t>
  </si>
  <si>
    <t>GD_ID_SCT_VEHICLE_MOVEMENT</t>
  </si>
  <si>
    <t>Distance the vehicle moved since motor start calculated from tire size and indication if vehicle moved since motor start (Status bit).</t>
  </si>
  <si>
    <t>Moved</t>
  </si>
  <si>
    <t>NOT Moved</t>
  </si>
  <si>
    <t>GD_ID_SCT_PARKING_BRAKE</t>
  </si>
  <si>
    <t>Determines if the parking brake is activated or not. This information is used to ensure that the vehicle is definitely not moving i.e. for IMU calibration</t>
  </si>
  <si>
    <t>GD_ID_SCT_CONTROL_MSG_TERMINAL</t>
  </si>
  <si>
    <t>Steering Controller (EHL): 1: Sent by the terminal after all changes parameters are transfered to ID 302 - 306. The EHL now stores this information in the EEPROM, 2: 'Factory Reset' icon clicked on the terminal</t>
  </si>
  <si>
    <t>No Message</t>
  </si>
  <si>
    <t>New Data Available</t>
  </si>
  <si>
    <t>Factory Reset</t>
  </si>
  <si>
    <t>GD_ID_SCT_CONTROL_MSG_GUIDEANCE</t>
  </si>
  <si>
    <t>Message to communicate that new custom geometry parameters stored in the EEPROM. After that the Guidance Controller starts a new GD block transfer to access the EEPROM and replaces internally the changed values</t>
  </si>
  <si>
    <t>GD_ID_SCT_MODIFIED_REFERENCE_POINT_HEIGHT</t>
  </si>
  <si>
    <t>New value for reference point height due to a changes tire size</t>
  </si>
  <si>
    <t>GD_ID_SCT_MODIFIED_GNSS_ANTENNA_X_OFFSET</t>
  </si>
  <si>
    <t>New value for GNSS antenna phase center position in x direction</t>
  </si>
  <si>
    <t>GD_ID_SCT_MODIFIED_GNSS_ANTENNA_Y_OFFSET</t>
  </si>
  <si>
    <t>New value for GNSS antenna phase center position in y direction</t>
  </si>
  <si>
    <t>GD_ID_SCT_MODIFIED_GNSS_ANTENNA_Z_OFFSET</t>
  </si>
  <si>
    <t>New value for GNSS antenna phase center position in z direction</t>
  </si>
  <si>
    <t>GD_ID_SCT_MODIFIED_TRACK_WIDTH</t>
  </si>
  <si>
    <t>New value for changed track width</t>
  </si>
  <si>
    <t>GD_ID_SCT_MODIFIED_MOUNTING_ERROR_Y_OFFSET</t>
  </si>
  <si>
    <t>New value for compensation of the lateral positioning error introduced to production tolerances e.g. of the cab</t>
  </si>
  <si>
    <t>GD_ID_SCT_TRACTOR_SN_TYPE</t>
  </si>
  <si>
    <t>Vehicle type taken from vehicle serial number (DEPRICATED! Use GD_ID_SCT_GUIDANCE_CONFIGURATION_DATA instead!)</t>
  </si>
  <si>
    <t>GD_ID_SCT_TRACTOR_SN_GROUP</t>
  </si>
  <si>
    <t>Group taken from vehicle serial number (DEPRICATED! Use GD_ID_SCT_GUIDANCE_CONFIGURATION_DATA instead!)</t>
  </si>
  <si>
    <t>GD_ID_SCT_TRACTOR_SN_NUMBER</t>
  </si>
  <si>
    <t>Ongoing number taken from vehicle serial number (DEPRICATED! Use GD_ID_SCT_GUIDANCE_CONFIGURATION_DATA instead!)</t>
  </si>
  <si>
    <t>GD_ID_SCT_ERROR_ACKNOWLEDGE</t>
  </si>
  <si>
    <t>Feedback for Error Management</t>
  </si>
  <si>
    <t>Not Acknowledged</t>
  </si>
  <si>
    <t>Acknowledged</t>
  </si>
  <si>
    <t>GD_ID_SCT_ACTIVATE_DIAGNOSTICS</t>
  </si>
  <si>
    <t>Activate diagnostic messages for this task</t>
  </si>
  <si>
    <t>GD_ID_SCT_SAFETY_VERSION</t>
  </si>
  <si>
    <t>Current safety version</t>
  </si>
  <si>
    <t>First safety concept for MOD X900 for homologation of the EHL/EHPF in 2006</t>
  </si>
  <si>
    <t xml:space="preserve"> - Inclusion of superimposed steering  - Operation concept modification (omission of state StandBy; as a result of superimposed steering)  - Omission of the cut-off valve (as a result of the usage of the OSPE steering valve this functionality is now realised by the pilot pressure valve) - Plausibility check of steering wheel sensor (SWS) and wheel angle sensor (WAS)</t>
  </si>
  <si>
    <t>GD_ID_SCT_LIB_SAFETY_VERSION</t>
  </si>
  <si>
    <t>Access to used Steering Controller Library (SCL) Version: 102 means Version 1.02</t>
  </si>
  <si>
    <t>GD_ID_SCT_RECIPE_ACCESS_SETPOINT</t>
  </si>
  <si>
    <t>External access for SCT activation for recipe management</t>
  </si>
  <si>
    <t>(Byte 6, Bit 0) - Autoguide Active</t>
  </si>
  <si>
    <t>(Byte 6, Bit 1) - Superimposed Steering Active</t>
  </si>
  <si>
    <t>(Byte 7, Bit 0) - Preselection AutoGuide</t>
  </si>
  <si>
    <t>(Byte 7, Bit 1) - Preselection Superimpsed Steering</t>
  </si>
  <si>
    <t>GD_ID_SCT_TI_ACCESS_SETPOINT</t>
  </si>
  <si>
    <t>External access for SCT activation, setpoint from TI respectively settings</t>
  </si>
  <si>
    <t>GD_ID_SCT_TI_ACCESS_STATE</t>
  </si>
  <si>
    <t>External access for SCT activation, current state for TI</t>
  </si>
  <si>
    <t>GD_ID_SCT_TI_ACCESS_STATE_KL15</t>
  </si>
  <si>
    <t>External access for SCT activation, current state for settings (no update after ignition/pin 15 off)</t>
  </si>
  <si>
    <t>GD_ID_SCT_TI_SUB_STATE</t>
  </si>
  <si>
    <t>Sub-state for external access for SCT activation</t>
  </si>
  <si>
    <t>DISABLE</t>
  </si>
  <si>
    <t>TI_INIT</t>
  </si>
  <si>
    <t>RECORD_STANDBY</t>
  </si>
  <si>
    <t>RECORD_ACTIVE</t>
  </si>
  <si>
    <t>PLAY_STANDBY</t>
  </si>
  <si>
    <t>PLAY_ACTIVE</t>
  </si>
  <si>
    <t>CONFIG</t>
  </si>
  <si>
    <t>EDIT</t>
  </si>
  <si>
    <t>DATAXCHANGE</t>
  </si>
  <si>
    <t>SAFESTATE</t>
  </si>
  <si>
    <t>NO_SUBSTATEWXL</t>
  </si>
  <si>
    <t>Error Code</t>
  </si>
  <si>
    <t>Return path for fault management (acknowledgment)</t>
  </si>
  <si>
    <t>-gs</t>
  </si>
  <si>
    <t>ms</t>
  </si>
  <si>
    <t>mSec</t>
  </si>
  <si>
    <t>Lifemessage</t>
  </si>
  <si>
    <t>x</t>
  </si>
  <si>
    <t>End</t>
  </si>
  <si>
    <t>Anl. 1:</t>
  </si>
  <si>
    <t>0 = OFF</t>
  </si>
  <si>
    <t>1 = ON</t>
  </si>
  <si>
    <t>2 = Flashing</t>
  </si>
  <si>
    <t>-g</t>
  </si>
  <si>
    <t>Guide activation command from headland management</t>
  </si>
  <si>
    <t>GD_ID_SCT_HEADLAND_CMD</t>
  </si>
  <si>
    <t>deg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</si>
</sst>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\ &quot;DM&quot;_-;\-* #,##0.00\ &quot;DM&quot;_-;_-* &quot;-&quot;??\ &quot;DM&quot;_-;_-@_-"/>
    <numFmt numFmtId="165" formatCode="_-* #,##0.00\ [$€]_-;\-* #,##0.00\ [$€]_-;_-* &quot;-&quot;??\ [$€]_-;_-@_-"/>
  </numFmts>
  <fonts count="3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  <charset val="204"/>
    </font>
    <font>
      <b/>
      <sz val="11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b/>
      <sz val="10"/>
      <name val="Arial"/>
      <family val="2"/>
      <charset val="204"/>
    </font>
    <font>
      <sz val="10"/>
      <color indexed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u/>
      <sz val="10"/>
      <color indexed="12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charset val="204"/>
      <scheme val="minor"/>
    </font>
    <font>
      <sz val="11"/>
      <color indexed="20"/>
      <name val="Calibri"/>
      <family val="2"/>
    </font>
    <font>
      <b/>
      <i/>
      <sz val="16"/>
      <name val="Courier New"/>
      <family val="3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55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238">
    <xf numFmtId="0" fontId="0" fillId="0" borderId="0"/>
    <xf numFmtId="164" fontId="2" fillId="0" borderId="0" applyFont="0" applyFill="0" applyBorder="0" applyAlignment="0" applyProtection="0"/>
    <xf numFmtId="0" fontId="5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1" borderId="0" applyNumberFormat="0" applyBorder="0" applyAlignment="0" applyProtection="0"/>
    <xf numFmtId="0" fontId="13" fillId="6" borderId="0" applyNumberFormat="0" applyBorder="0" applyAlignment="0" applyProtection="0"/>
    <xf numFmtId="0" fontId="13" fillId="9" borderId="0" applyNumberFormat="0" applyBorder="0" applyAlignment="0" applyProtection="0"/>
    <xf numFmtId="0" fontId="13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20" borderId="0" applyNumberFormat="0" applyBorder="0" applyAlignment="0" applyProtection="0"/>
    <xf numFmtId="0" fontId="15" fillId="21" borderId="23" applyNumberFormat="0" applyAlignment="0" applyProtection="0"/>
    <xf numFmtId="0" fontId="16" fillId="21" borderId="24" applyNumberFormat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7" fillId="8" borderId="24" applyNumberFormat="0" applyAlignment="0" applyProtection="0"/>
    <xf numFmtId="0" fontId="18" fillId="0" borderId="25" applyNumberFormat="0" applyFill="0" applyAlignment="0" applyProtection="0"/>
    <xf numFmtId="0" fontId="19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0" fontId="20" fillId="5" borderId="0" applyNumberFormat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22" borderId="26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4" fillId="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5" fillId="0" borderId="0" applyNumberFormat="0" applyFill="0" applyBorder="0" applyProtection="0">
      <alignment horizontal="center"/>
    </xf>
    <xf numFmtId="0" fontId="26" fillId="0" borderId="27" applyNumberFormat="0" applyFill="0" applyAlignment="0" applyProtection="0"/>
    <xf numFmtId="0" fontId="27" fillId="0" borderId="28" applyNumberFormat="0" applyFill="0" applyAlignment="0" applyProtection="0"/>
    <xf numFmtId="0" fontId="28" fillId="0" borderId="29" applyNumberFormat="0" applyFill="0" applyAlignment="0" applyProtection="0"/>
    <xf numFmtId="0" fontId="28" fillId="0" borderId="0" applyNumberFormat="0" applyFill="0" applyBorder="0" applyAlignment="0" applyProtection="0"/>
    <xf numFmtId="0" fontId="25" fillId="0" borderId="0" applyNumberFormat="0" applyFill="0" applyBorder="0" applyProtection="0">
      <alignment horizontal="center"/>
    </xf>
    <xf numFmtId="0" fontId="29" fillId="0" borderId="0" applyNumberFormat="0" applyFill="0" applyBorder="0" applyAlignment="0" applyProtection="0"/>
    <xf numFmtId="0" fontId="30" fillId="0" borderId="30" applyNumberFormat="0" applyFill="0" applyAlignment="0" applyProtection="0"/>
    <xf numFmtId="0" fontId="31" fillId="0" borderId="0" applyNumberFormat="0" applyFill="0" applyBorder="0" applyAlignment="0" applyProtection="0"/>
    <xf numFmtId="0" fontId="32" fillId="23" borderId="31" applyNumberFormat="0" applyAlignment="0" applyProtection="0"/>
  </cellStyleXfs>
  <cellXfs count="128">
    <xf numFmtId="0" fontId="0" fillId="0" borderId="0" xfId="0"/>
    <xf numFmtId="49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0" xfId="0" applyFont="1" applyFill="1" applyAlignment="1">
      <alignment horizontal="centerContinuous"/>
    </xf>
    <xf numFmtId="0" fontId="4" fillId="0" borderId="0" xfId="2" applyFont="1" applyFill="1" applyAlignment="1">
      <alignment horizontal="centerContinuous"/>
    </xf>
    <xf numFmtId="0" fontId="6" fillId="0" borderId="0" xfId="0" applyFont="1" applyAlignment="1">
      <alignment horizontal="center"/>
    </xf>
    <xf numFmtId="0" fontId="6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Continuous"/>
    </xf>
    <xf numFmtId="0" fontId="0" fillId="0" borderId="0" xfId="0" applyFill="1" applyAlignment="1">
      <alignment horizontal="centerContinuous"/>
    </xf>
    <xf numFmtId="0" fontId="0" fillId="0" borderId="0" xfId="0" applyFill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4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7" fillId="0" borderId="0" xfId="0" applyFont="1" applyFill="1" applyAlignment="1">
      <alignment horizontal="centerContinuous"/>
    </xf>
    <xf numFmtId="0" fontId="7" fillId="0" borderId="0" xfId="0" applyFont="1" applyFill="1" applyAlignment="1">
      <alignment horizontal="center"/>
    </xf>
    <xf numFmtId="49" fontId="7" fillId="0" borderId="0" xfId="0" applyNumberFormat="1" applyFont="1" applyFill="1" applyAlignment="1">
      <alignment horizontal="centerContinuous"/>
    </xf>
    <xf numFmtId="0" fontId="7" fillId="0" borderId="4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5" fillId="0" borderId="0" xfId="2" applyFill="1"/>
    <xf numFmtId="0" fontId="9" fillId="0" borderId="0" xfId="4" applyFont="1" applyBorder="1" applyAlignment="1">
      <alignment horizontal="center" vertical="top" wrapText="1"/>
    </xf>
    <xf numFmtId="0" fontId="8" fillId="0" borderId="0" xfId="3" applyFont="1" applyBorder="1" applyAlignment="1">
      <alignment horizontal="center" vertical="top"/>
    </xf>
    <xf numFmtId="0" fontId="7" fillId="0" borderId="0" xfId="3" applyFont="1" applyBorder="1" applyAlignment="1">
      <alignment horizontal="center" vertical="top"/>
    </xf>
    <xf numFmtId="0" fontId="8" fillId="0" borderId="0" xfId="3" applyFont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top" wrapText="1"/>
    </xf>
    <xf numFmtId="49" fontId="7" fillId="2" borderId="0" xfId="0" applyNumberFormat="1" applyFont="1" applyFill="1" applyBorder="1" applyAlignment="1">
      <alignment horizontal="center" vertical="top" wrapText="1"/>
    </xf>
    <xf numFmtId="0" fontId="7" fillId="2" borderId="5" xfId="0" applyFont="1" applyFill="1" applyBorder="1" applyAlignment="1">
      <alignment horizontal="center" vertical="center"/>
    </xf>
    <xf numFmtId="49" fontId="7" fillId="2" borderId="0" xfId="0" applyNumberFormat="1" applyFont="1" applyFill="1" applyBorder="1" applyAlignment="1">
      <alignment horizontal="center" vertical="center" wrapText="1"/>
    </xf>
    <xf numFmtId="49" fontId="7" fillId="2" borderId="0" xfId="0" applyNumberFormat="1" applyFont="1" applyFill="1" applyBorder="1" applyAlignment="1">
      <alignment horizontal="center" vertical="center"/>
    </xf>
    <xf numFmtId="0" fontId="9" fillId="0" borderId="0" xfId="4" applyFont="1" applyBorder="1" applyAlignment="1">
      <alignment horizontal="center" vertical="top"/>
    </xf>
    <xf numFmtId="0" fontId="2" fillId="0" borderId="0" xfId="3" applyFont="1" applyBorder="1" applyAlignment="1">
      <alignment horizontal="center" vertical="top"/>
    </xf>
    <xf numFmtId="0" fontId="2" fillId="0" borderId="4" xfId="3" applyBorder="1" applyAlignment="1">
      <alignment vertical="top"/>
    </xf>
    <xf numFmtId="0" fontId="2" fillId="0" borderId="0" xfId="3" applyBorder="1" applyAlignment="1">
      <alignment vertical="top"/>
    </xf>
    <xf numFmtId="0" fontId="2" fillId="0" borderId="5" xfId="3" applyBorder="1" applyAlignment="1">
      <alignment vertical="top"/>
    </xf>
    <xf numFmtId="0" fontId="0" fillId="0" borderId="0" xfId="0" applyBorder="1" applyAlignment="1">
      <alignment horizontal="left"/>
    </xf>
    <xf numFmtId="0" fontId="0" fillId="0" borderId="6" xfId="0" applyBorder="1"/>
    <xf numFmtId="0" fontId="5" fillId="0" borderId="6" xfId="2" applyFont="1" applyBorder="1" applyAlignment="1">
      <alignment wrapText="1"/>
    </xf>
    <xf numFmtId="0" fontId="0" fillId="0" borderId="6" xfId="0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0" fillId="0" borderId="6" xfId="0" applyBorder="1" applyAlignment="1">
      <alignment wrapText="1"/>
    </xf>
    <xf numFmtId="0" fontId="8" fillId="0" borderId="6" xfId="0" applyFont="1" applyBorder="1"/>
    <xf numFmtId="49" fontId="0" fillId="0" borderId="6" xfId="0" applyNumberFormat="1" applyBorder="1"/>
    <xf numFmtId="0" fontId="2" fillId="0" borderId="7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0" fillId="0" borderId="6" xfId="0" applyBorder="1" applyAlignment="1">
      <alignment horizontal="left"/>
    </xf>
    <xf numFmtId="0" fontId="0" fillId="0" borderId="9" xfId="0" applyBorder="1" applyAlignment="1">
      <alignment horizontal="center"/>
    </xf>
    <xf numFmtId="0" fontId="5" fillId="0" borderId="10" xfId="2" applyFont="1" applyBorder="1" applyAlignment="1">
      <alignment horizontal="center"/>
    </xf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0" xfId="0" quotePrefix="1" applyBorder="1" applyAlignment="1">
      <alignment horizontal="center" wrapText="1"/>
    </xf>
    <xf numFmtId="0" fontId="0" fillId="0" borderId="12" xfId="0" applyFill="1" applyBorder="1" applyAlignment="1">
      <alignment horizontal="left"/>
    </xf>
    <xf numFmtId="0" fontId="0" fillId="0" borderId="9" xfId="0" applyBorder="1"/>
    <xf numFmtId="0" fontId="2" fillId="0" borderId="12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/>
    </xf>
    <xf numFmtId="2" fontId="2" fillId="0" borderId="13" xfId="0" applyNumberFormat="1" applyFont="1" applyBorder="1" applyAlignment="1">
      <alignment horizontal="center"/>
    </xf>
    <xf numFmtId="2" fontId="2" fillId="0" borderId="12" xfId="5" applyNumberFormat="1" applyFont="1" applyBorder="1" applyAlignment="1">
      <alignment horizontal="center"/>
    </xf>
    <xf numFmtId="2" fontId="2" fillId="0" borderId="0" xfId="5" applyNumberFormat="1" applyFont="1" applyBorder="1" applyAlignment="1">
      <alignment horizontal="center"/>
    </xf>
    <xf numFmtId="0" fontId="0" fillId="0" borderId="12" xfId="0" applyBorder="1"/>
    <xf numFmtId="0" fontId="0" fillId="0" borderId="0" xfId="0" applyBorder="1" applyAlignment="1">
      <alignment horizontal="center" wrapText="1"/>
    </xf>
    <xf numFmtId="0" fontId="0" fillId="0" borderId="11" xfId="0" applyFill="1" applyBorder="1" applyAlignment="1">
      <alignment horizontal="left"/>
    </xf>
    <xf numFmtId="0" fontId="0" fillId="0" borderId="14" xfId="0" applyBorder="1" applyAlignment="1">
      <alignment horizontal="center"/>
    </xf>
    <xf numFmtId="2" fontId="2" fillId="0" borderId="11" xfId="5" applyNumberFormat="1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2" fillId="0" borderId="11" xfId="0" applyFont="1" applyBorder="1"/>
    <xf numFmtId="0" fontId="0" fillId="0" borderId="11" xfId="0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0" borderId="15" xfId="0" applyFont="1" applyBorder="1" applyAlignment="1">
      <alignment horizontal="center"/>
    </xf>
    <xf numFmtId="0" fontId="2" fillId="0" borderId="11" xfId="6" applyFont="1" applyBorder="1" applyAlignment="1">
      <alignment horizontal="center" vertical="top"/>
    </xf>
    <xf numFmtId="0" fontId="10" fillId="0" borderId="11" xfId="0" applyFont="1" applyBorder="1" applyAlignment="1">
      <alignment horizontal="left" wrapText="1"/>
    </xf>
    <xf numFmtId="0" fontId="10" fillId="0" borderId="11" xfId="0" applyFont="1" applyBorder="1" applyAlignment="1">
      <alignment wrapText="1"/>
    </xf>
    <xf numFmtId="0" fontId="2" fillId="0" borderId="9" xfId="0" applyFont="1" applyBorder="1" applyAlignment="1">
      <alignment horizontal="center"/>
    </xf>
    <xf numFmtId="0" fontId="2" fillId="0" borderId="9" xfId="0" applyFont="1" applyBorder="1"/>
    <xf numFmtId="0" fontId="0" fillId="0" borderId="11" xfId="0" applyFill="1" applyBorder="1"/>
    <xf numFmtId="0" fontId="0" fillId="0" borderId="11" xfId="0" applyFill="1" applyBorder="1" applyAlignment="1">
      <alignment horizontal="center"/>
    </xf>
    <xf numFmtId="0" fontId="2" fillId="0" borderId="9" xfId="6" applyFont="1" applyBorder="1" applyAlignment="1">
      <alignment horizontal="center" vertical="top"/>
    </xf>
    <xf numFmtId="0" fontId="2" fillId="0" borderId="11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1" xfId="6" applyFont="1" applyBorder="1" applyAlignment="1">
      <alignment horizontal="left" vertical="top"/>
    </xf>
    <xf numFmtId="0" fontId="2" fillId="0" borderId="9" xfId="6" applyFont="1" applyBorder="1" applyAlignment="1">
      <alignment vertical="top"/>
    </xf>
    <xf numFmtId="0" fontId="5" fillId="0" borderId="0" xfId="2" applyFont="1" applyBorder="1" applyAlignment="1">
      <alignment horizontal="center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center"/>
    </xf>
    <xf numFmtId="0" fontId="5" fillId="0" borderId="17" xfId="2" applyFont="1" applyBorder="1" applyAlignment="1">
      <alignment horizontal="center"/>
    </xf>
    <xf numFmtId="0" fontId="0" fillId="0" borderId="17" xfId="0" applyBorder="1"/>
    <xf numFmtId="0" fontId="2" fillId="0" borderId="17" xfId="3" applyFont="1" applyBorder="1" applyAlignment="1">
      <alignment horizontal="center" vertical="top"/>
    </xf>
    <xf numFmtId="0" fontId="2" fillId="0" borderId="17" xfId="3" quotePrefix="1" applyBorder="1" applyAlignment="1">
      <alignment horizontal="center" vertical="top"/>
    </xf>
    <xf numFmtId="0" fontId="2" fillId="0" borderId="17" xfId="7" applyBorder="1" applyAlignment="1">
      <alignment horizontal="center" vertical="top"/>
    </xf>
    <xf numFmtId="0" fontId="2" fillId="0" borderId="17" xfId="7" applyFont="1" applyBorder="1" applyAlignment="1">
      <alignment horizontal="center" vertical="top"/>
    </xf>
    <xf numFmtId="0" fontId="2" fillId="0" borderId="17" xfId="0" applyFon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2" fontId="2" fillId="0" borderId="17" xfId="5" applyNumberFormat="1" applyFont="1" applyBorder="1" applyAlignment="1">
      <alignment horizontal="center"/>
    </xf>
    <xf numFmtId="2" fontId="2" fillId="0" borderId="19" xfId="5" applyNumberFormat="1" applyFont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19" xfId="0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0" fillId="0" borderId="0" xfId="0" applyAlignment="1">
      <alignment wrapText="1"/>
    </xf>
    <xf numFmtId="2" fontId="2" fillId="0" borderId="0" xfId="0" applyNumberFormat="1" applyFont="1" applyBorder="1" applyAlignment="1">
      <alignment horizontal="center"/>
    </xf>
    <xf numFmtId="0" fontId="5" fillId="0" borderId="0" xfId="2" applyBorder="1" applyAlignment="1">
      <alignment horizontal="center"/>
    </xf>
    <xf numFmtId="0" fontId="5" fillId="0" borderId="0" xfId="2" applyAlignment="1">
      <alignment horizontal="center"/>
    </xf>
    <xf numFmtId="0" fontId="5" fillId="0" borderId="0" xfId="2" applyFont="1" applyAlignment="1">
      <alignment horizontal="center"/>
    </xf>
    <xf numFmtId="0" fontId="5" fillId="0" borderId="9" xfId="2" applyBorder="1" applyAlignment="1">
      <alignment horizontal="center"/>
    </xf>
    <xf numFmtId="0" fontId="5" fillId="0" borderId="22" xfId="2" applyBorder="1" applyAlignment="1">
      <alignment horizont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left"/>
    </xf>
    <xf numFmtId="0" fontId="8" fillId="0" borderId="0" xfId="3" applyFont="1" applyBorder="1" applyAlignment="1">
      <alignment horizontal="center" vertical="top"/>
    </xf>
    <xf numFmtId="49" fontId="8" fillId="0" borderId="0" xfId="3" applyNumberFormat="1" applyFont="1" applyBorder="1" applyAlignment="1">
      <alignment horizontal="center" vertical="top"/>
    </xf>
    <xf numFmtId="164" fontId="3" fillId="0" borderId="0" xfId="1" applyFont="1" applyAlignment="1">
      <alignment horizontal="center"/>
    </xf>
    <xf numFmtId="164" fontId="2" fillId="0" borderId="0" xfId="1" applyAlignment="1">
      <alignment horizontal="center"/>
    </xf>
    <xf numFmtId="0" fontId="8" fillId="0" borderId="0" xfId="3" applyFont="1" applyBorder="1" applyAlignment="1">
      <alignment horizontal="center" vertical="top" wrapText="1"/>
    </xf>
    <xf numFmtId="0" fontId="7" fillId="0" borderId="0" xfId="3" applyFont="1" applyBorder="1" applyAlignment="1">
      <alignment vertical="top" wrapText="1"/>
    </xf>
    <xf numFmtId="0" fontId="7" fillId="0" borderId="0" xfId="3" applyFont="1" applyBorder="1" applyAlignment="1">
      <alignment vertical="top"/>
    </xf>
    <xf numFmtId="0" fontId="8" fillId="0" borderId="0" xfId="3" applyFont="1" applyBorder="1" applyAlignment="1">
      <alignment vertical="top"/>
    </xf>
  </cellXfs>
  <cellStyles count="238">
    <cellStyle name="20% - Akzent1" xfId="8"/>
    <cellStyle name="20% - Akzent2" xfId="9"/>
    <cellStyle name="20% - Akzent3" xfId="10"/>
    <cellStyle name="20% - Akzent4" xfId="11"/>
    <cellStyle name="20% - Akzent5" xfId="12"/>
    <cellStyle name="20% - Akzent6" xfId="13"/>
    <cellStyle name="40% - Akzent1" xfId="14"/>
    <cellStyle name="40% - Akzent2" xfId="15"/>
    <cellStyle name="40% - Akzent3" xfId="16"/>
    <cellStyle name="40% - Akzent4" xfId="17"/>
    <cellStyle name="40% - Akzent5" xfId="18"/>
    <cellStyle name="40% - Akzent6" xfId="19"/>
    <cellStyle name="60% - Akzent1" xfId="20"/>
    <cellStyle name="60% - Akzent2" xfId="21"/>
    <cellStyle name="60% - Akzent3" xfId="22"/>
    <cellStyle name="60% - Akzent4" xfId="23"/>
    <cellStyle name="60% - Akzent5" xfId="24"/>
    <cellStyle name="60% - Akzent6" xfId="25"/>
    <cellStyle name="Akzent1" xfId="26"/>
    <cellStyle name="Akzent2" xfId="27"/>
    <cellStyle name="Akzent3" xfId="28"/>
    <cellStyle name="Akzent4" xfId="29"/>
    <cellStyle name="Akzent5" xfId="30"/>
    <cellStyle name="Akzent6" xfId="31"/>
    <cellStyle name="Ausgabe" xfId="32"/>
    <cellStyle name="Berechnung" xfId="33"/>
    <cellStyle name="Currency" xfId="1" builtinId="4"/>
    <cellStyle name="Currency 2" xfId="34"/>
    <cellStyle name="Currency 3" xfId="35"/>
    <cellStyle name="Currency 4" xfId="36"/>
    <cellStyle name="Currency 5" xfId="37"/>
    <cellStyle name="Currency 6" xfId="38"/>
    <cellStyle name="Currency 7" xfId="39"/>
    <cellStyle name="Eingabe" xfId="40"/>
    <cellStyle name="Ergebnis" xfId="41"/>
    <cellStyle name="Erklärender Text" xfId="42"/>
    <cellStyle name="Euro" xfId="43"/>
    <cellStyle name="Gut" xfId="44"/>
    <cellStyle name="Hyperlink 2" xfId="45"/>
    <cellStyle name="Hyperlink 3" xfId="46"/>
    <cellStyle name="Hyperlink 3 2" xfId="47"/>
    <cellStyle name="Hyperlink 3 3" xfId="48"/>
    <cellStyle name="Hyperlink 3 4" xfId="49"/>
    <cellStyle name="Normal" xfId="0" builtinId="0"/>
    <cellStyle name="Normal 10" xfId="50"/>
    <cellStyle name="Normal 10 2" xfId="51"/>
    <cellStyle name="Normal 10 2 2" xfId="52"/>
    <cellStyle name="Normal 10 2 2 2" xfId="53"/>
    <cellStyle name="Normal 10 2 2 2 2" xfId="54"/>
    <cellStyle name="Normal 10 2 2 2 2 2" xfId="55"/>
    <cellStyle name="Normal 10 2 2 2 3" xfId="56"/>
    <cellStyle name="Normal 10 2 2 3" xfId="57"/>
    <cellStyle name="Normal 10 2 2 3 2" xfId="58"/>
    <cellStyle name="Normal 10 2 2 4" xfId="59"/>
    <cellStyle name="Normal 10 2 2 4 2" xfId="60"/>
    <cellStyle name="Normal 10 2 2 5" xfId="61"/>
    <cellStyle name="Normal 10 2 3" xfId="62"/>
    <cellStyle name="Normal 10 2 3 2" xfId="63"/>
    <cellStyle name="Normal 10 2 3 2 2" xfId="64"/>
    <cellStyle name="Normal 10 2 3 3" xfId="65"/>
    <cellStyle name="Normal 10 2 4" xfId="66"/>
    <cellStyle name="Normal 10 2 4 2" xfId="67"/>
    <cellStyle name="Normal 10 2 5" xfId="68"/>
    <cellStyle name="Normal 10 2 5 2" xfId="69"/>
    <cellStyle name="Normal 10 2 6" xfId="70"/>
    <cellStyle name="Normal 10 3" xfId="71"/>
    <cellStyle name="Normal 10 3 2" xfId="72"/>
    <cellStyle name="Normal 10 3 2 2" xfId="73"/>
    <cellStyle name="Normal 10 3 2 2 2" xfId="74"/>
    <cellStyle name="Normal 10 3 2 3" xfId="75"/>
    <cellStyle name="Normal 10 3 3" xfId="76"/>
    <cellStyle name="Normal 10 3 3 2" xfId="77"/>
    <cellStyle name="Normal 10 3 4" xfId="78"/>
    <cellStyle name="Normal 10 3 4 2" xfId="79"/>
    <cellStyle name="Normal 10 3 5" xfId="80"/>
    <cellStyle name="Normal 10 4" xfId="81"/>
    <cellStyle name="Normal 10 4 2" xfId="82"/>
    <cellStyle name="Normal 10 4 2 2" xfId="83"/>
    <cellStyle name="Normal 10 4 3" xfId="84"/>
    <cellStyle name="Normal 10 5" xfId="85"/>
    <cellStyle name="Normal 10 5 2" xfId="86"/>
    <cellStyle name="Normal 10 6" xfId="87"/>
    <cellStyle name="Normal 10 6 2" xfId="88"/>
    <cellStyle name="Normal 10 7" xfId="89"/>
    <cellStyle name="Normal 11" xfId="90"/>
    <cellStyle name="Normal 11 2" xfId="91"/>
    <cellStyle name="Normal 2" xfId="2"/>
    <cellStyle name="Normal 2 2" xfId="92"/>
    <cellStyle name="Normal 2 2 2" xfId="5"/>
    <cellStyle name="Normal 2 2 2 2" xfId="93"/>
    <cellStyle name="Normal 2 3" xfId="94"/>
    <cellStyle name="Normal 2 3 2" xfId="95"/>
    <cellStyle name="Normal 2 3 2 2" xfId="96"/>
    <cellStyle name="Normal 2 3 3" xfId="97"/>
    <cellStyle name="Normal 2 3 3 2" xfId="98"/>
    <cellStyle name="Normal 2 3 4" xfId="99"/>
    <cellStyle name="Normal 2 3 5" xfId="100"/>
    <cellStyle name="Normal 3" xfId="101"/>
    <cellStyle name="Normal 3 2" xfId="102"/>
    <cellStyle name="Normal 3 2 2" xfId="103"/>
    <cellStyle name="Normal 3 2 2 2" xfId="104"/>
    <cellStyle name="Normal 3 2 2 2 2" xfId="105"/>
    <cellStyle name="Normal 3 2 2 2 2 2" xfId="106"/>
    <cellStyle name="Normal 3 2 2 2 3" xfId="107"/>
    <cellStyle name="Normal 3 2 2 3" xfId="108"/>
    <cellStyle name="Normal 3 2 2 3 2" xfId="109"/>
    <cellStyle name="Normal 3 2 2 4" xfId="110"/>
    <cellStyle name="Normal 3 2 2 4 2" xfId="111"/>
    <cellStyle name="Normal 3 2 2 5" xfId="112"/>
    <cellStyle name="Normal 3 2 3" xfId="113"/>
    <cellStyle name="Normal 3 2 3 2" xfId="114"/>
    <cellStyle name="Normal 3 2 3 2 2" xfId="115"/>
    <cellStyle name="Normal 3 2 3 3" xfId="116"/>
    <cellStyle name="Normal 3 2 4" xfId="117"/>
    <cellStyle name="Normal 3 2 4 2" xfId="118"/>
    <cellStyle name="Normal 3 2 5" xfId="119"/>
    <cellStyle name="Normal 3 2 5 2" xfId="120"/>
    <cellStyle name="Normal 3 2 6" xfId="121"/>
    <cellStyle name="Normal 3 3" xfId="122"/>
    <cellStyle name="Normal 3 3 2" xfId="123"/>
    <cellStyle name="Normal 3 3 2 2" xfId="124"/>
    <cellStyle name="Normal 3 3 2 2 2" xfId="125"/>
    <cellStyle name="Normal 3 3 2 3" xfId="126"/>
    <cellStyle name="Normal 3 3 3" xfId="127"/>
    <cellStyle name="Normal 3 3 3 2" xfId="128"/>
    <cellStyle name="Normal 3 3 4" xfId="129"/>
    <cellStyle name="Normal 3 3 4 2" xfId="130"/>
    <cellStyle name="Normal 3 3 5" xfId="131"/>
    <cellStyle name="Normal 3 4" xfId="132"/>
    <cellStyle name="Normal 3 4 2" xfId="133"/>
    <cellStyle name="Normal 3 4 2 2" xfId="134"/>
    <cellStyle name="Normal 3 4 2 2 2" xfId="135"/>
    <cellStyle name="Normal 3 4 2 3" xfId="136"/>
    <cellStyle name="Normal 3 4 3" xfId="137"/>
    <cellStyle name="Normal 3 4 3 2" xfId="138"/>
    <cellStyle name="Normal 3 4 4" xfId="139"/>
    <cellStyle name="Normal 3 4 4 2" xfId="140"/>
    <cellStyle name="Normal 3 4 5" xfId="141"/>
    <cellStyle name="Normal 3 4 6" xfId="142"/>
    <cellStyle name="Normal 3 5" xfId="143"/>
    <cellStyle name="Normal 3 5 2" xfId="144"/>
    <cellStyle name="Normal 3 5 2 2" xfId="145"/>
    <cellStyle name="Normal 3 5 2 2 2" xfId="146"/>
    <cellStyle name="Normal 3 5 2 3" xfId="147"/>
    <cellStyle name="Normal 3 5 3" xfId="148"/>
    <cellStyle name="Normal 3 5 3 2" xfId="149"/>
    <cellStyle name="Normal 3 5 4" xfId="150"/>
    <cellStyle name="Normal 3 5 4 2" xfId="151"/>
    <cellStyle name="Normal 3 5 5" xfId="152"/>
    <cellStyle name="Normal 3 6" xfId="153"/>
    <cellStyle name="Normal 3 6 2" xfId="154"/>
    <cellStyle name="Normal 3 6 2 2" xfId="155"/>
    <cellStyle name="Normal 3 6 3" xfId="156"/>
    <cellStyle name="Normal 3 7" xfId="157"/>
    <cellStyle name="Normal 3 7 2" xfId="158"/>
    <cellStyle name="Normal 3 8" xfId="159"/>
    <cellStyle name="Normal 3 8 2" xfId="160"/>
    <cellStyle name="Normal 3 9" xfId="161"/>
    <cellStyle name="Normal 4" xfId="162"/>
    <cellStyle name="Normal 4 2" xfId="163"/>
    <cellStyle name="Normal 5" xfId="164"/>
    <cellStyle name="Normal 5 2" xfId="165"/>
    <cellStyle name="Normal 5 2 2" xfId="166"/>
    <cellStyle name="Normal 5 2 2 2" xfId="167"/>
    <cellStyle name="Normal 5 2 2 2 2" xfId="168"/>
    <cellStyle name="Normal 5 2 2 3" xfId="169"/>
    <cellStyle name="Normal 5 2 2 3 2" xfId="170"/>
    <cellStyle name="Normal 5 2 2 4" xfId="171"/>
    <cellStyle name="Normal 5 2 3" xfId="172"/>
    <cellStyle name="Normal 5 2 3 2" xfId="173"/>
    <cellStyle name="Normal 5 2 4" xfId="174"/>
    <cellStyle name="Normal 5 2 4 2" xfId="175"/>
    <cellStyle name="Normal 5 2 5" xfId="176"/>
    <cellStyle name="Normal 5 3" xfId="177"/>
    <cellStyle name="Normal 5 3 2" xfId="178"/>
    <cellStyle name="Normal 5 3 2 2" xfId="179"/>
    <cellStyle name="Normal 5 3 3" xfId="180"/>
    <cellStyle name="Normal 5 3 3 2" xfId="181"/>
    <cellStyle name="Normal 5 3 4" xfId="182"/>
    <cellStyle name="Normal 5 4" xfId="183"/>
    <cellStyle name="Normal 5 4 2" xfId="184"/>
    <cellStyle name="Normal 5 5" xfId="185"/>
    <cellStyle name="Normal 5 5 2" xfId="186"/>
    <cellStyle name="Normal 5 6" xfId="187"/>
    <cellStyle name="Normal 5 7" xfId="188"/>
    <cellStyle name="Normal 6" xfId="189"/>
    <cellStyle name="Normal 6 2" xfId="190"/>
    <cellStyle name="Normal 7" xfId="191"/>
    <cellStyle name="Normal 7 2" xfId="192"/>
    <cellStyle name="Normal 7 2 2" xfId="193"/>
    <cellStyle name="Normal 7 2 2 2" xfId="194"/>
    <cellStyle name="Normal 7 2 3" xfId="195"/>
    <cellStyle name="Normal 7 2 3 2" xfId="196"/>
    <cellStyle name="Normal 7 2 4" xfId="197"/>
    <cellStyle name="Normal 7 3" xfId="198"/>
    <cellStyle name="Normal 7 3 2" xfId="199"/>
    <cellStyle name="Normal 7 4" xfId="200"/>
    <cellStyle name="Normal 7 4 2" xfId="201"/>
    <cellStyle name="Normal 7 5" xfId="202"/>
    <cellStyle name="Normal 7 6" xfId="203"/>
    <cellStyle name="Normal 8" xfId="204"/>
    <cellStyle name="Normal 8 2" xfId="205"/>
    <cellStyle name="Normal 9" xfId="206"/>
    <cellStyle name="Normal 9 2" xfId="207"/>
    <cellStyle name="Normal 9 2 2" xfId="208"/>
    <cellStyle name="Normal 9 2 2 2" xfId="209"/>
    <cellStyle name="Normal 9 2 3" xfId="210"/>
    <cellStyle name="Normal 9 2 3 2" xfId="211"/>
    <cellStyle name="Normal 9 2 4" xfId="212"/>
    <cellStyle name="Normal 9 3" xfId="213"/>
    <cellStyle name="Normal 9 3 2" xfId="214"/>
    <cellStyle name="Normal 9 4" xfId="215"/>
    <cellStyle name="Normal 9 4 2" xfId="216"/>
    <cellStyle name="Normal 9 5" xfId="217"/>
    <cellStyle name="Normal 9 6" xfId="218"/>
    <cellStyle name="Notiz" xfId="219"/>
    <cellStyle name="Percent 2" xfId="220"/>
    <cellStyle name="Percent 2 2" xfId="221"/>
    <cellStyle name="Percent 2 2 2" xfId="222"/>
    <cellStyle name="Percent 2 3" xfId="223"/>
    <cellStyle name="Schlecht" xfId="224"/>
    <cellStyle name="Standard 2" xfId="225"/>
    <cellStyle name="Standard 2 2" xfId="226"/>
    <cellStyle name="Standard_EBT" xfId="227"/>
    <cellStyle name="Standard_khr_GD_Routing_RG600" xfId="7"/>
    <cellStyle name="Standard_mfaERR" xfId="3"/>
    <cellStyle name="Standard_mfaERR 2" xfId="4"/>
    <cellStyle name="Standard_Variable_XT" xfId="6"/>
    <cellStyle name="Überschrift" xfId="228"/>
    <cellStyle name="Überschrift 1" xfId="229"/>
    <cellStyle name="Überschrift 2" xfId="230"/>
    <cellStyle name="Überschrift 3" xfId="231"/>
    <cellStyle name="Überschrift 4" xfId="232"/>
    <cellStyle name="Überschrift 5" xfId="233"/>
    <cellStyle name="Überschrift_AWB" xfId="234"/>
    <cellStyle name="Verknüpfte Zelle" xfId="235"/>
    <cellStyle name="Warnender Text" xfId="236"/>
    <cellStyle name="Zelle überprüfen" xfId="23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2</xdr:row>
          <xdr:rowOff>57150</xdr:rowOff>
        </xdr:from>
        <xdr:to>
          <xdr:col>7</xdr:col>
          <xdr:colOff>409575</xdr:colOff>
          <xdr:row>3</xdr:row>
          <xdr:rowOff>200025</xdr:rowOff>
        </xdr:to>
        <xdr:sp macro="" textlink="">
          <xdr:nvSpPr>
            <xdr:cNvPr id="1032" name="btnGenerat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odsrvfil001\home1\PROJEKTE\DOC\KHR\kh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AED/RG600/Doc/GD/GD_Routing_RG60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Jax_Doc/AED/Rogator/RG3/Software/GD/GD_Routing_RG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  <sheetName val="EEPR_ADR"/>
      <sheetName val="GD_ID"/>
      <sheetName val="CALIB"/>
      <sheetName val="ERROR_CODE"/>
      <sheetName val="DIAG_MSG"/>
    </sheetNames>
    <sheetDataSet>
      <sheetData sheetId="0"/>
      <sheetData sheetId="1"/>
      <sheetData sheetId="2">
        <row r="70">
          <cell r="A70" t="str">
            <v>zu 1)</v>
          </cell>
          <cell r="B70" t="str">
            <v>Betriebsstatus</v>
          </cell>
          <cell r="D70" t="str">
            <v>DB5 - Bit7</v>
          </cell>
          <cell r="E70" t="str">
            <v>DB6 / DB7</v>
          </cell>
          <cell r="F70" t="str">
            <v>Bedeutung</v>
          </cell>
        </row>
        <row r="71">
          <cell r="D71" t="str">
            <v>---</v>
          </cell>
          <cell r="E71" t="str">
            <v>Bit 15</v>
          </cell>
          <cell r="F71" t="str">
            <v>Betätigung über Hecktaster</v>
          </cell>
        </row>
        <row r="72">
          <cell r="D72" t="str">
            <v>---</v>
          </cell>
          <cell r="E72" t="str">
            <v>Bit 14</v>
          </cell>
          <cell r="F72" t="str">
            <v>Starre Ackerschiene</v>
          </cell>
        </row>
        <row r="73">
          <cell r="D73" t="str">
            <v>---</v>
          </cell>
          <cell r="E73" t="str">
            <v>Bit 13</v>
          </cell>
          <cell r="F73" t="str">
            <v>Tastbetrieb/Automatik</v>
          </cell>
        </row>
        <row r="74">
          <cell r="D74" t="str">
            <v>---</v>
          </cell>
          <cell r="E74" t="str">
            <v>Bit 12</v>
          </cell>
          <cell r="F74" t="str">
            <v>Schnelleinzug</v>
          </cell>
        </row>
        <row r="75">
          <cell r="D75" t="str">
            <v>---</v>
          </cell>
          <cell r="E75" t="str">
            <v>Bit 11</v>
          </cell>
          <cell r="F75" t="str">
            <v>---</v>
          </cell>
        </row>
        <row r="76">
          <cell r="D76" t="str">
            <v>---</v>
          </cell>
          <cell r="E76" t="str">
            <v>Bit 10</v>
          </cell>
          <cell r="F76" t="str">
            <v>Entriegelungsstatus</v>
          </cell>
        </row>
        <row r="77">
          <cell r="D77" t="str">
            <v>---</v>
          </cell>
          <cell r="E77" t="str">
            <v>Bit 9/8</v>
          </cell>
          <cell r="F77" t="str">
            <v>Stellung Aushubhebel</v>
          </cell>
        </row>
        <row r="78">
          <cell r="D78" t="str">
            <v>---</v>
          </cell>
          <cell r="E78" t="str">
            <v>Bit 7</v>
          </cell>
          <cell r="F78" t="str">
            <v>Schwingungstilgung</v>
          </cell>
        </row>
        <row r="79">
          <cell r="D79" t="str">
            <v>---</v>
          </cell>
          <cell r="E79" t="str">
            <v>Bit 6/5</v>
          </cell>
          <cell r="F79" t="str">
            <v>Betriebsart</v>
          </cell>
        </row>
        <row r="80">
          <cell r="D80" t="str">
            <v>---</v>
          </cell>
          <cell r="E80" t="str">
            <v>Bit 4/3</v>
          </cell>
          <cell r="F80" t="str">
            <v>Funktionsstatus</v>
          </cell>
        </row>
        <row r="81">
          <cell r="D81" t="str">
            <v>---</v>
          </cell>
          <cell r="E81" t="str">
            <v>Bit 2/1/0</v>
          </cell>
          <cell r="F81" t="str">
            <v>Ventilstatus</v>
          </cell>
        </row>
        <row r="83">
          <cell r="A83" t="str">
            <v>zu 2)</v>
          </cell>
          <cell r="B83" t="str">
            <v>Stellung Aushubhebel</v>
          </cell>
          <cell r="D83" t="str">
            <v>DB5 - Bit7</v>
          </cell>
          <cell r="E83" t="str">
            <v>DB6 / DB7</v>
          </cell>
          <cell r="F83" t="str">
            <v>Bedeutung</v>
          </cell>
        </row>
        <row r="84">
          <cell r="D84" t="str">
            <v>---</v>
          </cell>
          <cell r="E84">
            <v>0</v>
          </cell>
          <cell r="F84" t="str">
            <v>STOP</v>
          </cell>
        </row>
        <row r="85">
          <cell r="D85" t="str">
            <v>---</v>
          </cell>
          <cell r="E85">
            <v>1</v>
          </cell>
          <cell r="F85" t="str">
            <v>Heben (UP)</v>
          </cell>
        </row>
        <row r="86">
          <cell r="D86" t="str">
            <v>---</v>
          </cell>
          <cell r="E86">
            <v>2</v>
          </cell>
          <cell r="F86" t="str">
            <v>Senken (DOWN)</v>
          </cell>
        </row>
        <row r="87">
          <cell r="D87" t="str">
            <v>---</v>
          </cell>
          <cell r="E87">
            <v>3</v>
          </cell>
          <cell r="F87" t="str">
            <v>Schnelleinzug (FASTDOWN)</v>
          </cell>
        </row>
        <row r="89">
          <cell r="A89" t="str">
            <v>zu 3)</v>
          </cell>
          <cell r="B89" t="str">
            <v>Aktivierung der Automatik</v>
          </cell>
          <cell r="D89" t="str">
            <v>DB5 - Bit7</v>
          </cell>
          <cell r="E89" t="str">
            <v>DB6</v>
          </cell>
          <cell r="F89" t="str">
            <v>Stellung des Schalters Tauschfunktion</v>
          </cell>
        </row>
        <row r="90">
          <cell r="D90" t="str">
            <v>---</v>
          </cell>
          <cell r="E90" t="str">
            <v>0x00</v>
          </cell>
          <cell r="F90" t="str">
            <v>Normalstellung</v>
          </cell>
        </row>
        <row r="91">
          <cell r="D91" t="str">
            <v>---</v>
          </cell>
          <cell r="E91" t="str">
            <v>0x01</v>
          </cell>
          <cell r="F91" t="str">
            <v>Tauschfunktion 1</v>
          </cell>
        </row>
        <row r="92">
          <cell r="D92" t="str">
            <v>---</v>
          </cell>
          <cell r="E92" t="str">
            <v>0x02</v>
          </cell>
          <cell r="F92" t="str">
            <v>Tauschfunktion 2</v>
          </cell>
        </row>
        <row r="93">
          <cell r="D93" t="str">
            <v>---</v>
          </cell>
          <cell r="E93" t="str">
            <v>0x03</v>
          </cell>
          <cell r="F93" t="str">
            <v>Tauschfunktion 3</v>
          </cell>
        </row>
        <row r="95">
          <cell r="D95" t="str">
            <v>DB5 - Bit7</v>
          </cell>
          <cell r="E95" t="str">
            <v>DB7</v>
          </cell>
          <cell r="F95" t="str">
            <v>Tasten auf denen die Heckkraftheberautomatik liegt</v>
          </cell>
        </row>
        <row r="96">
          <cell r="D96">
            <v>0</v>
          </cell>
          <cell r="E96" t="str">
            <v>0x00</v>
          </cell>
          <cell r="F96" t="str">
            <v>keine Tasten für Heckkraftheberautomatik</v>
          </cell>
        </row>
        <row r="97">
          <cell r="D97">
            <v>1</v>
          </cell>
          <cell r="E97" t="str">
            <v>0x01</v>
          </cell>
          <cell r="F97" t="str">
            <v>Ventiltasten rechts</v>
          </cell>
        </row>
        <row r="98">
          <cell r="D98">
            <v>1</v>
          </cell>
          <cell r="E98" t="str">
            <v>0x02</v>
          </cell>
          <cell r="F98" t="str">
            <v>Tasten "Kleblatt" senkrecht</v>
          </cell>
        </row>
        <row r="99">
          <cell r="D99">
            <v>1</v>
          </cell>
          <cell r="E99" t="str">
            <v>0x04</v>
          </cell>
          <cell r="F99" t="str">
            <v>Tasten "Kleblatt" waagrecht</v>
          </cell>
        </row>
        <row r="100">
          <cell r="D100">
            <v>1</v>
          </cell>
          <cell r="E100" t="str">
            <v>0x08</v>
          </cell>
          <cell r="F100" t="str">
            <v>Ventiltasten links</v>
          </cell>
        </row>
        <row r="102">
          <cell r="A102" t="str">
            <v>zu 4)</v>
          </cell>
          <cell r="B102" t="str">
            <v>Subzustand</v>
          </cell>
          <cell r="D102" t="str">
            <v>DB5 - Bit7</v>
          </cell>
          <cell r="E102" t="str">
            <v>DB6</v>
          </cell>
          <cell r="F102" t="str">
            <v>Bedeutung</v>
          </cell>
        </row>
        <row r="103">
          <cell r="D103" t="str">
            <v>---</v>
          </cell>
          <cell r="E103" t="str">
            <v>0x00</v>
          </cell>
          <cell r="F103" t="str">
            <v xml:space="preserve">DEAKTIV       </v>
          </cell>
        </row>
        <row r="104">
          <cell r="D104" t="str">
            <v>---</v>
          </cell>
          <cell r="E104" t="str">
            <v>0x01</v>
          </cell>
          <cell r="F104" t="str">
            <v xml:space="preserve">TI_INIT       </v>
          </cell>
        </row>
        <row r="105">
          <cell r="D105" t="str">
            <v>---</v>
          </cell>
          <cell r="E105" t="str">
            <v>0x02</v>
          </cell>
          <cell r="F105" t="str">
            <v>RECORD_STANDBY</v>
          </cell>
        </row>
        <row r="106">
          <cell r="D106" t="str">
            <v>---</v>
          </cell>
          <cell r="E106" t="str">
            <v>0x03</v>
          </cell>
          <cell r="F106" t="str">
            <v xml:space="preserve">RECORD_AKTIV  </v>
          </cell>
        </row>
        <row r="107">
          <cell r="D107" t="str">
            <v>---</v>
          </cell>
          <cell r="E107" t="str">
            <v>0x04</v>
          </cell>
          <cell r="F107" t="str">
            <v xml:space="preserve">PLAY_STANDBY  </v>
          </cell>
        </row>
        <row r="108">
          <cell r="D108" t="str">
            <v>---</v>
          </cell>
          <cell r="E108" t="str">
            <v>0x05</v>
          </cell>
          <cell r="F108" t="str">
            <v xml:space="preserve">PLAY_AKTIV    </v>
          </cell>
        </row>
        <row r="109">
          <cell r="D109" t="str">
            <v>---</v>
          </cell>
          <cell r="E109" t="str">
            <v>0x06</v>
          </cell>
          <cell r="F109" t="str">
            <v xml:space="preserve">CONFIG        </v>
          </cell>
        </row>
        <row r="110">
          <cell r="D110" t="str">
            <v>---</v>
          </cell>
          <cell r="E110" t="str">
            <v>0x07</v>
          </cell>
          <cell r="F110" t="str">
            <v xml:space="preserve">EDIT          </v>
          </cell>
        </row>
        <row r="111">
          <cell r="D111" t="str">
            <v>---</v>
          </cell>
          <cell r="E111" t="str">
            <v>0x08</v>
          </cell>
          <cell r="F111" t="str">
            <v xml:space="preserve">DATAXCHANGE   </v>
          </cell>
        </row>
        <row r="112">
          <cell r="D112" t="str">
            <v>---</v>
          </cell>
          <cell r="E112" t="str">
            <v>0xF0</v>
          </cell>
          <cell r="F112" t="str">
            <v xml:space="preserve">SAFESTATE     </v>
          </cell>
        </row>
        <row r="113">
          <cell r="D113" t="str">
            <v>---</v>
          </cell>
          <cell r="E113" t="str">
            <v>0xFF</v>
          </cell>
          <cell r="F113" t="str">
            <v>NO_SUBSTATEWXL</v>
          </cell>
        </row>
        <row r="115">
          <cell r="D115" t="str">
            <v>---</v>
          </cell>
          <cell r="E115" t="str">
            <v>DB7</v>
          </cell>
          <cell r="F115" t="str">
            <v>Bedeutung</v>
          </cell>
        </row>
        <row r="116">
          <cell r="D116" t="str">
            <v>---</v>
          </cell>
          <cell r="E116" t="str">
            <v>0x??</v>
          </cell>
          <cell r="F116" t="str">
            <v>Teilnehmernummer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s"/>
      <sheetName val="Readme"/>
      <sheetName val="Rules"/>
      <sheetName val="EXT Domain Areas"/>
      <sheetName val="Fendt Logical Nodes"/>
      <sheetName val="Routing-Data RG600"/>
      <sheetName val="NT01"/>
      <sheetName val="MFA"/>
      <sheetName val="DRIVE"/>
      <sheetName val="VD"/>
      <sheetName val="VG"/>
      <sheetName val="WBZ"/>
      <sheetName val="TI"/>
      <sheetName val="ZE"/>
      <sheetName val="LCP"/>
      <sheetName val="INFO"/>
      <sheetName val="SUSP"/>
      <sheetName val="SCT"/>
      <sheetName val="SBL"/>
      <sheetName val="TA"/>
      <sheetName val="RG600"/>
      <sheetName val="EMM"/>
      <sheetName val="CEAG"/>
      <sheetName val="TB"/>
      <sheetName val="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1">
          <cell r="P31" t="str">
            <v>RoGator 600</v>
          </cell>
        </row>
        <row r="55">
          <cell r="P55" t="str">
            <v>RoGator 600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s"/>
      <sheetName val="Readme"/>
      <sheetName val="Rules"/>
      <sheetName val="EXT Domain Areas"/>
      <sheetName val="Routing-Data RG3"/>
      <sheetName val="NT01"/>
      <sheetName val="CEAG"/>
      <sheetName val="MFA"/>
      <sheetName val="DRIVE"/>
      <sheetName val="EFC"/>
      <sheetName val="TELEMETRY"/>
      <sheetName val="ZE"/>
      <sheetName val="INFO"/>
      <sheetName val="WBZ"/>
      <sheetName val="SBL"/>
      <sheetName val="SCT"/>
      <sheetName val="TA"/>
      <sheetName val="RG3"/>
      <sheetName val="EMM"/>
      <sheetName val="ES"/>
      <sheetName val="LCP"/>
      <sheetName val="4WS"/>
      <sheetName val="DASH"/>
      <sheetName val="DIAGNOSE"/>
      <sheetName val="template"/>
      <sheetName val="Sheet2"/>
      <sheetName val="GD_Routing_RG3"/>
      <sheetName val="GDBridge"/>
      <sheetName val="PICTO"/>
      <sheetName val="TI"/>
      <sheetName val="DPG"/>
      <sheetName val="GW"/>
    </sheetNames>
    <sheetDataSet>
      <sheetData sheetId="0"/>
      <sheetData sheetId="1"/>
      <sheetData sheetId="2"/>
      <sheetData sheetId="3"/>
      <sheetData sheetId="4">
        <row r="6">
          <cell r="B6" t="str">
            <v>DASH</v>
          </cell>
        </row>
        <row r="23">
          <cell r="P23" t="str">
            <v>Select Machine Variant</v>
          </cell>
        </row>
        <row r="29">
          <cell r="P29" t="str">
            <v>Generate Data for:</v>
          </cell>
        </row>
        <row r="30">
          <cell r="P30" t="str">
            <v>RG3</v>
          </cell>
        </row>
        <row r="32">
          <cell r="P32" t="str">
            <v>Generate Source Code</v>
          </cell>
        </row>
        <row r="34">
          <cell r="P34" t="str">
            <v>EXT File Name:</v>
          </cell>
        </row>
        <row r="35">
          <cell r="P35" t="str">
            <v>NT01 XML File Name:</v>
          </cell>
        </row>
        <row r="36">
          <cell r="P36" t="str">
            <v>EDT XML File Name:</v>
          </cell>
        </row>
        <row r="37">
          <cell r="P37" t="str">
            <v>GD DBC File Name:</v>
          </cell>
        </row>
        <row r="38">
          <cell r="P38" t="str">
            <v>Simplified GD DBC File Name:</v>
          </cell>
        </row>
        <row r="53">
          <cell r="P53" t="str">
            <v>Machine Variants</v>
          </cell>
        </row>
        <row r="54">
          <cell r="P54" t="str">
            <v>RG3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  <sheetData sheetId="27"/>
      <sheetData sheetId="28"/>
      <sheetData sheetId="29"/>
      <sheetData sheetId="30"/>
      <sheetData sheetId="3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8"/>
  <dimension ref="A1:AA596"/>
  <sheetViews>
    <sheetView tabSelected="1" zoomScale="85" workbookViewId="0">
      <pane xSplit="1" ySplit="10" topLeftCell="B281" activePane="bottomRight" state="frozen"/>
      <selection pane="topRight" activeCell="B1" sqref="B1"/>
      <selection pane="bottomLeft" activeCell="A11" sqref="A11"/>
      <selection pane="bottomRight" activeCell="A314" sqref="A314:XFD314"/>
    </sheetView>
  </sheetViews>
  <sheetFormatPr defaultColWidth="11.42578125" defaultRowHeight="12.75" x14ac:dyDescent="0.2"/>
  <cols>
    <col min="1" max="1" width="8.28515625" style="107" customWidth="1"/>
    <col min="2" max="2" width="8.28515625" style="114" customWidth="1"/>
    <col min="3" max="3" width="49.5703125" customWidth="1"/>
    <col min="4" max="8" width="9.42578125" style="107" customWidth="1"/>
    <col min="9" max="9" width="9.42578125" style="108" customWidth="1"/>
    <col min="10" max="10" width="9.42578125" customWidth="1"/>
    <col min="11" max="11" width="9.85546875" bestFit="1" customWidth="1"/>
    <col min="12" max="12" width="84.7109375" bestFit="1" customWidth="1"/>
    <col min="13" max="13" width="12" customWidth="1"/>
    <col min="14" max="16" width="11.42578125" customWidth="1"/>
    <col min="17" max="17" width="16.140625" style="1" customWidth="1"/>
    <col min="18" max="18" width="12.42578125" bestFit="1" customWidth="1"/>
    <col min="19" max="19" width="21" customWidth="1"/>
    <col min="20" max="20" width="20.28515625" customWidth="1"/>
    <col min="21" max="21" width="21.7109375" customWidth="1"/>
    <col min="22" max="22" width="37.28515625" style="12" customWidth="1"/>
    <col min="23" max="23" width="69.5703125" style="13" customWidth="1"/>
    <col min="24" max="24" width="11.42578125" style="14" customWidth="1"/>
    <col min="25" max="25" width="49" customWidth="1"/>
    <col min="26" max="26" width="37" customWidth="1"/>
    <col min="27" max="27" width="23.140625" customWidth="1"/>
  </cols>
  <sheetData>
    <row r="1" spans="1:27" ht="18" x14ac:dyDescent="0.25">
      <c r="A1" s="122" t="s">
        <v>0</v>
      </c>
      <c r="B1" s="122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V1" s="2"/>
      <c r="W1" s="3"/>
      <c r="X1" s="4"/>
    </row>
    <row r="3" spans="1:27" ht="18" x14ac:dyDescent="0.25">
      <c r="A3" s="5"/>
      <c r="B3" s="6"/>
      <c r="C3" s="7" t="s">
        <v>1</v>
      </c>
      <c r="D3" s="8" t="s">
        <v>2</v>
      </c>
      <c r="E3" s="5"/>
      <c r="F3" s="5"/>
      <c r="G3" s="9"/>
      <c r="H3" s="9"/>
      <c r="I3" s="5"/>
      <c r="J3" s="10"/>
      <c r="K3" s="10"/>
      <c r="L3" s="10"/>
      <c r="M3" s="11"/>
    </row>
    <row r="4" spans="1:27" ht="18" x14ac:dyDescent="0.25">
      <c r="A4" s="5"/>
      <c r="B4" s="6"/>
      <c r="C4" s="8" t="s">
        <v>3</v>
      </c>
      <c r="D4" s="8">
        <v>5</v>
      </c>
      <c r="E4" s="15"/>
      <c r="F4" s="15"/>
      <c r="G4" s="16"/>
      <c r="H4" s="16"/>
      <c r="I4" s="15"/>
      <c r="J4" s="10"/>
      <c r="K4" s="10"/>
      <c r="L4" s="10"/>
      <c r="M4" s="11"/>
    </row>
    <row r="5" spans="1:27" ht="18" x14ac:dyDescent="0.25">
      <c r="A5" s="5"/>
      <c r="B5" s="6"/>
      <c r="C5" s="8" t="s">
        <v>4</v>
      </c>
      <c r="D5" s="8">
        <v>24</v>
      </c>
      <c r="E5" s="5"/>
      <c r="F5" s="5"/>
      <c r="G5" s="9"/>
      <c r="H5" s="9"/>
      <c r="I5" s="5"/>
      <c r="J5" s="10"/>
      <c r="K5" s="10"/>
      <c r="L5" s="10"/>
      <c r="M5" s="11"/>
      <c r="V5" s="17"/>
      <c r="W5" s="18"/>
      <c r="X5" s="19"/>
    </row>
    <row r="6" spans="1:27" x14ac:dyDescent="0.2">
      <c r="A6" s="20">
        <v>1</v>
      </c>
      <c r="B6" s="21">
        <v>2</v>
      </c>
      <c r="C6" s="20">
        <v>3</v>
      </c>
      <c r="D6" s="21">
        <v>4</v>
      </c>
      <c r="E6" s="20">
        <v>5</v>
      </c>
      <c r="F6" s="21">
        <v>6</v>
      </c>
      <c r="G6" s="20">
        <v>7</v>
      </c>
      <c r="H6" s="21">
        <v>8</v>
      </c>
      <c r="I6" s="20">
        <v>9</v>
      </c>
      <c r="J6" s="21">
        <v>10</v>
      </c>
      <c r="K6" s="20">
        <v>11</v>
      </c>
      <c r="L6" s="21">
        <v>12</v>
      </c>
      <c r="M6" s="20">
        <v>13</v>
      </c>
      <c r="N6" s="21">
        <v>14</v>
      </c>
      <c r="O6" s="20">
        <v>15</v>
      </c>
      <c r="P6" s="21">
        <v>16</v>
      </c>
      <c r="Q6" s="22">
        <v>17</v>
      </c>
      <c r="R6" s="21">
        <v>18</v>
      </c>
      <c r="S6" s="21">
        <v>19</v>
      </c>
      <c r="T6" s="21">
        <v>20</v>
      </c>
      <c r="U6" s="21">
        <v>21</v>
      </c>
      <c r="V6" s="23">
        <v>22</v>
      </c>
      <c r="W6" s="24">
        <v>23</v>
      </c>
      <c r="X6" s="25">
        <v>24</v>
      </c>
      <c r="Y6" s="21">
        <v>25</v>
      </c>
      <c r="Z6" s="21">
        <v>26</v>
      </c>
      <c r="AA6" s="21">
        <v>27</v>
      </c>
    </row>
    <row r="7" spans="1:27" x14ac:dyDescent="0.2">
      <c r="A7" s="11"/>
      <c r="B7" s="26"/>
      <c r="C7" s="11"/>
      <c r="D7" s="16"/>
      <c r="E7" s="16"/>
      <c r="F7" s="16"/>
      <c r="G7" s="16"/>
      <c r="H7" s="16"/>
      <c r="I7" s="11"/>
      <c r="J7" s="11"/>
      <c r="K7" s="11"/>
      <c r="L7" s="11"/>
      <c r="M7" s="11"/>
    </row>
    <row r="8" spans="1:27" s="13" customFormat="1" ht="25.5" x14ac:dyDescent="0.2">
      <c r="A8" s="124" t="s">
        <v>5</v>
      </c>
      <c r="B8" s="27" t="s">
        <v>6</v>
      </c>
      <c r="C8" s="125" t="s">
        <v>7</v>
      </c>
      <c r="D8" s="124" t="s">
        <v>8</v>
      </c>
      <c r="E8" s="28" t="s">
        <v>6</v>
      </c>
      <c r="F8" s="120" t="s">
        <v>9</v>
      </c>
      <c r="G8" s="120"/>
      <c r="H8" s="29" t="s">
        <v>10</v>
      </c>
      <c r="I8" s="28" t="s">
        <v>11</v>
      </c>
      <c r="J8" s="28" t="s">
        <v>12</v>
      </c>
      <c r="K8" s="124" t="s">
        <v>13</v>
      </c>
      <c r="L8" s="127" t="s">
        <v>14</v>
      </c>
      <c r="M8" s="120" t="s">
        <v>15</v>
      </c>
      <c r="N8" s="120"/>
      <c r="O8" s="120" t="s">
        <v>16</v>
      </c>
      <c r="P8" s="120"/>
      <c r="Q8" s="121" t="s">
        <v>17</v>
      </c>
      <c r="R8" s="28" t="s">
        <v>18</v>
      </c>
      <c r="S8" s="30" t="s">
        <v>19</v>
      </c>
      <c r="T8" s="30" t="s">
        <v>20</v>
      </c>
      <c r="U8" s="30" t="s">
        <v>21</v>
      </c>
      <c r="V8" s="31" t="s">
        <v>22</v>
      </c>
      <c r="W8" s="32" t="s">
        <v>23</v>
      </c>
      <c r="X8" s="33" t="s">
        <v>24</v>
      </c>
      <c r="Y8" s="34" t="s">
        <v>25</v>
      </c>
      <c r="Z8" s="34" t="s">
        <v>26</v>
      </c>
      <c r="AA8" s="35" t="s">
        <v>27</v>
      </c>
    </row>
    <row r="9" spans="1:27" s="13" customFormat="1" x14ac:dyDescent="0.2">
      <c r="A9" s="120"/>
      <c r="B9" s="36" t="s">
        <v>28</v>
      </c>
      <c r="C9" s="126"/>
      <c r="D9" s="120"/>
      <c r="E9" s="37" t="s">
        <v>29</v>
      </c>
      <c r="F9" s="37" t="s">
        <v>30</v>
      </c>
      <c r="G9" s="37" t="s">
        <v>31</v>
      </c>
      <c r="H9" s="37"/>
      <c r="I9" s="29" t="s">
        <v>32</v>
      </c>
      <c r="J9" s="37"/>
      <c r="K9" s="120"/>
      <c r="L9" s="127"/>
      <c r="M9" s="37" t="s">
        <v>33</v>
      </c>
      <c r="N9" s="37" t="s">
        <v>34</v>
      </c>
      <c r="O9" s="37" t="s">
        <v>35</v>
      </c>
      <c r="P9" s="37" t="s">
        <v>36</v>
      </c>
      <c r="Q9" s="121"/>
      <c r="R9" s="28"/>
      <c r="S9" s="28"/>
      <c r="T9" s="28"/>
      <c r="U9" s="28"/>
      <c r="V9" s="38"/>
      <c r="W9" s="39"/>
      <c r="X9" s="40"/>
      <c r="Y9" s="41"/>
      <c r="Z9" s="18"/>
      <c r="AA9" s="41"/>
    </row>
    <row r="10" spans="1:27" s="42" customFormat="1" ht="13.5" thickBot="1" x14ac:dyDescent="0.25">
      <c r="B10" s="43"/>
      <c r="D10" s="44"/>
      <c r="E10" s="44"/>
      <c r="F10" s="45"/>
      <c r="G10" s="45"/>
      <c r="H10" s="45"/>
      <c r="I10" s="44"/>
      <c r="J10" s="46"/>
      <c r="K10" s="47"/>
      <c r="L10" s="47"/>
      <c r="Q10" s="48"/>
      <c r="V10" s="49"/>
      <c r="W10" s="50"/>
      <c r="X10" s="51"/>
      <c r="Y10" s="52"/>
      <c r="Z10" s="44"/>
      <c r="AA10" s="52"/>
    </row>
    <row r="11" spans="1:27" s="13" customFormat="1" ht="13.5" thickTop="1" x14ac:dyDescent="0.2">
      <c r="A11" s="53">
        <v>0</v>
      </c>
      <c r="B11" s="54"/>
      <c r="C11" s="55" t="s">
        <v>37</v>
      </c>
      <c r="D11" s="53" t="s">
        <v>38</v>
      </c>
      <c r="E11" s="56" t="s">
        <v>39</v>
      </c>
      <c r="F11" s="57">
        <v>0</v>
      </c>
      <c r="G11" s="58">
        <v>65535</v>
      </c>
      <c r="H11" s="59">
        <v>0</v>
      </c>
      <c r="I11" s="60">
        <v>1</v>
      </c>
      <c r="J11" s="61"/>
      <c r="K11" s="56"/>
      <c r="L11" s="61" t="s">
        <v>40</v>
      </c>
      <c r="M11" s="62">
        <f>$D$5</f>
        <v>24</v>
      </c>
      <c r="N11" s="62">
        <f>$D$4</f>
        <v>5</v>
      </c>
      <c r="O11" s="62">
        <f>IF(A11&lt;&gt;"",M11*2^9+A11,"")</f>
        <v>12288</v>
      </c>
      <c r="P11" s="62" t="str">
        <f>IF(A11&lt;&gt;"","0x" &amp;DEC2HEX( O11,4),"")</f>
        <v>0x3000</v>
      </c>
      <c r="Q11" s="63"/>
      <c r="R11" s="64"/>
      <c r="S11" s="65"/>
      <c r="T11" s="65"/>
      <c r="U11" s="66"/>
      <c r="V11" s="12"/>
      <c r="W11" s="67"/>
      <c r="X11" s="14"/>
      <c r="Y11"/>
      <c r="Z11" s="67"/>
      <c r="AA11"/>
    </row>
    <row r="12" spans="1:27" x14ac:dyDescent="0.2">
      <c r="A12" s="53">
        <v>1</v>
      </c>
      <c r="B12" s="54"/>
      <c r="C12" s="55" t="s">
        <v>41</v>
      </c>
      <c r="D12" s="53" t="s">
        <v>42</v>
      </c>
      <c r="E12" s="56" t="s">
        <v>39</v>
      </c>
      <c r="F12" s="53">
        <v>0</v>
      </c>
      <c r="G12" s="58">
        <v>65535</v>
      </c>
      <c r="H12" s="68">
        <v>0</v>
      </c>
      <c r="I12" s="69">
        <v>1</v>
      </c>
      <c r="J12" s="61"/>
      <c r="K12" s="56"/>
      <c r="L12" s="55" t="s">
        <v>43</v>
      </c>
      <c r="M12" s="53">
        <f>$D$5</f>
        <v>24</v>
      </c>
      <c r="N12" s="53">
        <f>$D$4</f>
        <v>5</v>
      </c>
      <c r="O12" s="53">
        <f>IF(A12&lt;&gt;"",M12*2^9+A12,"")</f>
        <v>12289</v>
      </c>
      <c r="P12" s="56" t="str">
        <f>IF(A12&lt;&gt;"","0x" &amp;DEC2HEX( O12,4),"")</f>
        <v>0x3001</v>
      </c>
      <c r="Q12" s="63"/>
      <c r="R12" s="70"/>
      <c r="S12" s="71"/>
      <c r="T12" s="71"/>
      <c r="U12" s="66"/>
      <c r="W12" s="55"/>
      <c r="Z12" s="55"/>
    </row>
    <row r="13" spans="1:27" x14ac:dyDescent="0.2">
      <c r="A13" s="53"/>
      <c r="B13" s="54"/>
      <c r="C13" s="72" t="s">
        <v>44</v>
      </c>
      <c r="D13" s="53"/>
      <c r="E13" s="56"/>
      <c r="F13" s="53"/>
      <c r="G13" s="58"/>
      <c r="H13" s="68"/>
      <c r="I13" s="69"/>
      <c r="J13" s="61"/>
      <c r="K13" s="56"/>
      <c r="L13" s="61" t="s">
        <v>45</v>
      </c>
      <c r="M13" s="53"/>
      <c r="N13" s="53"/>
      <c r="O13" s="53"/>
      <c r="P13" s="56"/>
      <c r="Q13" s="63"/>
      <c r="R13" s="70"/>
      <c r="S13" s="71"/>
      <c r="T13" s="71"/>
      <c r="U13" s="66"/>
      <c r="W13" s="55"/>
      <c r="Z13" s="55"/>
    </row>
    <row r="14" spans="1:27" x14ac:dyDescent="0.2">
      <c r="A14" s="53"/>
      <c r="B14" s="54"/>
      <c r="C14" s="72" t="s">
        <v>44</v>
      </c>
      <c r="D14" s="53"/>
      <c r="E14" s="56"/>
      <c r="F14" s="53"/>
      <c r="G14" s="58"/>
      <c r="H14" s="68"/>
      <c r="I14" s="69"/>
      <c r="J14" s="61"/>
      <c r="K14" s="56"/>
      <c r="L14" s="61" t="s">
        <v>46</v>
      </c>
      <c r="M14" s="53"/>
      <c r="N14" s="53"/>
      <c r="O14" s="53"/>
      <c r="P14" s="56"/>
      <c r="Q14" s="63"/>
      <c r="R14" s="70"/>
      <c r="S14" s="71"/>
      <c r="T14" s="71"/>
      <c r="U14" s="66"/>
      <c r="W14" s="55"/>
      <c r="Z14" s="55"/>
    </row>
    <row r="15" spans="1:27" x14ac:dyDescent="0.2">
      <c r="A15" s="53"/>
      <c r="B15" s="54"/>
      <c r="C15" s="72" t="s">
        <v>44</v>
      </c>
      <c r="D15" s="53"/>
      <c r="E15" s="56"/>
      <c r="F15" s="53"/>
      <c r="G15" s="58"/>
      <c r="H15" s="68"/>
      <c r="I15" s="69"/>
      <c r="J15" s="61"/>
      <c r="K15" s="56"/>
      <c r="L15" s="61" t="s">
        <v>47</v>
      </c>
      <c r="M15" s="53"/>
      <c r="N15" s="53"/>
      <c r="O15" s="53"/>
      <c r="P15" s="56"/>
      <c r="Q15" s="63"/>
      <c r="R15" s="70"/>
      <c r="S15" s="71"/>
      <c r="T15" s="71"/>
      <c r="U15" s="66"/>
      <c r="W15" s="55"/>
      <c r="Z15" s="55"/>
    </row>
    <row r="16" spans="1:27" x14ac:dyDescent="0.2">
      <c r="A16" s="53"/>
      <c r="B16" s="54"/>
      <c r="C16" s="72" t="s">
        <v>44</v>
      </c>
      <c r="D16" s="53"/>
      <c r="E16" s="56"/>
      <c r="F16" s="53"/>
      <c r="G16" s="58"/>
      <c r="H16" s="68"/>
      <c r="I16" s="69"/>
      <c r="J16" s="61"/>
      <c r="K16" s="56"/>
      <c r="L16" s="61" t="s">
        <v>48</v>
      </c>
      <c r="M16" s="53"/>
      <c r="N16" s="53"/>
      <c r="O16" s="53"/>
      <c r="P16" s="56"/>
      <c r="Q16" s="63"/>
      <c r="R16" s="70"/>
      <c r="S16" s="71"/>
      <c r="T16" s="71"/>
      <c r="U16" s="66"/>
      <c r="W16" s="55"/>
      <c r="Z16" s="55"/>
    </row>
    <row r="17" spans="1:26" x14ac:dyDescent="0.2">
      <c r="A17" s="53"/>
      <c r="B17" s="54"/>
      <c r="C17" s="72" t="s">
        <v>44</v>
      </c>
      <c r="D17" s="53"/>
      <c r="E17" s="56"/>
      <c r="F17" s="53"/>
      <c r="G17" s="58"/>
      <c r="H17" s="68"/>
      <c r="I17" s="69"/>
      <c r="J17" s="61"/>
      <c r="K17" s="56"/>
      <c r="L17" s="61" t="s">
        <v>49</v>
      </c>
      <c r="M17" s="53"/>
      <c r="N17" s="53"/>
      <c r="O17" s="53"/>
      <c r="P17" s="56"/>
      <c r="Q17" s="63"/>
      <c r="R17" s="70"/>
      <c r="S17" s="71"/>
      <c r="T17" s="71"/>
      <c r="U17" s="66"/>
      <c r="W17" s="55"/>
      <c r="Z17" s="55"/>
    </row>
    <row r="18" spans="1:26" x14ac:dyDescent="0.2">
      <c r="A18" s="53"/>
      <c r="B18" s="54"/>
      <c r="C18" s="72" t="s">
        <v>44</v>
      </c>
      <c r="D18" s="53"/>
      <c r="E18" s="56"/>
      <c r="F18" s="53"/>
      <c r="G18" s="58"/>
      <c r="H18" s="68"/>
      <c r="I18" s="69"/>
      <c r="J18" s="61"/>
      <c r="K18" s="56"/>
      <c r="L18" s="61" t="s">
        <v>50</v>
      </c>
      <c r="M18" s="53"/>
      <c r="N18" s="53"/>
      <c r="O18" s="53"/>
      <c r="P18" s="56"/>
      <c r="Q18" s="63"/>
      <c r="R18" s="70"/>
      <c r="S18" s="71"/>
      <c r="T18" s="71"/>
      <c r="U18" s="66"/>
      <c r="W18" s="55"/>
      <c r="Z18" s="55"/>
    </row>
    <row r="19" spans="1:26" x14ac:dyDescent="0.2">
      <c r="A19" s="53"/>
      <c r="B19" s="54"/>
      <c r="C19" s="72" t="s">
        <v>44</v>
      </c>
      <c r="D19" s="53"/>
      <c r="E19" s="56"/>
      <c r="F19" s="53"/>
      <c r="G19" s="58"/>
      <c r="H19" s="68"/>
      <c r="I19" s="69"/>
      <c r="J19" s="61"/>
      <c r="K19" s="56"/>
      <c r="L19" s="61" t="s">
        <v>51</v>
      </c>
      <c r="M19" s="53"/>
      <c r="N19" s="53"/>
      <c r="O19" s="53"/>
      <c r="P19" s="56"/>
      <c r="Q19" s="63"/>
      <c r="R19" s="70"/>
      <c r="S19" s="71"/>
      <c r="T19" s="71"/>
      <c r="U19" s="66"/>
      <c r="W19" s="55"/>
      <c r="Z19" s="55"/>
    </row>
    <row r="20" spans="1:26" x14ac:dyDescent="0.2">
      <c r="A20" s="53"/>
      <c r="B20" s="54"/>
      <c r="C20" s="72" t="s">
        <v>44</v>
      </c>
      <c r="D20" s="53"/>
      <c r="E20" s="56"/>
      <c r="F20" s="53"/>
      <c r="G20" s="58"/>
      <c r="H20" s="68"/>
      <c r="I20" s="69"/>
      <c r="J20" s="61"/>
      <c r="K20" s="56"/>
      <c r="L20" s="61" t="s">
        <v>52</v>
      </c>
      <c r="M20" s="53"/>
      <c r="N20" s="53"/>
      <c r="O20" s="53"/>
      <c r="P20" s="56"/>
      <c r="Q20" s="63"/>
      <c r="R20" s="70"/>
      <c r="S20" s="71"/>
      <c r="T20" s="71"/>
      <c r="U20" s="66"/>
      <c r="W20" s="55"/>
      <c r="Z20" s="55"/>
    </row>
    <row r="21" spans="1:26" x14ac:dyDescent="0.2">
      <c r="A21" s="53"/>
      <c r="B21" s="54"/>
      <c r="C21" s="72" t="s">
        <v>44</v>
      </c>
      <c r="D21" s="53"/>
      <c r="E21" s="56"/>
      <c r="F21" s="53"/>
      <c r="G21" s="58"/>
      <c r="H21" s="68"/>
      <c r="I21" s="69"/>
      <c r="J21" s="61"/>
      <c r="K21" s="56"/>
      <c r="L21" s="61" t="s">
        <v>53</v>
      </c>
      <c r="M21" s="53"/>
      <c r="N21" s="53"/>
      <c r="O21" s="53"/>
      <c r="P21" s="56"/>
      <c r="Q21" s="63"/>
      <c r="R21" s="70"/>
      <c r="S21" s="71"/>
      <c r="T21" s="71"/>
      <c r="U21" s="66"/>
      <c r="W21" s="55"/>
      <c r="Z21" s="55"/>
    </row>
    <row r="22" spans="1:26" x14ac:dyDescent="0.2">
      <c r="A22" s="53">
        <v>2</v>
      </c>
      <c r="B22" s="54"/>
      <c r="C22" s="55" t="s">
        <v>54</v>
      </c>
      <c r="D22" s="53" t="s">
        <v>55</v>
      </c>
      <c r="E22" s="56" t="s">
        <v>39</v>
      </c>
      <c r="F22" s="53">
        <v>0</v>
      </c>
      <c r="G22" s="58">
        <v>65535</v>
      </c>
      <c r="H22" s="68">
        <v>0</v>
      </c>
      <c r="I22" s="69">
        <v>1</v>
      </c>
      <c r="J22" s="61"/>
      <c r="K22" s="56"/>
      <c r="L22" s="61" t="s">
        <v>56</v>
      </c>
      <c r="M22" s="53">
        <f>$D$5</f>
        <v>24</v>
      </c>
      <c r="N22" s="53">
        <f>$D$4</f>
        <v>5</v>
      </c>
      <c r="O22" s="53">
        <f>IF(A22&lt;&gt;"",M22*2^9+A22,"")</f>
        <v>12290</v>
      </c>
      <c r="P22" s="56" t="str">
        <f>IF(A22&lt;&gt;"","0x" &amp;DEC2HEX( O22,4),"")</f>
        <v>0x3002</v>
      </c>
      <c r="Q22" s="73"/>
      <c r="R22" s="70"/>
      <c r="S22" s="71"/>
      <c r="T22" s="71"/>
      <c r="U22" s="66"/>
      <c r="W22" s="55"/>
      <c r="Z22" s="55"/>
    </row>
    <row r="23" spans="1:26" x14ac:dyDescent="0.2">
      <c r="A23" s="53"/>
      <c r="B23" s="54"/>
      <c r="C23" s="72" t="s">
        <v>44</v>
      </c>
      <c r="D23" s="53"/>
      <c r="E23" s="56"/>
      <c r="F23" s="53"/>
      <c r="G23" s="58"/>
      <c r="H23" s="68"/>
      <c r="I23" s="69"/>
      <c r="J23" s="61"/>
      <c r="K23" s="56"/>
      <c r="L23" s="61" t="s">
        <v>57</v>
      </c>
      <c r="M23" s="53"/>
      <c r="N23" s="53"/>
      <c r="O23" s="53"/>
      <c r="P23" s="56"/>
      <c r="Q23" s="73"/>
      <c r="R23" s="70"/>
      <c r="S23" s="71"/>
      <c r="T23" s="71"/>
      <c r="U23" s="66"/>
      <c r="W23" s="55"/>
      <c r="Z23" s="55"/>
    </row>
    <row r="24" spans="1:26" x14ac:dyDescent="0.2">
      <c r="A24" s="53"/>
      <c r="B24" s="54"/>
      <c r="C24" s="72" t="s">
        <v>44</v>
      </c>
      <c r="D24" s="53"/>
      <c r="E24" s="56"/>
      <c r="F24" s="53"/>
      <c r="G24" s="58"/>
      <c r="H24" s="68"/>
      <c r="I24" s="69"/>
      <c r="J24" s="61"/>
      <c r="K24" s="56"/>
      <c r="L24" s="61" t="s">
        <v>58</v>
      </c>
      <c r="M24" s="53"/>
      <c r="N24" s="53"/>
      <c r="O24" s="53"/>
      <c r="P24" s="56"/>
      <c r="Q24" s="73"/>
      <c r="R24" s="70"/>
      <c r="S24" s="71"/>
      <c r="T24" s="71"/>
      <c r="U24" s="66"/>
      <c r="W24" s="55"/>
      <c r="Z24" s="55"/>
    </row>
    <row r="25" spans="1:26" x14ac:dyDescent="0.2">
      <c r="A25" s="53"/>
      <c r="B25" s="54"/>
      <c r="C25" s="72" t="s">
        <v>44</v>
      </c>
      <c r="D25" s="53"/>
      <c r="E25" s="56"/>
      <c r="F25" s="53"/>
      <c r="G25" s="58"/>
      <c r="H25" s="68"/>
      <c r="I25" s="69"/>
      <c r="J25" s="61"/>
      <c r="K25" s="56"/>
      <c r="L25" s="61" t="s">
        <v>59</v>
      </c>
      <c r="M25" s="53"/>
      <c r="N25" s="53"/>
      <c r="O25" s="53"/>
      <c r="P25" s="56"/>
      <c r="Q25" s="73"/>
      <c r="R25" s="70"/>
      <c r="S25" s="71"/>
      <c r="T25" s="71"/>
      <c r="U25" s="66"/>
      <c r="W25" s="55"/>
      <c r="Z25" s="55"/>
    </row>
    <row r="26" spans="1:26" x14ac:dyDescent="0.2">
      <c r="A26" s="53"/>
      <c r="B26" s="54"/>
      <c r="C26" s="72" t="s">
        <v>44</v>
      </c>
      <c r="D26" s="53"/>
      <c r="E26" s="56"/>
      <c r="F26" s="53"/>
      <c r="G26" s="58"/>
      <c r="H26" s="68"/>
      <c r="I26" s="69"/>
      <c r="J26" s="61"/>
      <c r="K26" s="56"/>
      <c r="L26" s="61" t="s">
        <v>60</v>
      </c>
      <c r="M26" s="53"/>
      <c r="N26" s="53"/>
      <c r="O26" s="53"/>
      <c r="P26" s="56"/>
      <c r="Q26" s="73"/>
      <c r="R26" s="70"/>
      <c r="S26" s="71"/>
      <c r="T26" s="71"/>
      <c r="U26" s="66"/>
      <c r="W26" s="55"/>
      <c r="Z26" s="55"/>
    </row>
    <row r="27" spans="1:26" x14ac:dyDescent="0.2">
      <c r="A27" s="53"/>
      <c r="B27" s="54"/>
      <c r="C27" s="72" t="s">
        <v>44</v>
      </c>
      <c r="D27" s="53"/>
      <c r="E27" s="56"/>
      <c r="F27" s="53"/>
      <c r="G27" s="58"/>
      <c r="H27" s="68"/>
      <c r="I27" s="69"/>
      <c r="J27" s="61"/>
      <c r="K27" s="56"/>
      <c r="L27" s="61" t="s">
        <v>61</v>
      </c>
      <c r="M27" s="53"/>
      <c r="N27" s="53"/>
      <c r="O27" s="53"/>
      <c r="P27" s="56"/>
      <c r="Q27" s="73"/>
      <c r="R27" s="70"/>
      <c r="S27" s="71"/>
      <c r="T27" s="71"/>
      <c r="U27" s="66"/>
      <c r="W27" s="55"/>
      <c r="Z27" s="55"/>
    </row>
    <row r="28" spans="1:26" x14ac:dyDescent="0.2">
      <c r="A28" s="53"/>
      <c r="B28" s="54"/>
      <c r="C28" s="72" t="s">
        <v>44</v>
      </c>
      <c r="D28" s="53"/>
      <c r="E28" s="56"/>
      <c r="F28" s="53"/>
      <c r="G28" s="58"/>
      <c r="H28" s="68"/>
      <c r="I28" s="69"/>
      <c r="J28" s="61"/>
      <c r="K28" s="56"/>
      <c r="L28" s="61" t="s">
        <v>62</v>
      </c>
      <c r="M28" s="53"/>
      <c r="N28" s="53"/>
      <c r="O28" s="53"/>
      <c r="P28" s="56"/>
      <c r="Q28" s="73"/>
      <c r="R28" s="70"/>
      <c r="S28" s="71"/>
      <c r="T28" s="71"/>
      <c r="U28" s="66"/>
      <c r="W28" s="55"/>
      <c r="Z28" s="55"/>
    </row>
    <row r="29" spans="1:26" x14ac:dyDescent="0.2">
      <c r="A29" s="53"/>
      <c r="B29" s="54"/>
      <c r="C29" s="72" t="s">
        <v>44</v>
      </c>
      <c r="D29" s="53"/>
      <c r="E29" s="56"/>
      <c r="F29" s="53"/>
      <c r="G29" s="58"/>
      <c r="H29" s="68"/>
      <c r="I29" s="69"/>
      <c r="J29" s="61"/>
      <c r="K29" s="56"/>
      <c r="L29" s="61" t="s">
        <v>63</v>
      </c>
      <c r="M29" s="53"/>
      <c r="N29" s="53"/>
      <c r="O29" s="53"/>
      <c r="P29" s="56"/>
      <c r="Q29" s="73"/>
      <c r="R29" s="70"/>
      <c r="S29" s="71"/>
      <c r="T29" s="71"/>
      <c r="U29" s="66"/>
      <c r="W29" s="55"/>
      <c r="Z29" s="55"/>
    </row>
    <row r="30" spans="1:26" x14ac:dyDescent="0.2">
      <c r="A30" s="53"/>
      <c r="B30" s="54"/>
      <c r="C30" s="72" t="s">
        <v>44</v>
      </c>
      <c r="D30" s="53"/>
      <c r="E30" s="56"/>
      <c r="F30" s="53"/>
      <c r="G30" s="58"/>
      <c r="H30" s="68"/>
      <c r="I30" s="69"/>
      <c r="J30" s="61"/>
      <c r="K30" s="56"/>
      <c r="L30" s="61" t="s">
        <v>64</v>
      </c>
      <c r="M30" s="53"/>
      <c r="N30" s="53"/>
      <c r="O30" s="53"/>
      <c r="P30" s="56"/>
      <c r="Q30" s="73"/>
      <c r="R30" s="70"/>
      <c r="S30" s="71"/>
      <c r="T30" s="71"/>
      <c r="U30" s="66"/>
      <c r="W30" s="55"/>
      <c r="Z30" s="55"/>
    </row>
    <row r="31" spans="1:26" x14ac:dyDescent="0.2">
      <c r="A31" s="53"/>
      <c r="B31" s="54"/>
      <c r="C31" s="72"/>
      <c r="D31" s="53"/>
      <c r="E31" s="56"/>
      <c r="F31" s="53"/>
      <c r="G31" s="58"/>
      <c r="H31" s="68"/>
      <c r="I31" s="69"/>
      <c r="J31" s="61"/>
      <c r="K31" s="56"/>
      <c r="L31" s="61"/>
      <c r="M31" s="53">
        <f t="shared" ref="M31:M43" si="0">$D$5</f>
        <v>24</v>
      </c>
      <c r="N31" s="53">
        <f t="shared" ref="N31:N43" si="1">$D$4</f>
        <v>5</v>
      </c>
      <c r="O31" s="53" t="str">
        <f t="shared" ref="O31:O43" si="2">IF(A31&lt;&gt;"",M31*2^9+A31,"")</f>
        <v/>
      </c>
      <c r="P31" s="56" t="str">
        <f t="shared" ref="P31:P43" si="3">IF(A31&lt;&gt;"","0x" &amp;DEC2HEX( O31,4),"")</f>
        <v/>
      </c>
      <c r="Q31" s="73"/>
      <c r="R31" s="70"/>
      <c r="S31" s="71"/>
      <c r="T31" s="71"/>
      <c r="U31" s="66"/>
      <c r="W31" s="55"/>
      <c r="Z31" s="55"/>
    </row>
    <row r="32" spans="1:26" x14ac:dyDescent="0.2">
      <c r="A32" s="53"/>
      <c r="B32" s="54"/>
      <c r="C32" s="72"/>
      <c r="D32" s="53"/>
      <c r="E32" s="53"/>
      <c r="F32" s="53"/>
      <c r="G32" s="58"/>
      <c r="H32" s="68"/>
      <c r="I32" s="69"/>
      <c r="J32" s="61"/>
      <c r="K32" s="56"/>
      <c r="L32" s="61"/>
      <c r="M32" s="53">
        <f t="shared" si="0"/>
        <v>24</v>
      </c>
      <c r="N32" s="53">
        <f t="shared" si="1"/>
        <v>5</v>
      </c>
      <c r="O32" s="53" t="str">
        <f t="shared" si="2"/>
        <v/>
      </c>
      <c r="P32" s="56" t="str">
        <f t="shared" si="3"/>
        <v/>
      </c>
      <c r="Q32" s="73"/>
      <c r="R32" s="70"/>
      <c r="S32" s="71"/>
      <c r="T32" s="71"/>
      <c r="U32" s="66"/>
      <c r="W32" s="55"/>
      <c r="Z32" s="55"/>
    </row>
    <row r="33" spans="1:26" x14ac:dyDescent="0.2">
      <c r="A33" s="53"/>
      <c r="B33" s="54"/>
      <c r="C33" s="72"/>
      <c r="D33" s="53"/>
      <c r="E33" s="53"/>
      <c r="F33" s="53"/>
      <c r="G33" s="58"/>
      <c r="H33" s="68"/>
      <c r="I33" s="69"/>
      <c r="J33" s="61"/>
      <c r="K33" s="56"/>
      <c r="L33" s="61"/>
      <c r="M33" s="53">
        <f t="shared" si="0"/>
        <v>24</v>
      </c>
      <c r="N33" s="53">
        <f t="shared" si="1"/>
        <v>5</v>
      </c>
      <c r="O33" s="53" t="str">
        <f t="shared" si="2"/>
        <v/>
      </c>
      <c r="P33" s="56" t="str">
        <f t="shared" si="3"/>
        <v/>
      </c>
      <c r="Q33" s="73"/>
      <c r="R33" s="70"/>
      <c r="S33" s="71"/>
      <c r="T33" s="71"/>
      <c r="U33" s="66"/>
      <c r="W33" s="55"/>
      <c r="Z33" s="55"/>
    </row>
    <row r="34" spans="1:26" x14ac:dyDescent="0.2">
      <c r="A34" s="53"/>
      <c r="B34" s="54"/>
      <c r="C34" s="55"/>
      <c r="D34" s="53"/>
      <c r="E34" s="56"/>
      <c r="F34" s="53"/>
      <c r="G34" s="58"/>
      <c r="H34" s="68"/>
      <c r="I34" s="69"/>
      <c r="J34" s="61"/>
      <c r="K34" s="56"/>
      <c r="L34" s="61"/>
      <c r="M34" s="53">
        <f t="shared" si="0"/>
        <v>24</v>
      </c>
      <c r="N34" s="53">
        <f t="shared" si="1"/>
        <v>5</v>
      </c>
      <c r="O34" s="53" t="str">
        <f t="shared" si="2"/>
        <v/>
      </c>
      <c r="P34" s="56" t="str">
        <f t="shared" si="3"/>
        <v/>
      </c>
      <c r="Q34" s="73"/>
      <c r="R34" s="70"/>
      <c r="S34" s="71"/>
      <c r="T34" s="71"/>
      <c r="U34" s="66"/>
      <c r="W34" s="55"/>
      <c r="Z34" s="55"/>
    </row>
    <row r="35" spans="1:26" x14ac:dyDescent="0.2">
      <c r="A35" s="53"/>
      <c r="B35" s="54"/>
      <c r="C35" s="55"/>
      <c r="D35" s="53"/>
      <c r="E35" s="53"/>
      <c r="F35" s="53"/>
      <c r="G35" s="58"/>
      <c r="H35" s="68"/>
      <c r="I35" s="69"/>
      <c r="J35" s="61"/>
      <c r="K35" s="56"/>
      <c r="L35" s="61"/>
      <c r="M35" s="53">
        <f t="shared" si="0"/>
        <v>24</v>
      </c>
      <c r="N35" s="53">
        <f t="shared" si="1"/>
        <v>5</v>
      </c>
      <c r="O35" s="53" t="str">
        <f t="shared" si="2"/>
        <v/>
      </c>
      <c r="P35" s="56" t="str">
        <f t="shared" si="3"/>
        <v/>
      </c>
      <c r="Q35" s="73"/>
      <c r="R35" s="70"/>
      <c r="S35" s="71"/>
      <c r="T35" s="71"/>
      <c r="U35" s="66"/>
      <c r="W35" s="55"/>
      <c r="Z35" s="55"/>
    </row>
    <row r="36" spans="1:26" x14ac:dyDescent="0.2">
      <c r="A36" s="53"/>
      <c r="B36" s="54"/>
      <c r="C36" s="55"/>
      <c r="D36" s="53"/>
      <c r="E36" s="53"/>
      <c r="F36" s="53"/>
      <c r="G36" s="58"/>
      <c r="H36" s="68"/>
      <c r="I36" s="69"/>
      <c r="J36" s="55"/>
      <c r="K36" s="56"/>
      <c r="L36" s="61"/>
      <c r="M36" s="53">
        <f t="shared" si="0"/>
        <v>24</v>
      </c>
      <c r="N36" s="53">
        <f t="shared" si="1"/>
        <v>5</v>
      </c>
      <c r="O36" s="53" t="str">
        <f t="shared" si="2"/>
        <v/>
      </c>
      <c r="P36" s="56" t="str">
        <f t="shared" si="3"/>
        <v/>
      </c>
      <c r="Q36" s="73"/>
      <c r="R36" s="70"/>
      <c r="S36" s="71"/>
      <c r="T36" s="71"/>
      <c r="U36" s="66"/>
      <c r="W36" s="55"/>
      <c r="Z36" s="55"/>
    </row>
    <row r="37" spans="1:26" x14ac:dyDescent="0.2">
      <c r="A37" s="53"/>
      <c r="B37" s="54"/>
      <c r="C37" s="61"/>
      <c r="D37" s="53"/>
      <c r="E37" s="56"/>
      <c r="F37" s="56"/>
      <c r="G37" s="58"/>
      <c r="H37" s="68"/>
      <c r="I37" s="69"/>
      <c r="J37" s="55"/>
      <c r="K37" s="56"/>
      <c r="L37" s="61"/>
      <c r="M37" s="53">
        <f t="shared" si="0"/>
        <v>24</v>
      </c>
      <c r="N37" s="53">
        <f t="shared" si="1"/>
        <v>5</v>
      </c>
      <c r="O37" s="53" t="str">
        <f t="shared" si="2"/>
        <v/>
      </c>
      <c r="P37" s="56" t="str">
        <f t="shared" si="3"/>
        <v/>
      </c>
      <c r="Q37" s="73"/>
      <c r="R37" s="70"/>
      <c r="S37" s="71"/>
      <c r="T37" s="71"/>
      <c r="U37" s="66"/>
      <c r="W37" s="55"/>
      <c r="Z37" s="55"/>
    </row>
    <row r="38" spans="1:26" x14ac:dyDescent="0.2">
      <c r="A38" s="53">
        <v>10</v>
      </c>
      <c r="B38" s="54"/>
      <c r="C38" s="74" t="s">
        <v>65</v>
      </c>
      <c r="D38" s="53" t="s">
        <v>42</v>
      </c>
      <c r="E38" s="56" t="s">
        <v>39</v>
      </c>
      <c r="F38" s="53">
        <v>0</v>
      </c>
      <c r="G38" s="58">
        <v>2</v>
      </c>
      <c r="H38" s="68">
        <v>0</v>
      </c>
      <c r="I38" s="69">
        <v>1</v>
      </c>
      <c r="J38" s="61"/>
      <c r="K38" s="56"/>
      <c r="L38" s="61" t="s">
        <v>66</v>
      </c>
      <c r="M38" s="53">
        <f t="shared" si="0"/>
        <v>24</v>
      </c>
      <c r="N38" s="53">
        <f t="shared" si="1"/>
        <v>5</v>
      </c>
      <c r="O38" s="53">
        <f t="shared" si="2"/>
        <v>12298</v>
      </c>
      <c r="P38" s="56" t="str">
        <f t="shared" si="3"/>
        <v>0x300A</v>
      </c>
      <c r="Q38" s="73"/>
      <c r="R38" s="70"/>
      <c r="S38" s="71"/>
      <c r="T38" s="71"/>
      <c r="U38" s="66"/>
      <c r="V38" s="12" t="s">
        <v>65</v>
      </c>
      <c r="W38" s="55" t="s">
        <v>67</v>
      </c>
      <c r="X38" s="14">
        <v>0</v>
      </c>
      <c r="Z38" s="55"/>
    </row>
    <row r="39" spans="1:26" x14ac:dyDescent="0.2">
      <c r="A39" s="53"/>
      <c r="B39" s="54"/>
      <c r="C39" s="72" t="s">
        <v>44</v>
      </c>
      <c r="D39" s="53"/>
      <c r="E39" s="53"/>
      <c r="F39" s="53"/>
      <c r="G39" s="58"/>
      <c r="H39" s="68"/>
      <c r="I39" s="69"/>
      <c r="J39" s="61"/>
      <c r="K39" s="56"/>
      <c r="L39" s="61"/>
      <c r="M39" s="53">
        <f t="shared" si="0"/>
        <v>24</v>
      </c>
      <c r="N39" s="53">
        <f t="shared" si="1"/>
        <v>5</v>
      </c>
      <c r="O39" s="53" t="str">
        <f t="shared" si="2"/>
        <v/>
      </c>
      <c r="P39" s="56" t="str">
        <f t="shared" si="3"/>
        <v/>
      </c>
      <c r="Q39" s="73"/>
      <c r="R39" s="70"/>
      <c r="S39" s="71"/>
      <c r="T39" s="71"/>
      <c r="U39" s="66"/>
      <c r="V39" s="12" t="s">
        <v>65</v>
      </c>
      <c r="W39" s="55" t="s">
        <v>68</v>
      </c>
      <c r="X39" s="14">
        <v>1</v>
      </c>
      <c r="Z39" s="55"/>
    </row>
    <row r="40" spans="1:26" x14ac:dyDescent="0.2">
      <c r="A40" s="53"/>
      <c r="B40" s="54"/>
      <c r="C40" s="72" t="s">
        <v>44</v>
      </c>
      <c r="D40" s="53"/>
      <c r="E40" s="53"/>
      <c r="F40" s="53"/>
      <c r="G40" s="58"/>
      <c r="H40" s="68"/>
      <c r="I40" s="69"/>
      <c r="J40" s="61"/>
      <c r="K40" s="56"/>
      <c r="L40" s="61"/>
      <c r="M40" s="53">
        <f t="shared" si="0"/>
        <v>24</v>
      </c>
      <c r="N40" s="53">
        <f t="shared" si="1"/>
        <v>5</v>
      </c>
      <c r="O40" s="53" t="str">
        <f t="shared" si="2"/>
        <v/>
      </c>
      <c r="P40" s="56" t="str">
        <f t="shared" si="3"/>
        <v/>
      </c>
      <c r="Q40" s="73"/>
      <c r="R40" s="70"/>
      <c r="S40" s="71"/>
      <c r="T40" s="71"/>
      <c r="U40" s="66"/>
      <c r="V40" s="12" t="s">
        <v>65</v>
      </c>
      <c r="W40" s="55" t="s">
        <v>69</v>
      </c>
      <c r="X40" s="14">
        <v>2</v>
      </c>
      <c r="Z40" s="55"/>
    </row>
    <row r="41" spans="1:26" x14ac:dyDescent="0.2">
      <c r="A41" s="53"/>
      <c r="B41" s="54"/>
      <c r="C41" s="72"/>
      <c r="D41" s="53"/>
      <c r="E41" s="53"/>
      <c r="F41" s="53"/>
      <c r="G41" s="58"/>
      <c r="H41" s="68"/>
      <c r="I41" s="69"/>
      <c r="J41" s="61"/>
      <c r="K41" s="56"/>
      <c r="L41" s="61"/>
      <c r="M41" s="53">
        <f t="shared" si="0"/>
        <v>24</v>
      </c>
      <c r="N41" s="53">
        <f t="shared" si="1"/>
        <v>5</v>
      </c>
      <c r="O41" s="53" t="str">
        <f t="shared" si="2"/>
        <v/>
      </c>
      <c r="P41" s="56" t="str">
        <f t="shared" si="3"/>
        <v/>
      </c>
      <c r="Q41" s="73"/>
      <c r="R41" s="70"/>
      <c r="S41" s="71"/>
      <c r="T41" s="71"/>
      <c r="U41" s="66"/>
      <c r="W41" s="55"/>
      <c r="Z41" s="55"/>
    </row>
    <row r="42" spans="1:26" x14ac:dyDescent="0.2">
      <c r="A42" s="53"/>
      <c r="B42" s="54"/>
      <c r="C42" s="72"/>
      <c r="D42" s="53"/>
      <c r="E42" s="53"/>
      <c r="F42" s="53"/>
      <c r="G42" s="58"/>
      <c r="H42" s="68"/>
      <c r="I42" s="69"/>
      <c r="J42" s="61"/>
      <c r="K42" s="56"/>
      <c r="L42" s="61"/>
      <c r="M42" s="53">
        <f t="shared" si="0"/>
        <v>24</v>
      </c>
      <c r="N42" s="53">
        <f t="shared" si="1"/>
        <v>5</v>
      </c>
      <c r="O42" s="53" t="str">
        <f t="shared" si="2"/>
        <v/>
      </c>
      <c r="P42" s="56" t="str">
        <f t="shared" si="3"/>
        <v/>
      </c>
      <c r="Q42" s="73"/>
      <c r="R42" s="70"/>
      <c r="S42" s="71"/>
      <c r="T42" s="71"/>
      <c r="U42" s="66"/>
      <c r="W42" s="55"/>
      <c r="Z42" s="55"/>
    </row>
    <row r="43" spans="1:26" x14ac:dyDescent="0.2">
      <c r="A43" s="53">
        <v>15</v>
      </c>
      <c r="B43" s="54"/>
      <c r="C43" s="61" t="s">
        <v>70</v>
      </c>
      <c r="D43" s="53" t="s">
        <v>42</v>
      </c>
      <c r="E43" s="56" t="s">
        <v>39</v>
      </c>
      <c r="F43" s="53">
        <v>0</v>
      </c>
      <c r="G43" s="58">
        <v>65535</v>
      </c>
      <c r="H43" s="68">
        <v>0</v>
      </c>
      <c r="I43" s="69">
        <v>1</v>
      </c>
      <c r="J43" s="55"/>
      <c r="K43" s="56"/>
      <c r="L43" s="55" t="s">
        <v>71</v>
      </c>
      <c r="M43" s="53">
        <f t="shared" si="0"/>
        <v>24</v>
      </c>
      <c r="N43" s="53">
        <f t="shared" si="1"/>
        <v>5</v>
      </c>
      <c r="O43" s="53">
        <f t="shared" si="2"/>
        <v>12303</v>
      </c>
      <c r="P43" s="56" t="str">
        <f t="shared" si="3"/>
        <v>0x300F</v>
      </c>
      <c r="Q43" s="73"/>
      <c r="R43" s="70"/>
      <c r="S43" s="71"/>
      <c r="T43" s="71"/>
      <c r="U43" s="66"/>
      <c r="V43" s="12" t="s">
        <v>70</v>
      </c>
      <c r="W43" s="55" t="s">
        <v>72</v>
      </c>
      <c r="X43" s="14">
        <v>0</v>
      </c>
      <c r="Z43" s="55"/>
    </row>
    <row r="44" spans="1:26" x14ac:dyDescent="0.2">
      <c r="A44" s="53"/>
      <c r="B44" s="54"/>
      <c r="C44" s="72" t="s">
        <v>44</v>
      </c>
      <c r="D44" s="53"/>
      <c r="E44" s="56"/>
      <c r="F44" s="53"/>
      <c r="G44" s="57"/>
      <c r="H44" s="68"/>
      <c r="I44" s="69"/>
      <c r="J44" s="55"/>
      <c r="K44" s="56"/>
      <c r="L44" s="55"/>
      <c r="M44" s="53"/>
      <c r="N44" s="53"/>
      <c r="O44" s="53"/>
      <c r="P44" s="56"/>
      <c r="Q44" s="73"/>
      <c r="R44" s="70"/>
      <c r="S44" s="71"/>
      <c r="T44" s="71"/>
      <c r="U44" s="66"/>
      <c r="V44" s="12" t="s">
        <v>70</v>
      </c>
      <c r="W44" s="55" t="s">
        <v>73</v>
      </c>
      <c r="X44" s="14">
        <v>1</v>
      </c>
      <c r="Z44" s="55"/>
    </row>
    <row r="45" spans="1:26" x14ac:dyDescent="0.2">
      <c r="A45" s="53"/>
      <c r="B45" s="54"/>
      <c r="C45" s="72" t="s">
        <v>44</v>
      </c>
      <c r="D45" s="53"/>
      <c r="E45" s="56"/>
      <c r="F45" s="53"/>
      <c r="G45" s="57"/>
      <c r="H45" s="68"/>
      <c r="I45" s="69"/>
      <c r="J45" s="55"/>
      <c r="K45" s="56"/>
      <c r="L45" s="55"/>
      <c r="M45" s="53"/>
      <c r="N45" s="53"/>
      <c r="O45" s="53"/>
      <c r="P45" s="56"/>
      <c r="Q45" s="73"/>
      <c r="R45" s="70"/>
      <c r="S45" s="71"/>
      <c r="T45" s="71"/>
      <c r="U45" s="66"/>
      <c r="V45" s="12" t="s">
        <v>70</v>
      </c>
      <c r="W45" s="55" t="s">
        <v>74</v>
      </c>
      <c r="X45" s="14">
        <v>2</v>
      </c>
      <c r="Z45" s="55"/>
    </row>
    <row r="46" spans="1:26" x14ac:dyDescent="0.2">
      <c r="A46" s="53"/>
      <c r="B46" s="54"/>
      <c r="C46" s="72" t="s">
        <v>44</v>
      </c>
      <c r="D46" s="53"/>
      <c r="E46" s="56"/>
      <c r="F46" s="53"/>
      <c r="G46" s="57"/>
      <c r="H46" s="68"/>
      <c r="I46" s="69"/>
      <c r="J46" s="55"/>
      <c r="K46" s="56"/>
      <c r="L46" s="55"/>
      <c r="M46" s="53"/>
      <c r="N46" s="53"/>
      <c r="O46" s="53"/>
      <c r="P46" s="56"/>
      <c r="Q46" s="73"/>
      <c r="R46" s="70"/>
      <c r="S46" s="71"/>
      <c r="T46" s="71"/>
      <c r="U46" s="66"/>
      <c r="V46" s="12" t="s">
        <v>70</v>
      </c>
      <c r="W46" s="55" t="s">
        <v>75</v>
      </c>
      <c r="X46" s="14">
        <v>3</v>
      </c>
      <c r="Z46" s="55"/>
    </row>
    <row r="47" spans="1:26" x14ac:dyDescent="0.2">
      <c r="A47" s="53"/>
      <c r="B47" s="54"/>
      <c r="C47" s="72" t="s">
        <v>44</v>
      </c>
      <c r="D47" s="53"/>
      <c r="E47" s="56"/>
      <c r="F47" s="53"/>
      <c r="G47" s="57"/>
      <c r="H47" s="68"/>
      <c r="I47" s="69"/>
      <c r="J47" s="55"/>
      <c r="K47" s="56"/>
      <c r="L47" s="55"/>
      <c r="M47" s="53"/>
      <c r="N47" s="53"/>
      <c r="O47" s="53"/>
      <c r="P47" s="56"/>
      <c r="Q47" s="73"/>
      <c r="R47" s="70"/>
      <c r="S47" s="71"/>
      <c r="T47" s="71"/>
      <c r="U47" s="66"/>
      <c r="V47" s="12" t="s">
        <v>70</v>
      </c>
      <c r="W47" s="55" t="s">
        <v>76</v>
      </c>
      <c r="X47" s="14">
        <v>4</v>
      </c>
      <c r="Z47" s="55"/>
    </row>
    <row r="48" spans="1:26" x14ac:dyDescent="0.2">
      <c r="A48" s="53"/>
      <c r="B48" s="54"/>
      <c r="C48" s="72" t="s">
        <v>44</v>
      </c>
      <c r="D48" s="53"/>
      <c r="E48" s="56"/>
      <c r="F48" s="53"/>
      <c r="G48" s="57"/>
      <c r="H48" s="68"/>
      <c r="I48" s="69"/>
      <c r="J48" s="55"/>
      <c r="K48" s="56"/>
      <c r="L48" s="55"/>
      <c r="M48" s="53"/>
      <c r="N48" s="53"/>
      <c r="O48" s="53"/>
      <c r="P48" s="56"/>
      <c r="Q48" s="73"/>
      <c r="R48" s="70"/>
      <c r="S48" s="71"/>
      <c r="T48" s="71"/>
      <c r="U48" s="66"/>
      <c r="V48" s="12" t="s">
        <v>70</v>
      </c>
      <c r="W48" s="55" t="s">
        <v>77</v>
      </c>
      <c r="X48" s="14">
        <v>5</v>
      </c>
      <c r="Z48" s="55"/>
    </row>
    <row r="49" spans="1:26" x14ac:dyDescent="0.2">
      <c r="A49" s="53"/>
      <c r="B49" s="54"/>
      <c r="C49" s="72" t="s">
        <v>44</v>
      </c>
      <c r="D49" s="53"/>
      <c r="E49" s="56"/>
      <c r="F49" s="53"/>
      <c r="G49" s="57"/>
      <c r="H49" s="68"/>
      <c r="I49" s="69"/>
      <c r="J49" s="55"/>
      <c r="K49" s="56"/>
      <c r="L49" s="55"/>
      <c r="M49" s="53"/>
      <c r="N49" s="53"/>
      <c r="O49" s="53"/>
      <c r="P49" s="56"/>
      <c r="Q49" s="73"/>
      <c r="R49" s="70"/>
      <c r="S49" s="71"/>
      <c r="T49" s="71"/>
      <c r="U49" s="66"/>
      <c r="V49" s="12" t="s">
        <v>70</v>
      </c>
      <c r="W49" s="55" t="s">
        <v>78</v>
      </c>
      <c r="X49" s="14">
        <v>6</v>
      </c>
      <c r="Z49" s="55"/>
    </row>
    <row r="50" spans="1:26" x14ac:dyDescent="0.2">
      <c r="A50" s="53"/>
      <c r="B50" s="54"/>
      <c r="C50" s="72" t="s">
        <v>44</v>
      </c>
      <c r="D50" s="53"/>
      <c r="E50" s="56"/>
      <c r="F50" s="53"/>
      <c r="G50" s="57"/>
      <c r="H50" s="68"/>
      <c r="I50" s="69"/>
      <c r="J50" s="55"/>
      <c r="K50" s="56"/>
      <c r="L50" s="55"/>
      <c r="M50" s="53"/>
      <c r="N50" s="53"/>
      <c r="O50" s="53"/>
      <c r="P50" s="56"/>
      <c r="Q50" s="73"/>
      <c r="R50" s="70"/>
      <c r="S50" s="71"/>
      <c r="T50" s="71"/>
      <c r="U50" s="66"/>
      <c r="V50" s="12" t="s">
        <v>70</v>
      </c>
      <c r="W50" s="55" t="s">
        <v>79</v>
      </c>
      <c r="X50" s="14">
        <v>7</v>
      </c>
      <c r="Z50" s="55"/>
    </row>
    <row r="51" spans="1:26" x14ac:dyDescent="0.2">
      <c r="A51" s="53"/>
      <c r="B51" s="54"/>
      <c r="C51" s="72" t="s">
        <v>44</v>
      </c>
      <c r="D51" s="53"/>
      <c r="E51" s="56"/>
      <c r="F51" s="53"/>
      <c r="G51" s="57"/>
      <c r="H51" s="68"/>
      <c r="I51" s="69"/>
      <c r="J51" s="55"/>
      <c r="K51" s="56"/>
      <c r="L51" s="55"/>
      <c r="M51" s="53"/>
      <c r="N51" s="53"/>
      <c r="O51" s="53"/>
      <c r="P51" s="56"/>
      <c r="Q51" s="73"/>
      <c r="R51" s="70"/>
      <c r="S51" s="71"/>
      <c r="T51" s="71"/>
      <c r="U51" s="66"/>
      <c r="V51" s="12" t="s">
        <v>70</v>
      </c>
      <c r="W51" s="55" t="s">
        <v>80</v>
      </c>
      <c r="X51" s="14">
        <v>8</v>
      </c>
      <c r="Z51" s="55"/>
    </row>
    <row r="52" spans="1:26" x14ac:dyDescent="0.2">
      <c r="A52" s="53"/>
      <c r="B52" s="54"/>
      <c r="C52" s="72" t="s">
        <v>44</v>
      </c>
      <c r="D52" s="53"/>
      <c r="E52" s="56"/>
      <c r="F52" s="53"/>
      <c r="G52" s="57"/>
      <c r="H52" s="68"/>
      <c r="I52" s="69"/>
      <c r="J52" s="55"/>
      <c r="K52" s="56"/>
      <c r="L52" s="55"/>
      <c r="M52" s="53"/>
      <c r="N52" s="53"/>
      <c r="O52" s="53"/>
      <c r="P52" s="56"/>
      <c r="Q52" s="73"/>
      <c r="R52" s="70"/>
      <c r="S52" s="71"/>
      <c r="T52" s="71"/>
      <c r="U52" s="66"/>
      <c r="V52" s="12" t="s">
        <v>70</v>
      </c>
      <c r="W52" s="55" t="s">
        <v>81</v>
      </c>
      <c r="X52" s="14">
        <v>9</v>
      </c>
      <c r="Z52" s="55"/>
    </row>
    <row r="53" spans="1:26" x14ac:dyDescent="0.2">
      <c r="A53" s="53"/>
      <c r="B53" s="54"/>
      <c r="C53" s="72" t="s">
        <v>44</v>
      </c>
      <c r="D53" s="53"/>
      <c r="E53" s="56"/>
      <c r="F53" s="53"/>
      <c r="G53" s="57"/>
      <c r="H53" s="68"/>
      <c r="I53" s="69"/>
      <c r="J53" s="55"/>
      <c r="K53" s="56"/>
      <c r="L53" s="55"/>
      <c r="M53" s="53"/>
      <c r="N53" s="53"/>
      <c r="O53" s="53"/>
      <c r="P53" s="56"/>
      <c r="Q53" s="73"/>
      <c r="R53" s="70"/>
      <c r="S53" s="71"/>
      <c r="T53" s="71"/>
      <c r="U53" s="66"/>
      <c r="V53" s="12" t="s">
        <v>70</v>
      </c>
      <c r="W53" s="55" t="s">
        <v>82</v>
      </c>
      <c r="X53" s="14">
        <v>10</v>
      </c>
      <c r="Z53" s="55"/>
    </row>
    <row r="54" spans="1:26" x14ac:dyDescent="0.2">
      <c r="A54" s="53"/>
      <c r="B54" s="54"/>
      <c r="C54" s="72" t="s">
        <v>44</v>
      </c>
      <c r="D54" s="53"/>
      <c r="E54" s="56"/>
      <c r="F54" s="53"/>
      <c r="G54" s="57"/>
      <c r="H54" s="68"/>
      <c r="I54" s="69"/>
      <c r="J54" s="55"/>
      <c r="K54" s="56"/>
      <c r="L54" s="55"/>
      <c r="M54" s="53"/>
      <c r="N54" s="53"/>
      <c r="O54" s="53"/>
      <c r="P54" s="56"/>
      <c r="Q54" s="73"/>
      <c r="R54" s="70"/>
      <c r="S54" s="71"/>
      <c r="T54" s="71"/>
      <c r="U54" s="66"/>
      <c r="V54" s="12" t="s">
        <v>70</v>
      </c>
      <c r="W54" s="55" t="s">
        <v>83</v>
      </c>
      <c r="X54" s="14">
        <v>11</v>
      </c>
      <c r="Z54" s="55"/>
    </row>
    <row r="55" spans="1:26" x14ac:dyDescent="0.2">
      <c r="A55" s="53"/>
      <c r="B55" s="54"/>
      <c r="C55" s="72" t="s">
        <v>44</v>
      </c>
      <c r="D55" s="53"/>
      <c r="E55" s="56"/>
      <c r="F55" s="53"/>
      <c r="G55" s="57"/>
      <c r="H55" s="68"/>
      <c r="I55" s="69"/>
      <c r="J55" s="55"/>
      <c r="K55" s="56"/>
      <c r="L55" s="55"/>
      <c r="M55" s="53"/>
      <c r="N55" s="53"/>
      <c r="O55" s="53"/>
      <c r="P55" s="56"/>
      <c r="Q55" s="73"/>
      <c r="R55" s="70"/>
      <c r="S55" s="71"/>
      <c r="T55" s="71"/>
      <c r="U55" s="66"/>
      <c r="V55" s="12" t="s">
        <v>70</v>
      </c>
      <c r="W55" s="55" t="s">
        <v>84</v>
      </c>
      <c r="X55" s="14">
        <v>12</v>
      </c>
      <c r="Z55" s="55"/>
    </row>
    <row r="56" spans="1:26" x14ac:dyDescent="0.2">
      <c r="A56" s="53"/>
      <c r="B56" s="54"/>
      <c r="C56" s="72" t="s">
        <v>44</v>
      </c>
      <c r="D56" s="53"/>
      <c r="E56" s="56"/>
      <c r="F56" s="53"/>
      <c r="G56" s="57"/>
      <c r="H56" s="68"/>
      <c r="I56" s="69"/>
      <c r="J56" s="55"/>
      <c r="K56" s="56"/>
      <c r="L56" s="55"/>
      <c r="M56" s="53"/>
      <c r="N56" s="53"/>
      <c r="O56" s="53"/>
      <c r="P56" s="56"/>
      <c r="Q56" s="73"/>
      <c r="R56" s="70"/>
      <c r="S56" s="71"/>
      <c r="T56" s="71"/>
      <c r="U56" s="66"/>
      <c r="V56" s="12" t="s">
        <v>70</v>
      </c>
      <c r="W56" s="55" t="s">
        <v>85</v>
      </c>
      <c r="X56" s="14">
        <v>13</v>
      </c>
      <c r="Z56" s="55"/>
    </row>
    <row r="57" spans="1:26" x14ac:dyDescent="0.2">
      <c r="A57" s="53"/>
      <c r="B57" s="54"/>
      <c r="C57" s="72" t="s">
        <v>44</v>
      </c>
      <c r="D57" s="53"/>
      <c r="E57" s="56"/>
      <c r="F57" s="53"/>
      <c r="G57" s="57"/>
      <c r="H57" s="68"/>
      <c r="I57" s="69"/>
      <c r="J57" s="55"/>
      <c r="K57" s="56"/>
      <c r="L57" s="55"/>
      <c r="M57" s="53"/>
      <c r="N57" s="53"/>
      <c r="O57" s="53"/>
      <c r="P57" s="56"/>
      <c r="Q57" s="73"/>
      <c r="R57" s="70"/>
      <c r="S57" s="71"/>
      <c r="T57" s="71"/>
      <c r="U57" s="66"/>
      <c r="V57" s="12" t="s">
        <v>70</v>
      </c>
      <c r="W57" s="55" t="s">
        <v>86</v>
      </c>
      <c r="X57" s="14">
        <v>14</v>
      </c>
      <c r="Z57" s="55"/>
    </row>
    <row r="58" spans="1:26" x14ac:dyDescent="0.2">
      <c r="A58" s="53"/>
      <c r="B58" s="54"/>
      <c r="C58" s="72" t="s">
        <v>44</v>
      </c>
      <c r="D58" s="53"/>
      <c r="E58" s="56"/>
      <c r="F58" s="53"/>
      <c r="G58" s="57"/>
      <c r="H58" s="68"/>
      <c r="I58" s="69"/>
      <c r="J58" s="55"/>
      <c r="K58" s="56"/>
      <c r="L58" s="55"/>
      <c r="M58" s="53"/>
      <c r="N58" s="53"/>
      <c r="O58" s="53"/>
      <c r="P58" s="56"/>
      <c r="Q58" s="73"/>
      <c r="R58" s="70"/>
      <c r="S58" s="71"/>
      <c r="T58" s="71"/>
      <c r="U58" s="66"/>
      <c r="V58" s="12" t="s">
        <v>70</v>
      </c>
      <c r="W58" s="55" t="s">
        <v>87</v>
      </c>
      <c r="X58" s="14">
        <v>15</v>
      </c>
      <c r="Z58" s="55"/>
    </row>
    <row r="59" spans="1:26" x14ac:dyDescent="0.2">
      <c r="A59" s="53"/>
      <c r="B59" s="54"/>
      <c r="C59" s="72" t="s">
        <v>44</v>
      </c>
      <c r="D59" s="53"/>
      <c r="E59" s="56"/>
      <c r="F59" s="53"/>
      <c r="G59" s="57"/>
      <c r="H59" s="68"/>
      <c r="I59" s="69"/>
      <c r="J59" s="55"/>
      <c r="K59" s="56"/>
      <c r="L59" s="55"/>
      <c r="M59" s="53"/>
      <c r="N59" s="53"/>
      <c r="O59" s="53"/>
      <c r="P59" s="56"/>
      <c r="Q59" s="73"/>
      <c r="R59" s="70"/>
      <c r="S59" s="71"/>
      <c r="T59" s="71"/>
      <c r="U59" s="66"/>
      <c r="V59" s="12" t="s">
        <v>70</v>
      </c>
      <c r="W59" s="55" t="s">
        <v>88</v>
      </c>
      <c r="X59" s="14">
        <v>16</v>
      </c>
      <c r="Z59" s="55"/>
    </row>
    <row r="60" spans="1:26" x14ac:dyDescent="0.2">
      <c r="A60" s="53"/>
      <c r="B60" s="54"/>
      <c r="C60" s="72" t="s">
        <v>44</v>
      </c>
      <c r="D60" s="53"/>
      <c r="E60" s="56"/>
      <c r="F60" s="53"/>
      <c r="G60" s="57"/>
      <c r="H60" s="68"/>
      <c r="I60" s="69"/>
      <c r="J60" s="55"/>
      <c r="K60" s="56"/>
      <c r="L60" s="55"/>
      <c r="M60" s="53"/>
      <c r="N60" s="53"/>
      <c r="O60" s="53"/>
      <c r="P60" s="56"/>
      <c r="Q60" s="73"/>
      <c r="R60" s="70"/>
      <c r="S60" s="71"/>
      <c r="T60" s="71"/>
      <c r="U60" s="66"/>
      <c r="V60" s="12" t="s">
        <v>70</v>
      </c>
      <c r="W60" s="55" t="s">
        <v>89</v>
      </c>
      <c r="X60" s="14">
        <v>17</v>
      </c>
      <c r="Z60" s="55"/>
    </row>
    <row r="61" spans="1:26" x14ac:dyDescent="0.2">
      <c r="A61" s="53"/>
      <c r="B61" s="54"/>
      <c r="C61" s="72" t="s">
        <v>44</v>
      </c>
      <c r="D61" s="53"/>
      <c r="E61" s="56"/>
      <c r="F61" s="53"/>
      <c r="G61" s="57"/>
      <c r="H61" s="68"/>
      <c r="I61" s="69"/>
      <c r="J61" s="55"/>
      <c r="K61" s="56"/>
      <c r="L61" s="55"/>
      <c r="M61" s="53"/>
      <c r="N61" s="53"/>
      <c r="O61" s="53"/>
      <c r="P61" s="56"/>
      <c r="Q61" s="73"/>
      <c r="R61" s="70"/>
      <c r="S61" s="71"/>
      <c r="T61" s="71"/>
      <c r="U61" s="66"/>
      <c r="V61" s="12" t="s">
        <v>70</v>
      </c>
      <c r="W61" s="55" t="s">
        <v>90</v>
      </c>
      <c r="X61" s="14">
        <v>18</v>
      </c>
      <c r="Z61" s="55"/>
    </row>
    <row r="62" spans="1:26" x14ac:dyDescent="0.2">
      <c r="A62" s="53"/>
      <c r="B62" s="54"/>
      <c r="C62" s="72" t="s">
        <v>44</v>
      </c>
      <c r="D62" s="53"/>
      <c r="E62" s="56"/>
      <c r="F62" s="53"/>
      <c r="G62" s="57"/>
      <c r="H62" s="68"/>
      <c r="I62" s="69"/>
      <c r="J62" s="55"/>
      <c r="K62" s="56"/>
      <c r="L62" s="55"/>
      <c r="M62" s="53"/>
      <c r="N62" s="53"/>
      <c r="O62" s="53"/>
      <c r="P62" s="56"/>
      <c r="Q62" s="73"/>
      <c r="R62" s="70"/>
      <c r="S62" s="71"/>
      <c r="T62" s="71"/>
      <c r="U62" s="66"/>
      <c r="V62" s="12" t="s">
        <v>70</v>
      </c>
      <c r="W62" s="55" t="s">
        <v>91</v>
      </c>
      <c r="X62" s="14">
        <v>19</v>
      </c>
      <c r="Z62" s="55"/>
    </row>
    <row r="63" spans="1:26" x14ac:dyDescent="0.2">
      <c r="A63" s="53"/>
      <c r="B63" s="54"/>
      <c r="C63" s="72" t="s">
        <v>44</v>
      </c>
      <c r="D63" s="53"/>
      <c r="E63" s="56"/>
      <c r="F63" s="53"/>
      <c r="G63" s="57"/>
      <c r="H63" s="68"/>
      <c r="I63" s="69"/>
      <c r="J63" s="55"/>
      <c r="K63" s="56"/>
      <c r="L63" s="55"/>
      <c r="M63" s="53"/>
      <c r="N63" s="53"/>
      <c r="O63" s="53"/>
      <c r="P63" s="56"/>
      <c r="Q63" s="73"/>
      <c r="R63" s="70"/>
      <c r="S63" s="71"/>
      <c r="T63" s="71"/>
      <c r="U63" s="66"/>
      <c r="V63" s="12" t="s">
        <v>70</v>
      </c>
      <c r="W63" s="55" t="s">
        <v>92</v>
      </c>
      <c r="X63" s="14">
        <v>20</v>
      </c>
      <c r="Z63" s="55"/>
    </row>
    <row r="64" spans="1:26" x14ac:dyDescent="0.2">
      <c r="A64" s="53"/>
      <c r="B64" s="54"/>
      <c r="C64" s="72" t="s">
        <v>44</v>
      </c>
      <c r="D64" s="53"/>
      <c r="E64" s="56"/>
      <c r="F64" s="53"/>
      <c r="G64" s="57"/>
      <c r="H64" s="68"/>
      <c r="I64" s="69"/>
      <c r="J64" s="55"/>
      <c r="K64" s="56"/>
      <c r="L64" s="55"/>
      <c r="M64" s="53"/>
      <c r="N64" s="53"/>
      <c r="O64" s="53"/>
      <c r="P64" s="56"/>
      <c r="Q64" s="73"/>
      <c r="R64" s="70"/>
      <c r="S64" s="71"/>
      <c r="T64" s="71"/>
      <c r="U64" s="66"/>
      <c r="V64" s="12" t="s">
        <v>70</v>
      </c>
      <c r="W64" s="55" t="s">
        <v>93</v>
      </c>
      <c r="X64" s="14">
        <v>21</v>
      </c>
      <c r="Z64" s="55"/>
    </row>
    <row r="65" spans="1:26" x14ac:dyDescent="0.2">
      <c r="A65" s="53"/>
      <c r="B65" s="54"/>
      <c r="C65" s="72" t="s">
        <v>44</v>
      </c>
      <c r="D65" s="53"/>
      <c r="E65" s="56"/>
      <c r="F65" s="53"/>
      <c r="G65" s="57"/>
      <c r="H65" s="68"/>
      <c r="I65" s="69"/>
      <c r="J65" s="55"/>
      <c r="K65" s="56"/>
      <c r="L65" s="55"/>
      <c r="M65" s="53"/>
      <c r="N65" s="53"/>
      <c r="O65" s="53"/>
      <c r="P65" s="56"/>
      <c r="Q65" s="73"/>
      <c r="R65" s="70"/>
      <c r="S65" s="71"/>
      <c r="T65" s="71"/>
      <c r="U65" s="66"/>
      <c r="V65" s="12" t="s">
        <v>70</v>
      </c>
      <c r="W65" s="55" t="s">
        <v>94</v>
      </c>
      <c r="X65" s="14">
        <v>22</v>
      </c>
      <c r="Z65" s="55"/>
    </row>
    <row r="66" spans="1:26" x14ac:dyDescent="0.2">
      <c r="A66" s="53"/>
      <c r="B66" s="54"/>
      <c r="C66" s="72" t="s">
        <v>44</v>
      </c>
      <c r="D66" s="53"/>
      <c r="E66" s="56"/>
      <c r="F66" s="53"/>
      <c r="G66" s="57"/>
      <c r="H66" s="68"/>
      <c r="I66" s="69"/>
      <c r="J66" s="55"/>
      <c r="K66" s="56"/>
      <c r="L66" s="55"/>
      <c r="M66" s="53"/>
      <c r="N66" s="53"/>
      <c r="O66" s="53"/>
      <c r="P66" s="56"/>
      <c r="Q66" s="73"/>
      <c r="R66" s="70"/>
      <c r="S66" s="71"/>
      <c r="T66" s="71"/>
      <c r="U66" s="66"/>
      <c r="V66" s="12" t="s">
        <v>70</v>
      </c>
      <c r="W66" s="55" t="s">
        <v>95</v>
      </c>
      <c r="X66" s="14">
        <v>23</v>
      </c>
      <c r="Z66" s="55"/>
    </row>
    <row r="67" spans="1:26" x14ac:dyDescent="0.2">
      <c r="A67" s="53"/>
      <c r="B67" s="54"/>
      <c r="C67" s="72" t="s">
        <v>44</v>
      </c>
      <c r="D67" s="53"/>
      <c r="E67" s="56"/>
      <c r="F67" s="53"/>
      <c r="G67" s="57"/>
      <c r="H67" s="68"/>
      <c r="I67" s="69"/>
      <c r="J67" s="55"/>
      <c r="K67" s="56"/>
      <c r="L67" s="55"/>
      <c r="M67" s="53"/>
      <c r="N67" s="53"/>
      <c r="O67" s="53"/>
      <c r="P67" s="56"/>
      <c r="Q67" s="73"/>
      <c r="R67" s="70"/>
      <c r="S67" s="71"/>
      <c r="T67" s="71"/>
      <c r="U67" s="66"/>
      <c r="V67" s="12" t="s">
        <v>70</v>
      </c>
      <c r="W67" s="55" t="s">
        <v>96</v>
      </c>
      <c r="X67" s="14">
        <v>24</v>
      </c>
      <c r="Z67" s="55"/>
    </row>
    <row r="68" spans="1:26" x14ac:dyDescent="0.2">
      <c r="A68" s="53"/>
      <c r="B68" s="54"/>
      <c r="C68" s="72" t="s">
        <v>44</v>
      </c>
      <c r="D68" s="53"/>
      <c r="E68" s="56"/>
      <c r="F68" s="53"/>
      <c r="G68" s="57"/>
      <c r="H68" s="68"/>
      <c r="I68" s="69"/>
      <c r="J68" s="55"/>
      <c r="K68" s="56"/>
      <c r="L68" s="55"/>
      <c r="M68" s="53"/>
      <c r="N68" s="53"/>
      <c r="O68" s="53"/>
      <c r="P68" s="56"/>
      <c r="Q68" s="73"/>
      <c r="R68" s="70"/>
      <c r="S68" s="71"/>
      <c r="T68" s="71"/>
      <c r="U68" s="66"/>
      <c r="V68" s="12" t="s">
        <v>70</v>
      </c>
      <c r="W68" s="55" t="s">
        <v>97</v>
      </c>
      <c r="X68" s="14">
        <v>25</v>
      </c>
      <c r="Z68" s="55"/>
    </row>
    <row r="69" spans="1:26" x14ac:dyDescent="0.2">
      <c r="A69" s="53"/>
      <c r="B69" s="54"/>
      <c r="C69" s="72" t="s">
        <v>44</v>
      </c>
      <c r="D69" s="53"/>
      <c r="E69" s="56"/>
      <c r="F69" s="53"/>
      <c r="G69" s="57"/>
      <c r="H69" s="68"/>
      <c r="I69" s="69"/>
      <c r="J69" s="55"/>
      <c r="K69" s="56"/>
      <c r="L69" s="55"/>
      <c r="M69" s="53"/>
      <c r="N69" s="53"/>
      <c r="O69" s="53"/>
      <c r="P69" s="56"/>
      <c r="Q69" s="73"/>
      <c r="R69" s="70"/>
      <c r="S69" s="71"/>
      <c r="T69" s="71"/>
      <c r="U69" s="66"/>
      <c r="V69" s="12" t="s">
        <v>70</v>
      </c>
      <c r="W69" s="55" t="s">
        <v>98</v>
      </c>
      <c r="X69" s="14">
        <v>26</v>
      </c>
      <c r="Z69" s="55"/>
    </row>
    <row r="70" spans="1:26" x14ac:dyDescent="0.2">
      <c r="A70" s="53"/>
      <c r="B70" s="54"/>
      <c r="C70" s="72" t="s">
        <v>44</v>
      </c>
      <c r="D70" s="53"/>
      <c r="E70" s="56"/>
      <c r="F70" s="53"/>
      <c r="G70" s="57"/>
      <c r="H70" s="68"/>
      <c r="I70" s="69"/>
      <c r="J70" s="55"/>
      <c r="K70" s="56"/>
      <c r="L70" s="55"/>
      <c r="M70" s="53"/>
      <c r="N70" s="53"/>
      <c r="O70" s="53"/>
      <c r="P70" s="56"/>
      <c r="Q70" s="73"/>
      <c r="R70" s="70"/>
      <c r="S70" s="71"/>
      <c r="T70" s="71"/>
      <c r="U70" s="66"/>
      <c r="V70" s="12" t="s">
        <v>70</v>
      </c>
      <c r="W70" s="55" t="s">
        <v>99</v>
      </c>
      <c r="X70" s="14">
        <v>27</v>
      </c>
      <c r="Z70" s="55"/>
    </row>
    <row r="71" spans="1:26" x14ac:dyDescent="0.2">
      <c r="A71" s="53"/>
      <c r="B71" s="54"/>
      <c r="C71" s="72" t="s">
        <v>44</v>
      </c>
      <c r="D71" s="53"/>
      <c r="E71" s="56"/>
      <c r="F71" s="53"/>
      <c r="G71" s="57"/>
      <c r="H71" s="68"/>
      <c r="I71" s="69"/>
      <c r="J71" s="55"/>
      <c r="K71" s="56"/>
      <c r="L71" s="55"/>
      <c r="M71" s="53"/>
      <c r="N71" s="53"/>
      <c r="O71" s="53"/>
      <c r="P71" s="56"/>
      <c r="Q71" s="73"/>
      <c r="R71" s="70"/>
      <c r="S71" s="71"/>
      <c r="T71" s="71"/>
      <c r="U71" s="66"/>
      <c r="V71" s="12" t="s">
        <v>70</v>
      </c>
      <c r="W71" s="55" t="s">
        <v>100</v>
      </c>
      <c r="X71" s="14">
        <v>28</v>
      </c>
      <c r="Z71" s="55"/>
    </row>
    <row r="72" spans="1:26" x14ac:dyDescent="0.2">
      <c r="A72" s="53"/>
      <c r="B72" s="54"/>
      <c r="C72" s="72" t="s">
        <v>44</v>
      </c>
      <c r="D72" s="53"/>
      <c r="E72" s="56"/>
      <c r="F72" s="53"/>
      <c r="G72" s="57"/>
      <c r="H72" s="68"/>
      <c r="I72" s="69"/>
      <c r="J72" s="55"/>
      <c r="K72" s="56"/>
      <c r="L72" s="55"/>
      <c r="M72" s="53"/>
      <c r="N72" s="53"/>
      <c r="O72" s="53"/>
      <c r="P72" s="56"/>
      <c r="Q72" s="73"/>
      <c r="R72" s="70"/>
      <c r="S72" s="71"/>
      <c r="T72" s="71"/>
      <c r="U72" s="66"/>
      <c r="V72" s="12" t="s">
        <v>70</v>
      </c>
      <c r="W72" s="55" t="s">
        <v>101</v>
      </c>
      <c r="X72" s="14">
        <v>29</v>
      </c>
      <c r="Z72" s="55"/>
    </row>
    <row r="73" spans="1:26" x14ac:dyDescent="0.2">
      <c r="A73" s="53"/>
      <c r="B73" s="54"/>
      <c r="C73" s="72" t="s">
        <v>44</v>
      </c>
      <c r="D73" s="53"/>
      <c r="E73" s="56"/>
      <c r="F73" s="53"/>
      <c r="G73" s="57"/>
      <c r="H73" s="68"/>
      <c r="I73" s="69"/>
      <c r="J73" s="55"/>
      <c r="K73" s="56"/>
      <c r="L73" s="55"/>
      <c r="M73" s="53"/>
      <c r="N73" s="53"/>
      <c r="O73" s="53"/>
      <c r="P73" s="56"/>
      <c r="Q73" s="73"/>
      <c r="R73" s="70"/>
      <c r="S73" s="71"/>
      <c r="T73" s="71"/>
      <c r="U73" s="66"/>
      <c r="V73" s="12" t="s">
        <v>70</v>
      </c>
      <c r="W73" s="55" t="s">
        <v>102</v>
      </c>
      <c r="X73" s="14">
        <v>30</v>
      </c>
      <c r="Z73" s="55"/>
    </row>
    <row r="74" spans="1:26" x14ac:dyDescent="0.2">
      <c r="A74" s="53"/>
      <c r="B74" s="54"/>
      <c r="C74" s="72" t="s">
        <v>44</v>
      </c>
      <c r="D74" s="53"/>
      <c r="E74" s="56"/>
      <c r="F74" s="53"/>
      <c r="G74" s="57"/>
      <c r="H74" s="68"/>
      <c r="I74" s="69"/>
      <c r="J74" s="55"/>
      <c r="K74" s="56"/>
      <c r="L74" s="55"/>
      <c r="M74" s="53"/>
      <c r="N74" s="53"/>
      <c r="O74" s="53"/>
      <c r="P74" s="56"/>
      <c r="Q74" s="73"/>
      <c r="R74" s="70"/>
      <c r="S74" s="71"/>
      <c r="T74" s="71"/>
      <c r="U74" s="66"/>
      <c r="V74" s="12" t="s">
        <v>70</v>
      </c>
      <c r="W74" s="55" t="s">
        <v>103</v>
      </c>
      <c r="X74" s="14">
        <v>31</v>
      </c>
      <c r="Z74" s="55"/>
    </row>
    <row r="75" spans="1:26" x14ac:dyDescent="0.2">
      <c r="A75" s="53">
        <v>16</v>
      </c>
      <c r="B75" s="54"/>
      <c r="C75" s="61" t="s">
        <v>104</v>
      </c>
      <c r="D75" s="53" t="s">
        <v>42</v>
      </c>
      <c r="E75" s="56" t="s">
        <v>39</v>
      </c>
      <c r="F75" s="53">
        <v>0</v>
      </c>
      <c r="G75" s="58">
        <v>65535</v>
      </c>
      <c r="H75" s="68">
        <v>0</v>
      </c>
      <c r="I75" s="69">
        <v>1</v>
      </c>
      <c r="J75" s="55"/>
      <c r="K75" s="56"/>
      <c r="L75" s="55" t="s">
        <v>105</v>
      </c>
      <c r="M75" s="53">
        <f>$D$5</f>
        <v>24</v>
      </c>
      <c r="N75" s="53">
        <f>$D$4</f>
        <v>5</v>
      </c>
      <c r="O75" s="53">
        <f>IF(A75&lt;&gt;"",M75*2^9+A75,"")</f>
        <v>12304</v>
      </c>
      <c r="P75" s="56" t="str">
        <f>IF(A75&lt;&gt;"","0x" &amp;DEC2HEX( O75,4),"")</f>
        <v>0x3010</v>
      </c>
      <c r="Q75" s="73"/>
      <c r="R75" s="70"/>
      <c r="S75" s="71"/>
      <c r="T75" s="71"/>
      <c r="U75" s="66"/>
      <c r="W75" s="55"/>
      <c r="Z75" s="55"/>
    </row>
    <row r="76" spans="1:26" x14ac:dyDescent="0.2">
      <c r="A76" s="53"/>
      <c r="B76" s="54"/>
      <c r="C76" s="72" t="s">
        <v>44</v>
      </c>
      <c r="D76" s="53"/>
      <c r="E76" s="56"/>
      <c r="F76" s="53"/>
      <c r="G76" s="57"/>
      <c r="H76" s="68"/>
      <c r="I76" s="69"/>
      <c r="J76" s="55"/>
      <c r="K76" s="56"/>
      <c r="L76" s="55" t="s">
        <v>106</v>
      </c>
      <c r="M76" s="53"/>
      <c r="N76" s="53"/>
      <c r="O76" s="53"/>
      <c r="P76" s="56"/>
      <c r="Q76" s="73"/>
      <c r="R76" s="70"/>
      <c r="S76" s="71"/>
      <c r="T76" s="71"/>
      <c r="U76" s="66"/>
      <c r="W76" s="55"/>
      <c r="Z76" s="55"/>
    </row>
    <row r="77" spans="1:26" x14ac:dyDescent="0.2">
      <c r="A77" s="53"/>
      <c r="B77" s="54"/>
      <c r="C77" s="72" t="s">
        <v>44</v>
      </c>
      <c r="D77" s="53"/>
      <c r="E77" s="56"/>
      <c r="F77" s="53"/>
      <c r="G77" s="57"/>
      <c r="H77" s="68"/>
      <c r="I77" s="69"/>
      <c r="J77" s="55"/>
      <c r="K77" s="56"/>
      <c r="L77" s="55" t="s">
        <v>107</v>
      </c>
      <c r="M77" s="53"/>
      <c r="N77" s="53"/>
      <c r="O77" s="53"/>
      <c r="P77" s="56"/>
      <c r="Q77" s="73"/>
      <c r="R77" s="70"/>
      <c r="S77" s="71"/>
      <c r="T77" s="71"/>
      <c r="U77" s="66"/>
      <c r="W77" s="55"/>
      <c r="Z77" s="55"/>
    </row>
    <row r="78" spans="1:26" x14ac:dyDescent="0.2">
      <c r="A78" s="53"/>
      <c r="B78" s="54"/>
      <c r="C78" s="72" t="s">
        <v>44</v>
      </c>
      <c r="D78" s="53"/>
      <c r="E78" s="56"/>
      <c r="F78" s="53"/>
      <c r="G78" s="57"/>
      <c r="H78" s="68"/>
      <c r="I78" s="69"/>
      <c r="J78" s="55"/>
      <c r="K78" s="56"/>
      <c r="L78" s="55" t="s">
        <v>108</v>
      </c>
      <c r="M78" s="53"/>
      <c r="N78" s="53"/>
      <c r="O78" s="53"/>
      <c r="P78" s="56"/>
      <c r="Q78" s="73"/>
      <c r="R78" s="70"/>
      <c r="S78" s="71"/>
      <c r="T78" s="71"/>
      <c r="U78" s="66"/>
      <c r="W78" s="55"/>
      <c r="Z78" s="55"/>
    </row>
    <row r="79" spans="1:26" x14ac:dyDescent="0.2">
      <c r="A79" s="53"/>
      <c r="B79" s="54"/>
      <c r="C79" s="72" t="s">
        <v>44</v>
      </c>
      <c r="D79" s="53"/>
      <c r="E79" s="56"/>
      <c r="F79" s="53"/>
      <c r="G79" s="57"/>
      <c r="H79" s="68"/>
      <c r="I79" s="69"/>
      <c r="J79" s="55"/>
      <c r="K79" s="56"/>
      <c r="L79" s="55" t="s">
        <v>109</v>
      </c>
      <c r="M79" s="53"/>
      <c r="N79" s="53"/>
      <c r="O79" s="53"/>
      <c r="P79" s="56"/>
      <c r="Q79" s="73"/>
      <c r="R79" s="70"/>
      <c r="S79" s="71"/>
      <c r="T79" s="71"/>
      <c r="U79" s="66"/>
      <c r="W79" s="55"/>
      <c r="Z79" s="55"/>
    </row>
    <row r="80" spans="1:26" x14ac:dyDescent="0.2">
      <c r="A80" s="53"/>
      <c r="B80" s="54"/>
      <c r="C80" s="72" t="s">
        <v>44</v>
      </c>
      <c r="D80" s="53"/>
      <c r="E80" s="56"/>
      <c r="F80" s="53"/>
      <c r="G80" s="57"/>
      <c r="H80" s="68"/>
      <c r="I80" s="69"/>
      <c r="J80" s="55"/>
      <c r="K80" s="56"/>
      <c r="L80" s="55" t="s">
        <v>110</v>
      </c>
      <c r="M80" s="53"/>
      <c r="N80" s="53"/>
      <c r="O80" s="53"/>
      <c r="P80" s="56"/>
      <c r="Q80" s="73"/>
      <c r="R80" s="70"/>
      <c r="S80" s="71"/>
      <c r="T80" s="71"/>
      <c r="U80" s="66"/>
      <c r="W80" s="55"/>
      <c r="Z80" s="55"/>
    </row>
    <row r="81" spans="1:26" x14ac:dyDescent="0.2">
      <c r="A81" s="53"/>
      <c r="B81" s="54"/>
      <c r="C81" s="72" t="s">
        <v>44</v>
      </c>
      <c r="D81" s="53"/>
      <c r="E81" s="56"/>
      <c r="F81" s="53"/>
      <c r="G81" s="57"/>
      <c r="H81" s="68"/>
      <c r="I81" s="69"/>
      <c r="J81" s="55"/>
      <c r="K81" s="56"/>
      <c r="L81" s="55" t="s">
        <v>111</v>
      </c>
      <c r="M81" s="53"/>
      <c r="N81" s="53"/>
      <c r="O81" s="53"/>
      <c r="P81" s="56"/>
      <c r="Q81" s="73"/>
      <c r="R81" s="70"/>
      <c r="S81" s="71"/>
      <c r="T81" s="71"/>
      <c r="U81" s="66"/>
      <c r="W81" s="55"/>
      <c r="Z81" s="55"/>
    </row>
    <row r="82" spans="1:26" x14ac:dyDescent="0.2">
      <c r="A82" s="53"/>
      <c r="B82" s="54"/>
      <c r="C82" s="72" t="s">
        <v>44</v>
      </c>
      <c r="D82" s="53"/>
      <c r="E82" s="56"/>
      <c r="F82" s="53"/>
      <c r="G82" s="57"/>
      <c r="H82" s="68"/>
      <c r="I82" s="69"/>
      <c r="J82" s="55"/>
      <c r="K82" s="56"/>
      <c r="L82" s="55" t="s">
        <v>112</v>
      </c>
      <c r="M82" s="53"/>
      <c r="N82" s="53"/>
      <c r="O82" s="53"/>
      <c r="P82" s="56"/>
      <c r="Q82" s="73"/>
      <c r="R82" s="70"/>
      <c r="S82" s="71"/>
      <c r="T82" s="71"/>
      <c r="U82" s="66"/>
      <c r="W82" s="55"/>
      <c r="Z82" s="55"/>
    </row>
    <row r="83" spans="1:26" x14ac:dyDescent="0.2">
      <c r="A83" s="53"/>
      <c r="B83" s="54"/>
      <c r="C83" s="72" t="s">
        <v>44</v>
      </c>
      <c r="D83" s="53"/>
      <c r="E83" s="56"/>
      <c r="F83" s="53"/>
      <c r="G83" s="57"/>
      <c r="H83" s="68"/>
      <c r="I83" s="75"/>
      <c r="J83" s="55"/>
      <c r="K83" s="56"/>
      <c r="L83" s="55" t="s">
        <v>113</v>
      </c>
      <c r="M83" s="53">
        <f>$D$5</f>
        <v>24</v>
      </c>
      <c r="N83" s="53">
        <f>$D$4</f>
        <v>5</v>
      </c>
      <c r="O83" s="53" t="str">
        <f>IF(A83&lt;&gt;"",M83*2^9+A83,"")</f>
        <v/>
      </c>
      <c r="P83" s="56" t="str">
        <f>IF(A83&lt;&gt;"","0x" &amp;DEC2HEX( O83,4),"")</f>
        <v/>
      </c>
      <c r="Q83" s="73"/>
      <c r="R83" s="70"/>
      <c r="S83" s="71"/>
      <c r="T83" s="71"/>
      <c r="U83" s="66"/>
      <c r="W83" s="55"/>
      <c r="Z83" s="55"/>
    </row>
    <row r="84" spans="1:26" x14ac:dyDescent="0.2">
      <c r="A84" s="53"/>
      <c r="B84" s="54"/>
      <c r="C84" s="72" t="s">
        <v>44</v>
      </c>
      <c r="D84" s="53"/>
      <c r="E84" s="56"/>
      <c r="F84" s="53"/>
      <c r="G84" s="57"/>
      <c r="H84" s="68"/>
      <c r="I84" s="75"/>
      <c r="J84" s="61"/>
      <c r="K84" s="56"/>
      <c r="L84" s="55" t="s">
        <v>114</v>
      </c>
      <c r="M84" s="53"/>
      <c r="N84" s="53"/>
      <c r="O84" s="53"/>
      <c r="P84" s="56"/>
      <c r="Q84" s="73"/>
      <c r="R84" s="70"/>
      <c r="S84" s="71"/>
      <c r="T84" s="71"/>
      <c r="U84" s="66"/>
      <c r="W84" s="55"/>
      <c r="Z84" s="55"/>
    </row>
    <row r="85" spans="1:26" x14ac:dyDescent="0.2">
      <c r="A85" s="53"/>
      <c r="B85" s="54"/>
      <c r="C85" s="72" t="s">
        <v>44</v>
      </c>
      <c r="D85" s="53"/>
      <c r="E85" s="56"/>
      <c r="F85" s="53"/>
      <c r="G85" s="57"/>
      <c r="H85" s="68"/>
      <c r="I85" s="75"/>
      <c r="J85" s="61"/>
      <c r="K85" s="56"/>
      <c r="L85" s="55" t="s">
        <v>115</v>
      </c>
      <c r="M85" s="53"/>
      <c r="N85" s="53"/>
      <c r="O85" s="53"/>
      <c r="P85" s="56"/>
      <c r="Q85" s="73"/>
      <c r="R85" s="70"/>
      <c r="S85" s="71"/>
      <c r="T85" s="71"/>
      <c r="U85" s="66"/>
      <c r="W85" s="55"/>
      <c r="Z85" s="55"/>
    </row>
    <row r="86" spans="1:26" x14ac:dyDescent="0.2">
      <c r="A86" s="53"/>
      <c r="B86" s="54"/>
      <c r="C86" s="72" t="s">
        <v>44</v>
      </c>
      <c r="D86" s="53"/>
      <c r="E86" s="56"/>
      <c r="F86" s="53"/>
      <c r="G86" s="57"/>
      <c r="H86" s="68"/>
      <c r="I86" s="75"/>
      <c r="J86" s="61"/>
      <c r="K86" s="56"/>
      <c r="L86" s="55" t="s">
        <v>116</v>
      </c>
      <c r="M86" s="53"/>
      <c r="N86" s="53"/>
      <c r="O86" s="53"/>
      <c r="P86" s="56"/>
      <c r="Q86" s="73"/>
      <c r="R86" s="70"/>
      <c r="S86" s="71"/>
      <c r="T86" s="71"/>
      <c r="U86" s="66"/>
      <c r="W86" s="55"/>
      <c r="Z86" s="55"/>
    </row>
    <row r="87" spans="1:26" x14ac:dyDescent="0.2">
      <c r="A87" s="53"/>
      <c r="B87" s="54"/>
      <c r="C87" s="72" t="s">
        <v>44</v>
      </c>
      <c r="D87" s="53"/>
      <c r="E87" s="56"/>
      <c r="F87" s="53"/>
      <c r="G87" s="57"/>
      <c r="H87" s="68"/>
      <c r="I87" s="75"/>
      <c r="J87" s="61"/>
      <c r="K87" s="56"/>
      <c r="L87" s="55" t="s">
        <v>117</v>
      </c>
      <c r="M87" s="53"/>
      <c r="N87" s="53"/>
      <c r="O87" s="53"/>
      <c r="P87" s="56"/>
      <c r="Q87" s="73"/>
      <c r="R87" s="70"/>
      <c r="S87" s="71"/>
      <c r="T87" s="71"/>
      <c r="U87" s="66"/>
      <c r="W87" s="55"/>
      <c r="Z87" s="55"/>
    </row>
    <row r="88" spans="1:26" x14ac:dyDescent="0.2">
      <c r="A88" s="53"/>
      <c r="B88" s="54"/>
      <c r="C88" s="72" t="s">
        <v>44</v>
      </c>
      <c r="D88" s="53"/>
      <c r="E88" s="56"/>
      <c r="F88" s="53"/>
      <c r="G88" s="57"/>
      <c r="H88" s="68"/>
      <c r="I88" s="75"/>
      <c r="J88" s="61"/>
      <c r="K88" s="56"/>
      <c r="L88" s="55" t="s">
        <v>118</v>
      </c>
      <c r="M88" s="53"/>
      <c r="N88" s="53"/>
      <c r="O88" s="53"/>
      <c r="P88" s="56"/>
      <c r="Q88" s="73"/>
      <c r="R88" s="70"/>
      <c r="S88" s="71"/>
      <c r="T88" s="71"/>
      <c r="U88" s="66"/>
      <c r="W88" s="55"/>
      <c r="Z88" s="55"/>
    </row>
    <row r="89" spans="1:26" x14ac:dyDescent="0.2">
      <c r="A89" s="53"/>
      <c r="B89" s="54"/>
      <c r="C89" s="72" t="s">
        <v>44</v>
      </c>
      <c r="D89" s="53"/>
      <c r="E89" s="56"/>
      <c r="F89" s="53"/>
      <c r="G89" s="57"/>
      <c r="H89" s="68"/>
      <c r="I89" s="75"/>
      <c r="J89" s="61"/>
      <c r="K89" s="56"/>
      <c r="L89" s="55" t="s">
        <v>119</v>
      </c>
      <c r="M89" s="53"/>
      <c r="N89" s="53"/>
      <c r="O89" s="53"/>
      <c r="P89" s="56"/>
      <c r="Q89" s="73"/>
      <c r="R89" s="70"/>
      <c r="S89" s="71"/>
      <c r="T89" s="71"/>
      <c r="U89" s="66"/>
      <c r="W89" s="55"/>
      <c r="Z89" s="55"/>
    </row>
    <row r="90" spans="1:26" x14ac:dyDescent="0.2">
      <c r="A90" s="53">
        <v>17</v>
      </c>
      <c r="B90" s="54"/>
      <c r="C90" s="76" t="s">
        <v>120</v>
      </c>
      <c r="D90" s="53" t="s">
        <v>38</v>
      </c>
      <c r="E90" s="56" t="s">
        <v>39</v>
      </c>
      <c r="F90" s="53">
        <v>0</v>
      </c>
      <c r="G90" s="57">
        <v>1</v>
      </c>
      <c r="H90" s="68">
        <v>0</v>
      </c>
      <c r="I90" s="75">
        <v>1</v>
      </c>
      <c r="J90" s="61"/>
      <c r="K90" s="56"/>
      <c r="L90" s="55" t="s">
        <v>121</v>
      </c>
      <c r="M90" s="53">
        <f>$D$5</f>
        <v>24</v>
      </c>
      <c r="N90" s="53">
        <f>$D$4</f>
        <v>5</v>
      </c>
      <c r="O90" s="53">
        <f t="shared" ref="O90:O117" si="4">IF(A90&lt;&gt;"",M90*2^9+A90,"")</f>
        <v>12305</v>
      </c>
      <c r="P90" s="56" t="str">
        <f t="shared" ref="P90:P117" si="5">IF(A90&lt;&gt;"","0x" &amp;DEC2HEX( O90,4),"")</f>
        <v>0x3011</v>
      </c>
      <c r="Q90" s="73"/>
      <c r="R90" s="70"/>
      <c r="S90" s="71"/>
      <c r="T90" s="71"/>
      <c r="U90" s="66"/>
      <c r="V90" s="77" t="s">
        <v>120</v>
      </c>
      <c r="W90" s="55" t="s">
        <v>122</v>
      </c>
      <c r="X90" s="14">
        <v>0</v>
      </c>
      <c r="Z90" s="55"/>
    </row>
    <row r="91" spans="1:26" x14ac:dyDescent="0.2">
      <c r="A91" s="53"/>
      <c r="B91" s="54"/>
      <c r="C91" s="72" t="s">
        <v>44</v>
      </c>
      <c r="D91" s="53"/>
      <c r="E91" s="56"/>
      <c r="F91" s="53"/>
      <c r="G91" s="57"/>
      <c r="H91" s="68"/>
      <c r="I91" s="75"/>
      <c r="J91" s="61"/>
      <c r="K91" s="56"/>
      <c r="L91" s="55"/>
      <c r="M91" s="53"/>
      <c r="N91" s="53"/>
      <c r="O91" s="53"/>
      <c r="P91" s="56"/>
      <c r="Q91" s="73"/>
      <c r="R91" s="70"/>
      <c r="S91" s="71"/>
      <c r="T91" s="71"/>
      <c r="U91" s="66"/>
      <c r="V91" s="77" t="s">
        <v>120</v>
      </c>
      <c r="W91" s="55" t="s">
        <v>123</v>
      </c>
      <c r="X91" s="14">
        <v>1</v>
      </c>
      <c r="Z91" s="55"/>
    </row>
    <row r="92" spans="1:26" x14ac:dyDescent="0.2">
      <c r="A92" s="53">
        <v>18</v>
      </c>
      <c r="B92" s="54"/>
      <c r="C92" s="76" t="s">
        <v>124</v>
      </c>
      <c r="D92" s="53" t="s">
        <v>38</v>
      </c>
      <c r="E92" s="56" t="s">
        <v>39</v>
      </c>
      <c r="F92" s="53">
        <v>0</v>
      </c>
      <c r="G92" s="57">
        <v>3</v>
      </c>
      <c r="H92" s="68">
        <v>0</v>
      </c>
      <c r="I92" s="75">
        <v>1</v>
      </c>
      <c r="J92" s="61"/>
      <c r="K92" s="56"/>
      <c r="L92" s="55" t="s">
        <v>125</v>
      </c>
      <c r="M92" s="53">
        <f>$D$5</f>
        <v>24</v>
      </c>
      <c r="N92" s="53">
        <f>$D$4</f>
        <v>5</v>
      </c>
      <c r="O92" s="53">
        <f t="shared" si="4"/>
        <v>12306</v>
      </c>
      <c r="P92" s="56" t="str">
        <f t="shared" si="5"/>
        <v>0x3012</v>
      </c>
      <c r="Q92" s="73"/>
      <c r="R92" s="70"/>
      <c r="S92" s="71"/>
      <c r="T92" s="71"/>
      <c r="U92" s="66"/>
      <c r="V92" s="77" t="s">
        <v>124</v>
      </c>
      <c r="W92" s="55" t="s">
        <v>122</v>
      </c>
      <c r="X92" s="14">
        <v>0</v>
      </c>
      <c r="Z92" s="55"/>
    </row>
    <row r="93" spans="1:26" x14ac:dyDescent="0.2">
      <c r="A93" s="53"/>
      <c r="B93" s="54"/>
      <c r="C93" s="72" t="s">
        <v>44</v>
      </c>
      <c r="D93" s="53"/>
      <c r="E93" s="56"/>
      <c r="F93" s="53"/>
      <c r="G93" s="57"/>
      <c r="H93" s="68"/>
      <c r="I93" s="75"/>
      <c r="J93" s="61"/>
      <c r="K93" s="56"/>
      <c r="L93" s="55"/>
      <c r="M93" s="53"/>
      <c r="N93" s="53"/>
      <c r="O93" s="53"/>
      <c r="P93" s="56"/>
      <c r="Q93" s="73"/>
      <c r="R93" s="70"/>
      <c r="S93" s="71"/>
      <c r="T93" s="71"/>
      <c r="U93" s="66"/>
      <c r="V93" s="77" t="s">
        <v>124</v>
      </c>
      <c r="W93" s="55" t="s">
        <v>126</v>
      </c>
      <c r="X93" s="14">
        <v>1</v>
      </c>
      <c r="Z93" s="55"/>
    </row>
    <row r="94" spans="1:26" x14ac:dyDescent="0.2">
      <c r="A94" s="53"/>
      <c r="B94" s="54"/>
      <c r="C94" s="72" t="s">
        <v>44</v>
      </c>
      <c r="D94" s="53"/>
      <c r="E94" s="56"/>
      <c r="F94" s="53"/>
      <c r="G94" s="57"/>
      <c r="H94" s="68"/>
      <c r="I94" s="75"/>
      <c r="J94" s="61"/>
      <c r="K94" s="56"/>
      <c r="L94" s="55"/>
      <c r="M94" s="53"/>
      <c r="N94" s="53"/>
      <c r="O94" s="53"/>
      <c r="P94" s="56"/>
      <c r="Q94" s="73"/>
      <c r="R94" s="70"/>
      <c r="S94" s="71"/>
      <c r="T94" s="71"/>
      <c r="U94" s="66"/>
      <c r="V94" s="77" t="s">
        <v>124</v>
      </c>
      <c r="W94" s="55" t="s">
        <v>127</v>
      </c>
      <c r="X94" s="14">
        <v>2</v>
      </c>
      <c r="Z94" s="55"/>
    </row>
    <row r="95" spans="1:26" x14ac:dyDescent="0.2">
      <c r="A95" s="53"/>
      <c r="B95" s="54"/>
      <c r="C95" s="72" t="s">
        <v>44</v>
      </c>
      <c r="D95" s="53"/>
      <c r="E95" s="56"/>
      <c r="F95" s="53"/>
      <c r="G95" s="57"/>
      <c r="H95" s="68"/>
      <c r="I95" s="75"/>
      <c r="J95" s="61"/>
      <c r="K95" s="56"/>
      <c r="L95" s="55"/>
      <c r="M95" s="53"/>
      <c r="N95" s="53"/>
      <c r="O95" s="53"/>
      <c r="P95" s="56"/>
      <c r="Q95" s="73"/>
      <c r="R95" s="70"/>
      <c r="S95" s="71"/>
      <c r="T95" s="71"/>
      <c r="U95" s="66"/>
      <c r="V95" s="77" t="s">
        <v>124</v>
      </c>
      <c r="W95" s="55" t="s">
        <v>128</v>
      </c>
      <c r="X95" s="14">
        <v>3</v>
      </c>
      <c r="Z95" s="55"/>
    </row>
    <row r="96" spans="1:26" x14ac:dyDescent="0.2">
      <c r="A96" s="53"/>
      <c r="B96" s="54"/>
      <c r="C96" s="76"/>
      <c r="D96" s="53"/>
      <c r="E96" s="56"/>
      <c r="F96" s="53"/>
      <c r="G96" s="57"/>
      <c r="H96" s="68"/>
      <c r="I96" s="75"/>
      <c r="J96" s="61"/>
      <c r="K96" s="56"/>
      <c r="L96" s="55"/>
      <c r="M96" s="53">
        <f t="shared" ref="M96:M101" si="6">$D$5</f>
        <v>24</v>
      </c>
      <c r="N96" s="53">
        <f t="shared" ref="N96:N101" si="7">$D$4</f>
        <v>5</v>
      </c>
      <c r="O96" s="53" t="str">
        <f t="shared" si="4"/>
        <v/>
      </c>
      <c r="P96" s="56" t="str">
        <f t="shared" si="5"/>
        <v/>
      </c>
      <c r="Q96" s="73"/>
      <c r="R96" s="70"/>
      <c r="S96" s="71"/>
      <c r="T96" s="71"/>
      <c r="U96" s="66"/>
      <c r="W96" s="55"/>
      <c r="Z96" s="55"/>
    </row>
    <row r="97" spans="1:27" x14ac:dyDescent="0.2">
      <c r="A97" s="53"/>
      <c r="B97" s="54"/>
      <c r="C97" s="76"/>
      <c r="D97" s="53"/>
      <c r="E97" s="56"/>
      <c r="F97" s="53"/>
      <c r="G97" s="57"/>
      <c r="H97" s="68"/>
      <c r="I97" s="75"/>
      <c r="J97" s="61"/>
      <c r="K97" s="56"/>
      <c r="L97" s="55"/>
      <c r="M97" s="53">
        <f t="shared" si="6"/>
        <v>24</v>
      </c>
      <c r="N97" s="53">
        <f t="shared" si="7"/>
        <v>5</v>
      </c>
      <c r="O97" s="53" t="str">
        <f t="shared" si="4"/>
        <v/>
      </c>
      <c r="P97" s="56" t="str">
        <f t="shared" si="5"/>
        <v/>
      </c>
      <c r="Q97" s="73"/>
      <c r="R97" s="70"/>
      <c r="S97" s="71"/>
      <c r="T97" s="71"/>
      <c r="U97" s="66"/>
      <c r="W97" s="55"/>
      <c r="Z97" s="55"/>
    </row>
    <row r="98" spans="1:27" x14ac:dyDescent="0.2">
      <c r="A98" s="53"/>
      <c r="B98" s="54"/>
      <c r="C98" s="76"/>
      <c r="D98" s="53"/>
      <c r="E98" s="56"/>
      <c r="F98" s="53"/>
      <c r="G98" s="57"/>
      <c r="H98" s="68"/>
      <c r="I98" s="75"/>
      <c r="J98" s="61"/>
      <c r="K98" s="56"/>
      <c r="L98" s="55"/>
      <c r="M98" s="53">
        <f t="shared" si="6"/>
        <v>24</v>
      </c>
      <c r="N98" s="53">
        <f t="shared" si="7"/>
        <v>5</v>
      </c>
      <c r="O98" s="53" t="str">
        <f t="shared" si="4"/>
        <v/>
      </c>
      <c r="P98" s="56" t="str">
        <f t="shared" si="5"/>
        <v/>
      </c>
      <c r="Q98" s="73"/>
      <c r="R98" s="70"/>
      <c r="S98" s="71"/>
      <c r="T98" s="71"/>
      <c r="U98" s="66"/>
      <c r="W98" s="55"/>
      <c r="Z98" s="55"/>
    </row>
    <row r="99" spans="1:27" x14ac:dyDescent="0.2">
      <c r="A99" s="53"/>
      <c r="B99" s="54"/>
      <c r="C99" s="76"/>
      <c r="D99" s="53"/>
      <c r="E99" s="56"/>
      <c r="F99" s="53"/>
      <c r="G99" s="57"/>
      <c r="H99" s="68"/>
      <c r="I99" s="75"/>
      <c r="J99" s="61"/>
      <c r="K99" s="56"/>
      <c r="L99" s="55"/>
      <c r="M99" s="53">
        <f t="shared" si="6"/>
        <v>24</v>
      </c>
      <c r="N99" s="53">
        <f t="shared" si="7"/>
        <v>5</v>
      </c>
      <c r="O99" s="53" t="str">
        <f t="shared" si="4"/>
        <v/>
      </c>
      <c r="P99" s="56" t="str">
        <f t="shared" si="5"/>
        <v/>
      </c>
      <c r="Q99" s="73"/>
      <c r="R99" s="70"/>
      <c r="S99" s="71"/>
      <c r="T99" s="71"/>
      <c r="U99" s="66"/>
      <c r="W99" s="55"/>
      <c r="Z99" s="55"/>
    </row>
    <row r="100" spans="1:27" x14ac:dyDescent="0.2">
      <c r="A100" s="53"/>
      <c r="B100" s="54"/>
      <c r="C100" s="76"/>
      <c r="D100" s="53"/>
      <c r="E100" s="56"/>
      <c r="F100" s="53"/>
      <c r="G100" s="57"/>
      <c r="H100" s="68"/>
      <c r="I100" s="75"/>
      <c r="J100" s="61"/>
      <c r="K100" s="56"/>
      <c r="L100" s="55"/>
      <c r="M100" s="53">
        <f t="shared" si="6"/>
        <v>24</v>
      </c>
      <c r="N100" s="53">
        <f t="shared" si="7"/>
        <v>5</v>
      </c>
      <c r="O100" s="53" t="str">
        <f t="shared" si="4"/>
        <v/>
      </c>
      <c r="P100" s="56" t="str">
        <f t="shared" si="5"/>
        <v/>
      </c>
      <c r="Q100" s="73"/>
      <c r="R100" s="70"/>
      <c r="S100" s="71"/>
      <c r="T100" s="71"/>
      <c r="U100" s="66"/>
      <c r="W100" s="55"/>
      <c r="Z100" s="55"/>
    </row>
    <row r="101" spans="1:27" x14ac:dyDescent="0.2">
      <c r="A101" s="53">
        <v>24</v>
      </c>
      <c r="B101" s="54"/>
      <c r="C101" s="76" t="s">
        <v>129</v>
      </c>
      <c r="D101" s="53" t="s">
        <v>38</v>
      </c>
      <c r="E101" s="78" t="s">
        <v>130</v>
      </c>
      <c r="F101" s="53">
        <v>-90</v>
      </c>
      <c r="G101" s="57">
        <v>90</v>
      </c>
      <c r="H101" s="68">
        <v>0</v>
      </c>
      <c r="I101" s="75">
        <v>0.01</v>
      </c>
      <c r="J101" s="61" t="s">
        <v>350</v>
      </c>
      <c r="K101" s="56"/>
      <c r="L101" s="55" t="s">
        <v>132</v>
      </c>
      <c r="M101" s="53">
        <f t="shared" si="6"/>
        <v>24</v>
      </c>
      <c r="N101" s="53">
        <f t="shared" si="7"/>
        <v>5</v>
      </c>
      <c r="O101" s="53">
        <f t="shared" si="4"/>
        <v>12312</v>
      </c>
      <c r="P101" s="56" t="str">
        <f t="shared" si="5"/>
        <v>0x3018</v>
      </c>
      <c r="Q101" s="73"/>
      <c r="R101" s="70"/>
      <c r="S101" s="71"/>
      <c r="T101" s="71"/>
      <c r="U101" s="66"/>
      <c r="W101" s="55"/>
      <c r="Y101" t="s">
        <v>129</v>
      </c>
      <c r="Z101" s="55" t="s">
        <v>133</v>
      </c>
      <c r="AA101">
        <v>0</v>
      </c>
    </row>
    <row r="102" spans="1:27" x14ac:dyDescent="0.2">
      <c r="A102" s="53"/>
      <c r="B102" s="54"/>
      <c r="C102" s="72" t="s">
        <v>44</v>
      </c>
      <c r="D102" s="53"/>
      <c r="E102" s="56"/>
      <c r="F102" s="53"/>
      <c r="G102" s="57"/>
      <c r="H102" s="68"/>
      <c r="I102" s="75"/>
      <c r="J102" s="61"/>
      <c r="K102" s="56"/>
      <c r="L102" s="55"/>
      <c r="M102" s="53"/>
      <c r="N102" s="53"/>
      <c r="O102" s="53"/>
      <c r="P102" s="56"/>
      <c r="Q102" s="73"/>
      <c r="R102" s="70"/>
      <c r="S102" s="71"/>
      <c r="T102" s="71"/>
      <c r="U102" s="66"/>
      <c r="W102" s="55"/>
      <c r="Y102" t="s">
        <v>129</v>
      </c>
      <c r="Z102" s="55" t="s">
        <v>134</v>
      </c>
      <c r="AA102">
        <v>1</v>
      </c>
    </row>
    <row r="103" spans="1:27" x14ac:dyDescent="0.2">
      <c r="A103" s="53">
        <v>25</v>
      </c>
      <c r="B103" s="54"/>
      <c r="C103" s="76" t="s">
        <v>135</v>
      </c>
      <c r="D103" s="53" t="s">
        <v>38</v>
      </c>
      <c r="E103" s="78" t="s">
        <v>130</v>
      </c>
      <c r="F103" s="53">
        <v>-90</v>
      </c>
      <c r="G103" s="57">
        <v>90</v>
      </c>
      <c r="H103" s="68">
        <v>0</v>
      </c>
      <c r="I103" s="75">
        <v>0.01</v>
      </c>
      <c r="J103" s="61" t="s">
        <v>350</v>
      </c>
      <c r="K103" s="56"/>
      <c r="L103" s="55" t="s">
        <v>132</v>
      </c>
      <c r="M103" s="53">
        <f>$D$5</f>
        <v>24</v>
      </c>
      <c r="N103" s="53">
        <f>$D$4</f>
        <v>5</v>
      </c>
      <c r="O103" s="53">
        <f t="shared" si="4"/>
        <v>12313</v>
      </c>
      <c r="P103" s="56" t="str">
        <f t="shared" si="5"/>
        <v>0x3019</v>
      </c>
      <c r="Q103" s="73"/>
      <c r="R103" s="70"/>
      <c r="S103" s="71"/>
      <c r="T103" s="71"/>
      <c r="U103" s="66"/>
      <c r="W103" s="55"/>
      <c r="Y103" t="s">
        <v>135</v>
      </c>
      <c r="Z103" s="55" t="s">
        <v>133</v>
      </c>
      <c r="AA103">
        <v>0</v>
      </c>
    </row>
    <row r="104" spans="1:27" x14ac:dyDescent="0.2">
      <c r="A104" s="53"/>
      <c r="B104" s="54"/>
      <c r="C104" s="72" t="s">
        <v>44</v>
      </c>
      <c r="D104" s="53"/>
      <c r="E104" s="78"/>
      <c r="F104" s="53"/>
      <c r="G104" s="57"/>
      <c r="H104" s="68"/>
      <c r="I104" s="75"/>
      <c r="J104" s="61"/>
      <c r="K104" s="56"/>
      <c r="L104" s="55"/>
      <c r="M104" s="53"/>
      <c r="N104" s="53"/>
      <c r="O104" s="53"/>
      <c r="P104" s="56"/>
      <c r="Q104" s="73"/>
      <c r="R104" s="70"/>
      <c r="S104" s="71"/>
      <c r="T104" s="71"/>
      <c r="U104" s="66"/>
      <c r="W104" s="55"/>
      <c r="Y104" t="s">
        <v>135</v>
      </c>
      <c r="Z104" s="55" t="s">
        <v>134</v>
      </c>
      <c r="AA104">
        <v>1</v>
      </c>
    </row>
    <row r="105" spans="1:27" x14ac:dyDescent="0.2">
      <c r="A105" s="53">
        <v>26</v>
      </c>
      <c r="B105" s="54"/>
      <c r="C105" s="76" t="s">
        <v>136</v>
      </c>
      <c r="D105" s="53" t="s">
        <v>38</v>
      </c>
      <c r="E105" s="78" t="s">
        <v>130</v>
      </c>
      <c r="F105" s="53">
        <v>-8032</v>
      </c>
      <c r="G105" s="57">
        <v>803175</v>
      </c>
      <c r="H105" s="68">
        <v>-8032</v>
      </c>
      <c r="I105" s="75">
        <v>0.25</v>
      </c>
      <c r="J105" s="61" t="s">
        <v>137</v>
      </c>
      <c r="K105" s="56"/>
      <c r="L105" s="55" t="s">
        <v>138</v>
      </c>
      <c r="M105" s="53">
        <f>$D$5</f>
        <v>24</v>
      </c>
      <c r="N105" s="53">
        <f>$D$4</f>
        <v>5</v>
      </c>
      <c r="O105" s="53">
        <f t="shared" si="4"/>
        <v>12314</v>
      </c>
      <c r="P105" s="56" t="str">
        <f t="shared" si="5"/>
        <v>0x301A</v>
      </c>
      <c r="Q105" s="73"/>
      <c r="R105" s="70"/>
      <c r="S105" s="71"/>
      <c r="T105" s="71"/>
      <c r="U105" s="66"/>
      <c r="W105" s="55"/>
      <c r="Y105" t="s">
        <v>136</v>
      </c>
      <c r="Z105" s="55" t="s">
        <v>133</v>
      </c>
      <c r="AA105">
        <v>0</v>
      </c>
    </row>
    <row r="106" spans="1:27" x14ac:dyDescent="0.2">
      <c r="A106" s="53"/>
      <c r="B106" s="54"/>
      <c r="C106" s="72" t="s">
        <v>44</v>
      </c>
      <c r="D106" s="53"/>
      <c r="E106" s="56"/>
      <c r="F106" s="53"/>
      <c r="G106" s="57"/>
      <c r="H106" s="68"/>
      <c r="I106" s="75"/>
      <c r="J106" s="61"/>
      <c r="K106" s="56"/>
      <c r="L106" s="55"/>
      <c r="M106" s="53"/>
      <c r="N106" s="53"/>
      <c r="O106" s="53"/>
      <c r="P106" s="56"/>
      <c r="Q106" s="73"/>
      <c r="R106" s="70"/>
      <c r="S106" s="71"/>
      <c r="T106" s="71"/>
      <c r="U106" s="66"/>
      <c r="W106" s="55"/>
      <c r="Y106" t="s">
        <v>136</v>
      </c>
      <c r="Z106" s="55" t="s">
        <v>134</v>
      </c>
      <c r="AA106">
        <v>1</v>
      </c>
    </row>
    <row r="107" spans="1:27" x14ac:dyDescent="0.2">
      <c r="A107" s="53">
        <v>27</v>
      </c>
      <c r="B107" s="54"/>
      <c r="C107" s="76" t="s">
        <v>139</v>
      </c>
      <c r="D107" s="53" t="s">
        <v>38</v>
      </c>
      <c r="E107" s="78" t="s">
        <v>130</v>
      </c>
      <c r="F107" s="53">
        <v>-8032</v>
      </c>
      <c r="G107" s="57">
        <v>803175</v>
      </c>
      <c r="H107" s="68">
        <v>-8032</v>
      </c>
      <c r="I107" s="75">
        <v>0.25</v>
      </c>
      <c r="J107" s="61" t="s">
        <v>137</v>
      </c>
      <c r="K107" s="56"/>
      <c r="L107" s="55" t="s">
        <v>140</v>
      </c>
      <c r="M107" s="53">
        <f>$D$5</f>
        <v>24</v>
      </c>
      <c r="N107" s="53">
        <f>$D$4</f>
        <v>5</v>
      </c>
      <c r="O107" s="53">
        <f t="shared" si="4"/>
        <v>12315</v>
      </c>
      <c r="P107" s="56" t="str">
        <f t="shared" si="5"/>
        <v>0x301B</v>
      </c>
      <c r="Q107" s="73"/>
      <c r="R107" s="70"/>
      <c r="S107" s="71"/>
      <c r="T107" s="71"/>
      <c r="U107" s="66"/>
      <c r="W107" s="55"/>
      <c r="Y107" t="s">
        <v>139</v>
      </c>
      <c r="Z107" s="55" t="s">
        <v>133</v>
      </c>
      <c r="AA107">
        <v>0</v>
      </c>
    </row>
    <row r="108" spans="1:27" x14ac:dyDescent="0.2">
      <c r="A108" s="53"/>
      <c r="B108" s="54"/>
      <c r="C108" s="72" t="s">
        <v>44</v>
      </c>
      <c r="D108" s="53"/>
      <c r="E108" s="78"/>
      <c r="F108" s="53"/>
      <c r="G108" s="57"/>
      <c r="H108" s="68"/>
      <c r="I108" s="75"/>
      <c r="J108" s="61"/>
      <c r="K108" s="56"/>
      <c r="L108" s="55"/>
      <c r="M108" s="53"/>
      <c r="N108" s="53"/>
      <c r="O108" s="53"/>
      <c r="P108" s="56"/>
      <c r="Q108" s="73"/>
      <c r="R108" s="70"/>
      <c r="S108" s="71"/>
      <c r="T108" s="71"/>
      <c r="U108" s="66"/>
      <c r="W108" s="55"/>
      <c r="Y108" t="s">
        <v>139</v>
      </c>
      <c r="Z108" s="55" t="s">
        <v>134</v>
      </c>
      <c r="AA108">
        <v>1</v>
      </c>
    </row>
    <row r="109" spans="1:27" x14ac:dyDescent="0.2">
      <c r="A109" s="53">
        <v>28</v>
      </c>
      <c r="B109" s="54"/>
      <c r="C109" s="76" t="s">
        <v>141</v>
      </c>
      <c r="D109" s="53" t="s">
        <v>38</v>
      </c>
      <c r="E109" s="78" t="s">
        <v>130</v>
      </c>
      <c r="F109" s="53">
        <v>-8032</v>
      </c>
      <c r="G109" s="57">
        <v>803175</v>
      </c>
      <c r="H109" s="68">
        <v>-8032</v>
      </c>
      <c r="I109" s="75">
        <v>0.25</v>
      </c>
      <c r="J109" s="61" t="s">
        <v>137</v>
      </c>
      <c r="K109" s="56"/>
      <c r="L109" s="55" t="s">
        <v>142</v>
      </c>
      <c r="M109" s="53">
        <f>$D$5</f>
        <v>24</v>
      </c>
      <c r="N109" s="53">
        <f>$D$4</f>
        <v>5</v>
      </c>
      <c r="O109" s="53">
        <f t="shared" si="4"/>
        <v>12316</v>
      </c>
      <c r="P109" s="56" t="str">
        <f t="shared" si="5"/>
        <v>0x301C</v>
      </c>
      <c r="Q109" s="73"/>
      <c r="R109" s="70"/>
      <c r="S109" s="71"/>
      <c r="T109" s="71"/>
      <c r="U109" s="66"/>
      <c r="W109" s="55"/>
      <c r="Y109" t="s">
        <v>141</v>
      </c>
      <c r="Z109" s="55" t="s">
        <v>133</v>
      </c>
      <c r="AA109">
        <v>0</v>
      </c>
    </row>
    <row r="110" spans="1:27" x14ac:dyDescent="0.2">
      <c r="A110" s="53"/>
      <c r="B110" s="54"/>
      <c r="C110" s="72" t="s">
        <v>44</v>
      </c>
      <c r="D110" s="53"/>
      <c r="E110" s="78"/>
      <c r="F110" s="53"/>
      <c r="G110" s="57"/>
      <c r="H110" s="68"/>
      <c r="I110" s="75"/>
      <c r="J110" s="61"/>
      <c r="K110" s="56"/>
      <c r="L110" s="55"/>
      <c r="M110" s="53"/>
      <c r="N110" s="53"/>
      <c r="O110" s="53"/>
      <c r="P110" s="56"/>
      <c r="Q110" s="73"/>
      <c r="R110" s="70"/>
      <c r="S110" s="71"/>
      <c r="T110" s="71"/>
      <c r="U110" s="66"/>
      <c r="W110" s="55"/>
      <c r="Y110" t="s">
        <v>141</v>
      </c>
      <c r="Z110" s="55" t="s">
        <v>134</v>
      </c>
      <c r="AA110">
        <v>1</v>
      </c>
    </row>
    <row r="111" spans="1:27" x14ac:dyDescent="0.2">
      <c r="A111" s="53"/>
      <c r="B111" s="54"/>
      <c r="C111" s="76"/>
      <c r="D111" s="53"/>
      <c r="E111" s="56"/>
      <c r="F111" s="53"/>
      <c r="G111" s="57"/>
      <c r="H111" s="68"/>
      <c r="I111" s="75"/>
      <c r="J111" s="61"/>
      <c r="K111" s="56"/>
      <c r="L111" s="55"/>
      <c r="M111" s="53">
        <f t="shared" ref="M111:M128" si="8">$D$5</f>
        <v>24</v>
      </c>
      <c r="N111" s="53">
        <f t="shared" ref="N111:N128" si="9">$D$4</f>
        <v>5</v>
      </c>
      <c r="O111" s="53" t="str">
        <f t="shared" si="4"/>
        <v/>
      </c>
      <c r="P111" s="56" t="str">
        <f t="shared" si="5"/>
        <v/>
      </c>
      <c r="Q111" s="73"/>
      <c r="R111" s="70"/>
      <c r="S111" s="71"/>
      <c r="T111" s="71"/>
      <c r="U111" s="66"/>
      <c r="W111" s="55"/>
      <c r="Z111" s="55"/>
    </row>
    <row r="112" spans="1:27" x14ac:dyDescent="0.2">
      <c r="A112" s="53"/>
      <c r="B112" s="54"/>
      <c r="C112" s="76"/>
      <c r="D112" s="53"/>
      <c r="E112" s="56"/>
      <c r="F112" s="53"/>
      <c r="G112" s="57"/>
      <c r="H112" s="68"/>
      <c r="I112" s="75"/>
      <c r="J112" s="61"/>
      <c r="K112" s="56"/>
      <c r="L112" s="55"/>
      <c r="M112" s="53">
        <f t="shared" si="8"/>
        <v>24</v>
      </c>
      <c r="N112" s="53">
        <f t="shared" si="9"/>
        <v>5</v>
      </c>
      <c r="O112" s="53" t="str">
        <f t="shared" si="4"/>
        <v/>
      </c>
      <c r="P112" s="56" t="str">
        <f t="shared" si="5"/>
        <v/>
      </c>
      <c r="Q112" s="73"/>
      <c r="R112" s="70"/>
      <c r="S112" s="71"/>
      <c r="T112" s="71"/>
      <c r="U112" s="66"/>
      <c r="W112" s="55"/>
      <c r="Z112" s="55"/>
    </row>
    <row r="113" spans="1:26" x14ac:dyDescent="0.2">
      <c r="A113" s="53"/>
      <c r="B113" s="54"/>
      <c r="C113" s="76"/>
      <c r="D113" s="53"/>
      <c r="E113" s="56"/>
      <c r="F113" s="53"/>
      <c r="G113" s="57"/>
      <c r="H113" s="68"/>
      <c r="I113" s="75"/>
      <c r="J113" s="61"/>
      <c r="K113" s="56"/>
      <c r="L113" s="55"/>
      <c r="M113" s="53">
        <f t="shared" si="8"/>
        <v>24</v>
      </c>
      <c r="N113" s="53">
        <f t="shared" si="9"/>
        <v>5</v>
      </c>
      <c r="O113" s="53" t="str">
        <f t="shared" si="4"/>
        <v/>
      </c>
      <c r="P113" s="56" t="str">
        <f t="shared" si="5"/>
        <v/>
      </c>
      <c r="Q113" s="73"/>
      <c r="R113" s="70"/>
      <c r="S113" s="71"/>
      <c r="T113" s="71"/>
      <c r="U113" s="66"/>
      <c r="W113" s="55"/>
      <c r="Z113" s="55"/>
    </row>
    <row r="114" spans="1:26" x14ac:dyDescent="0.2">
      <c r="A114" s="53">
        <v>32</v>
      </c>
      <c r="B114" s="54"/>
      <c r="C114" s="76" t="s">
        <v>143</v>
      </c>
      <c r="D114" s="53" t="s">
        <v>42</v>
      </c>
      <c r="E114" s="56" t="s">
        <v>39</v>
      </c>
      <c r="F114" s="53">
        <v>0</v>
      </c>
      <c r="G114" s="58">
        <v>24510</v>
      </c>
      <c r="H114" s="68">
        <v>0</v>
      </c>
      <c r="I114" s="69">
        <v>1E-3</v>
      </c>
      <c r="J114" s="82" t="s">
        <v>197</v>
      </c>
      <c r="K114" s="56"/>
      <c r="L114" s="55" t="s">
        <v>144</v>
      </c>
      <c r="M114" s="53">
        <f t="shared" si="8"/>
        <v>24</v>
      </c>
      <c r="N114" s="53">
        <f t="shared" si="9"/>
        <v>5</v>
      </c>
      <c r="O114" s="53">
        <f t="shared" si="4"/>
        <v>12320</v>
      </c>
      <c r="P114" s="56" t="str">
        <f t="shared" si="5"/>
        <v>0x3020</v>
      </c>
      <c r="Q114" s="63" t="s">
        <v>347</v>
      </c>
      <c r="R114" s="70"/>
      <c r="S114" s="71"/>
      <c r="T114" s="71"/>
      <c r="U114" s="66"/>
      <c r="W114" s="55"/>
      <c r="Z114" s="55"/>
    </row>
    <row r="115" spans="1:26" x14ac:dyDescent="0.2">
      <c r="A115" s="53">
        <v>33</v>
      </c>
      <c r="B115" s="54"/>
      <c r="C115" s="76" t="s">
        <v>145</v>
      </c>
      <c r="D115" s="53" t="s">
        <v>42</v>
      </c>
      <c r="E115" s="56" t="s">
        <v>39</v>
      </c>
      <c r="F115" s="53">
        <v>-32768</v>
      </c>
      <c r="G115" s="57">
        <v>32767</v>
      </c>
      <c r="H115" s="68">
        <v>0</v>
      </c>
      <c r="I115" s="75">
        <v>1</v>
      </c>
      <c r="J115" s="61"/>
      <c r="K115" s="56"/>
      <c r="L115" s="55" t="s">
        <v>146</v>
      </c>
      <c r="M115" s="53">
        <f t="shared" si="8"/>
        <v>24</v>
      </c>
      <c r="N115" s="53">
        <f t="shared" si="9"/>
        <v>5</v>
      </c>
      <c r="O115" s="53">
        <f t="shared" si="4"/>
        <v>12321</v>
      </c>
      <c r="P115" s="56" t="str">
        <f t="shared" si="5"/>
        <v>0x3021</v>
      </c>
      <c r="Q115" s="73"/>
      <c r="R115" s="70"/>
      <c r="S115" s="71"/>
      <c r="T115" s="71"/>
      <c r="U115" s="66"/>
      <c r="W115" s="55"/>
      <c r="Z115" s="55"/>
    </row>
    <row r="116" spans="1:26" x14ac:dyDescent="0.2">
      <c r="A116" s="53">
        <v>34</v>
      </c>
      <c r="B116" s="54"/>
      <c r="C116" s="76" t="s">
        <v>147</v>
      </c>
      <c r="D116" s="53" t="s">
        <v>42</v>
      </c>
      <c r="E116" s="56" t="s">
        <v>39</v>
      </c>
      <c r="F116" s="53">
        <v>-90</v>
      </c>
      <c r="G116" s="57">
        <v>90</v>
      </c>
      <c r="H116" s="68">
        <v>0</v>
      </c>
      <c r="I116" s="75">
        <v>0.01</v>
      </c>
      <c r="J116" s="61" t="s">
        <v>350</v>
      </c>
      <c r="K116" s="56"/>
      <c r="L116" s="55" t="s">
        <v>148</v>
      </c>
      <c r="M116" s="53">
        <f t="shared" si="8"/>
        <v>24</v>
      </c>
      <c r="N116" s="53">
        <f t="shared" si="9"/>
        <v>5</v>
      </c>
      <c r="O116" s="53">
        <f t="shared" si="4"/>
        <v>12322</v>
      </c>
      <c r="P116" s="56" t="str">
        <f t="shared" si="5"/>
        <v>0x3022</v>
      </c>
      <c r="Q116" s="63" t="s">
        <v>347</v>
      </c>
      <c r="R116" s="70"/>
      <c r="S116" s="71"/>
      <c r="T116" s="71"/>
      <c r="U116" s="66"/>
      <c r="W116" s="55"/>
      <c r="Z116" s="55"/>
    </row>
    <row r="117" spans="1:26" x14ac:dyDescent="0.2">
      <c r="A117" s="53">
        <v>35</v>
      </c>
      <c r="B117" s="54"/>
      <c r="C117" s="76" t="s">
        <v>149</v>
      </c>
      <c r="D117" s="53" t="s">
        <v>42</v>
      </c>
      <c r="E117" s="56" t="s">
        <v>39</v>
      </c>
      <c r="F117" s="53">
        <v>-90</v>
      </c>
      <c r="G117" s="57">
        <v>90</v>
      </c>
      <c r="H117" s="68">
        <v>0</v>
      </c>
      <c r="I117" s="75">
        <v>0.01</v>
      </c>
      <c r="J117" s="61" t="s">
        <v>350</v>
      </c>
      <c r="K117" s="56"/>
      <c r="L117" s="55" t="s">
        <v>150</v>
      </c>
      <c r="M117" s="53">
        <f t="shared" si="8"/>
        <v>24</v>
      </c>
      <c r="N117" s="53">
        <f t="shared" si="9"/>
        <v>5</v>
      </c>
      <c r="O117" s="53">
        <f t="shared" si="4"/>
        <v>12323</v>
      </c>
      <c r="P117" s="56" t="str">
        <f t="shared" si="5"/>
        <v>0x3023</v>
      </c>
      <c r="Q117" s="63" t="s">
        <v>151</v>
      </c>
      <c r="R117" s="70"/>
      <c r="S117" s="71"/>
      <c r="T117" s="71"/>
      <c r="U117" s="66"/>
      <c r="W117" s="55"/>
      <c r="Z117" s="55"/>
    </row>
    <row r="118" spans="1:26" x14ac:dyDescent="0.2">
      <c r="A118" s="53">
        <v>36</v>
      </c>
      <c r="B118" s="54"/>
      <c r="C118" s="55" t="s">
        <v>152</v>
      </c>
      <c r="D118" s="53" t="s">
        <v>42</v>
      </c>
      <c r="E118" s="56" t="s">
        <v>39</v>
      </c>
      <c r="F118" s="53">
        <v>-90</v>
      </c>
      <c r="G118" s="58">
        <v>90</v>
      </c>
      <c r="H118" s="68">
        <v>0</v>
      </c>
      <c r="I118" s="69">
        <v>0.01</v>
      </c>
      <c r="J118" s="61" t="s">
        <v>350</v>
      </c>
      <c r="K118" s="56"/>
      <c r="L118" s="55" t="s">
        <v>153</v>
      </c>
      <c r="M118" s="53">
        <f t="shared" si="8"/>
        <v>24</v>
      </c>
      <c r="N118" s="53">
        <f t="shared" si="9"/>
        <v>5</v>
      </c>
      <c r="O118" s="53">
        <f>IF(A118&lt;&gt;"",M118*2^9+A118,"")</f>
        <v>12324</v>
      </c>
      <c r="P118" s="56" t="str">
        <f>IF(A118&lt;&gt;"","0x" &amp;DEC2HEX( O118,4),"")</f>
        <v>0x3024</v>
      </c>
      <c r="Q118" s="63"/>
      <c r="R118" s="70"/>
      <c r="S118" s="71"/>
      <c r="T118" s="71"/>
      <c r="U118" s="66"/>
      <c r="W118" s="55"/>
      <c r="Z118" s="55"/>
    </row>
    <row r="119" spans="1:26" x14ac:dyDescent="0.2">
      <c r="A119" s="53">
        <v>37</v>
      </c>
      <c r="B119" s="54"/>
      <c r="C119" s="55" t="s">
        <v>154</v>
      </c>
      <c r="D119" s="53" t="s">
        <v>42</v>
      </c>
      <c r="E119" s="56" t="s">
        <v>39</v>
      </c>
      <c r="F119" s="53">
        <v>-90</v>
      </c>
      <c r="G119" s="58">
        <v>90</v>
      </c>
      <c r="H119" s="68">
        <v>0</v>
      </c>
      <c r="I119" s="69">
        <v>0.01</v>
      </c>
      <c r="J119" s="61" t="s">
        <v>350</v>
      </c>
      <c r="K119" s="56"/>
      <c r="L119" s="61" t="s">
        <v>155</v>
      </c>
      <c r="M119" s="53">
        <f t="shared" si="8"/>
        <v>24</v>
      </c>
      <c r="N119" s="53">
        <f t="shared" si="9"/>
        <v>5</v>
      </c>
      <c r="O119" s="53">
        <f>IF(A119&lt;&gt;"",M119*2^9+A119,"")</f>
        <v>12325</v>
      </c>
      <c r="P119" s="56" t="str">
        <f>IF(A119&lt;&gt;"","0x" &amp;DEC2HEX( O119,4),"")</f>
        <v>0x3025</v>
      </c>
      <c r="Q119" s="63" t="s">
        <v>347</v>
      </c>
      <c r="R119" s="70"/>
      <c r="S119" s="71"/>
      <c r="T119" s="71"/>
      <c r="U119" s="66"/>
      <c r="W119" s="55"/>
      <c r="Z119" s="55"/>
    </row>
    <row r="120" spans="1:26" x14ac:dyDescent="0.2">
      <c r="A120" s="53"/>
      <c r="B120" s="54"/>
      <c r="C120" s="55"/>
      <c r="D120" s="53"/>
      <c r="E120" s="56"/>
      <c r="F120" s="53"/>
      <c r="G120" s="58"/>
      <c r="H120" s="68"/>
      <c r="I120" s="69"/>
      <c r="J120" s="61"/>
      <c r="K120" s="56"/>
      <c r="L120" s="61"/>
      <c r="M120" s="53">
        <f t="shared" si="8"/>
        <v>24</v>
      </c>
      <c r="N120" s="53">
        <f t="shared" si="9"/>
        <v>5</v>
      </c>
      <c r="O120" s="53" t="str">
        <f t="shared" ref="O120:O173" si="10">IF(A120&lt;&gt;"",M120*2^9+A120,"")</f>
        <v/>
      </c>
      <c r="P120" s="56" t="str">
        <f t="shared" ref="P120:P173" si="11">IF(A120&lt;&gt;"","0x" &amp;DEC2HEX( O120,4),"")</f>
        <v/>
      </c>
      <c r="Q120" s="73"/>
      <c r="R120" s="70"/>
      <c r="S120" s="71"/>
      <c r="T120" s="71"/>
      <c r="U120" s="66"/>
      <c r="W120" s="55"/>
      <c r="Z120" s="55"/>
    </row>
    <row r="121" spans="1:26" x14ac:dyDescent="0.2">
      <c r="A121" s="53"/>
      <c r="B121" s="54"/>
      <c r="C121" s="55"/>
      <c r="D121" s="53"/>
      <c r="E121" s="56"/>
      <c r="F121" s="53"/>
      <c r="G121" s="58"/>
      <c r="H121" s="68"/>
      <c r="I121" s="69"/>
      <c r="J121" s="61"/>
      <c r="K121" s="56"/>
      <c r="L121" s="61"/>
      <c r="M121" s="53">
        <f t="shared" si="8"/>
        <v>24</v>
      </c>
      <c r="N121" s="53">
        <f t="shared" si="9"/>
        <v>5</v>
      </c>
      <c r="O121" s="53" t="str">
        <f t="shared" si="10"/>
        <v/>
      </c>
      <c r="P121" s="56" t="str">
        <f t="shared" si="11"/>
        <v/>
      </c>
      <c r="Q121" s="73"/>
      <c r="R121" s="70"/>
      <c r="S121" s="71"/>
      <c r="T121" s="71"/>
      <c r="U121" s="66"/>
      <c r="W121" s="55"/>
      <c r="Z121" s="55"/>
    </row>
    <row r="122" spans="1:26" x14ac:dyDescent="0.2">
      <c r="A122" s="53">
        <v>40</v>
      </c>
      <c r="B122" s="54"/>
      <c r="C122" s="55" t="s">
        <v>156</v>
      </c>
      <c r="D122" s="53" t="s">
        <v>42</v>
      </c>
      <c r="E122" s="56" t="s">
        <v>39</v>
      </c>
      <c r="F122" s="53">
        <v>-8032</v>
      </c>
      <c r="G122" s="58">
        <v>803175</v>
      </c>
      <c r="H122" s="68">
        <v>-8032</v>
      </c>
      <c r="I122" s="69">
        <v>0.25</v>
      </c>
      <c r="J122" s="61" t="s">
        <v>137</v>
      </c>
      <c r="K122" s="56"/>
      <c r="L122" s="61" t="s">
        <v>157</v>
      </c>
      <c r="M122" s="53">
        <f t="shared" si="8"/>
        <v>24</v>
      </c>
      <c r="N122" s="53">
        <f t="shared" si="9"/>
        <v>5</v>
      </c>
      <c r="O122" s="53">
        <f t="shared" si="10"/>
        <v>12328</v>
      </c>
      <c r="P122" s="56" t="str">
        <f t="shared" si="11"/>
        <v>0x3028</v>
      </c>
      <c r="Q122" s="73"/>
      <c r="R122" s="70"/>
      <c r="S122" s="71"/>
      <c r="T122" s="71"/>
      <c r="U122" s="66"/>
      <c r="W122" s="55"/>
      <c r="Z122" s="55"/>
    </row>
    <row r="123" spans="1:26" x14ac:dyDescent="0.2">
      <c r="A123" s="53">
        <v>41</v>
      </c>
      <c r="B123" s="54"/>
      <c r="C123" s="55" t="s">
        <v>158</v>
      </c>
      <c r="D123" s="53" t="s">
        <v>42</v>
      </c>
      <c r="E123" s="56" t="s">
        <v>39</v>
      </c>
      <c r="F123" s="53">
        <v>-8032</v>
      </c>
      <c r="G123" s="58">
        <v>803175</v>
      </c>
      <c r="H123" s="68">
        <v>-8032</v>
      </c>
      <c r="I123" s="69">
        <v>0.25</v>
      </c>
      <c r="J123" s="61" t="s">
        <v>137</v>
      </c>
      <c r="K123" s="56"/>
      <c r="L123" s="61" t="s">
        <v>159</v>
      </c>
      <c r="M123" s="53">
        <f t="shared" si="8"/>
        <v>24</v>
      </c>
      <c r="N123" s="53">
        <f t="shared" si="9"/>
        <v>5</v>
      </c>
      <c r="O123" s="53">
        <f t="shared" si="10"/>
        <v>12329</v>
      </c>
      <c r="P123" s="56" t="str">
        <f t="shared" si="11"/>
        <v>0x3029</v>
      </c>
      <c r="Q123" s="73"/>
      <c r="R123" s="70"/>
      <c r="S123" s="71"/>
      <c r="T123" s="71"/>
      <c r="U123" s="66"/>
      <c r="W123" s="55"/>
      <c r="Z123" s="55"/>
    </row>
    <row r="124" spans="1:26" x14ac:dyDescent="0.2">
      <c r="A124" s="53"/>
      <c r="B124" s="54"/>
      <c r="C124" s="55"/>
      <c r="D124" s="53"/>
      <c r="E124" s="56"/>
      <c r="F124" s="53"/>
      <c r="G124" s="58"/>
      <c r="H124" s="68"/>
      <c r="I124" s="69"/>
      <c r="J124" s="61"/>
      <c r="K124" s="56"/>
      <c r="L124" s="61"/>
      <c r="M124" s="53">
        <f t="shared" si="8"/>
        <v>24</v>
      </c>
      <c r="N124" s="53">
        <f t="shared" si="9"/>
        <v>5</v>
      </c>
      <c r="O124" s="53" t="str">
        <f t="shared" si="10"/>
        <v/>
      </c>
      <c r="P124" s="56" t="str">
        <f t="shared" si="11"/>
        <v/>
      </c>
      <c r="Q124" s="73"/>
      <c r="R124" s="70"/>
      <c r="S124" s="71"/>
      <c r="T124" s="71"/>
      <c r="U124" s="66"/>
      <c r="W124" s="55"/>
      <c r="Z124" s="55"/>
    </row>
    <row r="125" spans="1:26" x14ac:dyDescent="0.2">
      <c r="A125" s="53"/>
      <c r="B125" s="54"/>
      <c r="C125" s="55"/>
      <c r="D125" s="53"/>
      <c r="E125" s="56"/>
      <c r="F125" s="53"/>
      <c r="G125" s="58"/>
      <c r="H125" s="68"/>
      <c r="I125" s="69"/>
      <c r="J125" s="61"/>
      <c r="K125" s="56"/>
      <c r="L125" s="61"/>
      <c r="M125" s="53">
        <f t="shared" si="8"/>
        <v>24</v>
      </c>
      <c r="N125" s="53">
        <f t="shared" si="9"/>
        <v>5</v>
      </c>
      <c r="O125" s="53" t="str">
        <f t="shared" si="10"/>
        <v/>
      </c>
      <c r="P125" s="56" t="str">
        <f t="shared" si="11"/>
        <v/>
      </c>
      <c r="Q125" s="73"/>
      <c r="R125" s="70"/>
      <c r="S125" s="71"/>
      <c r="T125" s="71"/>
      <c r="U125" s="66"/>
      <c r="W125" s="55"/>
      <c r="Z125" s="55"/>
    </row>
    <row r="126" spans="1:26" x14ac:dyDescent="0.2">
      <c r="A126" s="53"/>
      <c r="B126" s="54"/>
      <c r="C126" s="55"/>
      <c r="D126" s="53"/>
      <c r="E126" s="56"/>
      <c r="F126" s="53"/>
      <c r="G126" s="58"/>
      <c r="H126" s="68"/>
      <c r="I126" s="69"/>
      <c r="J126" s="61"/>
      <c r="K126" s="56"/>
      <c r="L126" s="61"/>
      <c r="M126" s="53">
        <f t="shared" si="8"/>
        <v>24</v>
      </c>
      <c r="N126" s="53">
        <f t="shared" si="9"/>
        <v>5</v>
      </c>
      <c r="O126" s="53" t="str">
        <f t="shared" si="10"/>
        <v/>
      </c>
      <c r="P126" s="56" t="str">
        <f t="shared" si="11"/>
        <v/>
      </c>
      <c r="Q126" s="73"/>
      <c r="R126" s="70"/>
      <c r="S126" s="71"/>
      <c r="T126" s="71"/>
      <c r="U126" s="66"/>
      <c r="W126" s="55"/>
      <c r="Z126" s="55"/>
    </row>
    <row r="127" spans="1:26" x14ac:dyDescent="0.2">
      <c r="A127" s="53"/>
      <c r="B127" s="54"/>
      <c r="C127" s="55"/>
      <c r="D127" s="53"/>
      <c r="E127" s="56"/>
      <c r="F127" s="53"/>
      <c r="G127" s="58"/>
      <c r="H127" s="68"/>
      <c r="I127" s="69"/>
      <c r="J127" s="61"/>
      <c r="K127" s="56"/>
      <c r="L127" s="61"/>
      <c r="M127" s="53">
        <f t="shared" si="8"/>
        <v>24</v>
      </c>
      <c r="N127" s="53">
        <f t="shared" si="9"/>
        <v>5</v>
      </c>
      <c r="O127" s="53" t="str">
        <f t="shared" si="10"/>
        <v/>
      </c>
      <c r="P127" s="56" t="str">
        <f t="shared" si="11"/>
        <v/>
      </c>
      <c r="Q127" s="73"/>
      <c r="R127" s="70"/>
      <c r="S127" s="71"/>
      <c r="T127" s="71"/>
      <c r="U127" s="66"/>
      <c r="W127" s="55"/>
      <c r="Z127" s="55"/>
    </row>
    <row r="128" spans="1:26" x14ac:dyDescent="0.2">
      <c r="A128" s="53">
        <v>46</v>
      </c>
      <c r="B128" s="54"/>
      <c r="C128" s="55" t="s">
        <v>160</v>
      </c>
      <c r="D128" s="53" t="s">
        <v>55</v>
      </c>
      <c r="E128" s="56" t="s">
        <v>39</v>
      </c>
      <c r="F128" s="53">
        <v>0</v>
      </c>
      <c r="G128" s="58">
        <v>254</v>
      </c>
      <c r="H128" s="68">
        <v>0</v>
      </c>
      <c r="I128" s="69">
        <v>1</v>
      </c>
      <c r="J128" s="61"/>
      <c r="K128" s="56"/>
      <c r="L128" s="61" t="s">
        <v>161</v>
      </c>
      <c r="M128" s="53">
        <f t="shared" si="8"/>
        <v>24</v>
      </c>
      <c r="N128" s="53">
        <f t="shared" si="9"/>
        <v>5</v>
      </c>
      <c r="O128" s="53">
        <f t="shared" si="10"/>
        <v>12334</v>
      </c>
      <c r="P128" s="56" t="str">
        <f t="shared" si="11"/>
        <v>0x302E</v>
      </c>
      <c r="Q128" s="73"/>
      <c r="R128" s="70"/>
      <c r="S128" s="71"/>
      <c r="T128" s="71"/>
      <c r="U128" s="66"/>
      <c r="V128" s="12" t="s">
        <v>160</v>
      </c>
      <c r="W128" s="55" t="s">
        <v>162</v>
      </c>
      <c r="X128" s="14">
        <v>0</v>
      </c>
      <c r="Z128" s="55"/>
    </row>
    <row r="129" spans="1:27" x14ac:dyDescent="0.2">
      <c r="A129" s="53"/>
      <c r="B129" s="54"/>
      <c r="C129" s="72" t="s">
        <v>44</v>
      </c>
      <c r="D129" s="53"/>
      <c r="E129" s="56"/>
      <c r="F129" s="53"/>
      <c r="G129" s="58"/>
      <c r="H129" s="68"/>
      <c r="I129" s="69"/>
      <c r="J129" s="61"/>
      <c r="K129" s="56"/>
      <c r="L129" s="61"/>
      <c r="M129" s="53"/>
      <c r="N129" s="53"/>
      <c r="O129" s="53"/>
      <c r="P129" s="56"/>
      <c r="Q129" s="73"/>
      <c r="R129" s="70"/>
      <c r="S129" s="71"/>
      <c r="T129" s="71"/>
      <c r="U129" s="66"/>
      <c r="V129" s="12" t="s">
        <v>160</v>
      </c>
      <c r="W129" s="55" t="s">
        <v>163</v>
      </c>
      <c r="X129" s="14">
        <v>1</v>
      </c>
      <c r="Z129" s="55"/>
    </row>
    <row r="130" spans="1:27" x14ac:dyDescent="0.2">
      <c r="A130" s="53"/>
      <c r="B130" s="54"/>
      <c r="C130" s="72" t="s">
        <v>44</v>
      </c>
      <c r="D130" s="53"/>
      <c r="E130" s="56"/>
      <c r="F130" s="53"/>
      <c r="G130" s="58"/>
      <c r="H130" s="68"/>
      <c r="I130" s="69"/>
      <c r="J130" s="61"/>
      <c r="K130" s="56"/>
      <c r="L130" s="61"/>
      <c r="M130" s="53"/>
      <c r="N130" s="53"/>
      <c r="O130" s="53"/>
      <c r="P130" s="56"/>
      <c r="Q130" s="73"/>
      <c r="R130" s="70"/>
      <c r="S130" s="71"/>
      <c r="T130" s="71"/>
      <c r="U130" s="66"/>
      <c r="V130" s="12" t="s">
        <v>160</v>
      </c>
      <c r="W130" s="55" t="s">
        <v>164</v>
      </c>
      <c r="X130" s="14">
        <v>2</v>
      </c>
      <c r="Z130" s="55"/>
    </row>
    <row r="131" spans="1:27" x14ac:dyDescent="0.2">
      <c r="A131" s="53"/>
      <c r="B131" s="54"/>
      <c r="C131" s="72" t="s">
        <v>44</v>
      </c>
      <c r="D131" s="53"/>
      <c r="E131" s="56"/>
      <c r="F131" s="53"/>
      <c r="G131" s="58"/>
      <c r="H131" s="68"/>
      <c r="I131" s="69"/>
      <c r="J131" s="61"/>
      <c r="K131" s="56"/>
      <c r="L131" s="61"/>
      <c r="M131" s="53"/>
      <c r="N131" s="53"/>
      <c r="O131" s="53"/>
      <c r="P131" s="56"/>
      <c r="Q131" s="73"/>
      <c r="R131" s="70"/>
      <c r="S131" s="71"/>
      <c r="T131" s="71"/>
      <c r="U131" s="66"/>
      <c r="V131" s="12" t="s">
        <v>160</v>
      </c>
      <c r="W131" s="55" t="s">
        <v>165</v>
      </c>
      <c r="X131" s="14">
        <v>3</v>
      </c>
      <c r="Z131" s="55"/>
    </row>
    <row r="132" spans="1:27" x14ac:dyDescent="0.2">
      <c r="A132" s="53"/>
      <c r="B132" s="54"/>
      <c r="C132" s="72" t="s">
        <v>44</v>
      </c>
      <c r="D132" s="53"/>
      <c r="E132" s="56"/>
      <c r="F132" s="53"/>
      <c r="G132" s="58"/>
      <c r="H132" s="68"/>
      <c r="I132" s="69"/>
      <c r="J132" s="61"/>
      <c r="K132" s="56"/>
      <c r="L132" s="61"/>
      <c r="M132" s="53"/>
      <c r="N132" s="53"/>
      <c r="O132" s="53"/>
      <c r="P132" s="56"/>
      <c r="Q132" s="73"/>
      <c r="R132" s="70"/>
      <c r="S132" s="71"/>
      <c r="T132" s="71"/>
      <c r="U132" s="66"/>
      <c r="V132" s="12" t="s">
        <v>160</v>
      </c>
      <c r="W132" s="55" t="s">
        <v>166</v>
      </c>
      <c r="X132" s="14">
        <v>4</v>
      </c>
      <c r="Z132" s="55"/>
    </row>
    <row r="133" spans="1:27" x14ac:dyDescent="0.2">
      <c r="A133" s="53"/>
      <c r="B133" s="54"/>
      <c r="C133" s="72" t="s">
        <v>44</v>
      </c>
      <c r="D133" s="53"/>
      <c r="E133" s="56"/>
      <c r="F133" s="53"/>
      <c r="G133" s="58"/>
      <c r="H133" s="68"/>
      <c r="I133" s="69"/>
      <c r="J133" s="61"/>
      <c r="K133" s="56"/>
      <c r="L133" s="61"/>
      <c r="M133" s="53"/>
      <c r="N133" s="53"/>
      <c r="O133" s="53"/>
      <c r="P133" s="56"/>
      <c r="Q133" s="73"/>
      <c r="R133" s="70"/>
      <c r="S133" s="71"/>
      <c r="T133" s="71"/>
      <c r="U133" s="66"/>
      <c r="V133" s="12" t="s">
        <v>160</v>
      </c>
      <c r="W133" s="55" t="s">
        <v>167</v>
      </c>
      <c r="X133" s="14">
        <v>254</v>
      </c>
      <c r="Z133" s="55"/>
    </row>
    <row r="134" spans="1:27" x14ac:dyDescent="0.2">
      <c r="A134" s="53">
        <v>47</v>
      </c>
      <c r="B134" s="54"/>
      <c r="C134" s="55" t="s">
        <v>168</v>
      </c>
      <c r="D134" s="53" t="s">
        <v>42</v>
      </c>
      <c r="E134" s="56" t="s">
        <v>39</v>
      </c>
      <c r="F134" s="53">
        <v>0</v>
      </c>
      <c r="G134" s="58">
        <v>254</v>
      </c>
      <c r="H134" s="68">
        <v>0</v>
      </c>
      <c r="I134" s="69">
        <v>1</v>
      </c>
      <c r="J134" s="61"/>
      <c r="K134" s="56"/>
      <c r="L134" s="61" t="s">
        <v>169</v>
      </c>
      <c r="M134" s="53">
        <f>$D$5</f>
        <v>24</v>
      </c>
      <c r="N134" s="53">
        <f>$D$4</f>
        <v>5</v>
      </c>
      <c r="O134" s="53">
        <f t="shared" si="10"/>
        <v>12335</v>
      </c>
      <c r="P134" s="56" t="str">
        <f t="shared" si="11"/>
        <v>0x302F</v>
      </c>
      <c r="Q134" s="73"/>
      <c r="R134" s="70"/>
      <c r="S134" s="71"/>
      <c r="T134" s="71"/>
      <c r="U134" s="66"/>
      <c r="V134" s="12" t="s">
        <v>168</v>
      </c>
      <c r="W134" s="55" t="s">
        <v>170</v>
      </c>
      <c r="X134" s="14">
        <v>0</v>
      </c>
      <c r="Z134" s="55"/>
    </row>
    <row r="135" spans="1:27" x14ac:dyDescent="0.2">
      <c r="A135" s="53"/>
      <c r="B135" s="54"/>
      <c r="C135" s="72" t="s">
        <v>44</v>
      </c>
      <c r="D135" s="53"/>
      <c r="E135" s="56"/>
      <c r="F135" s="53"/>
      <c r="G135" s="58"/>
      <c r="H135" s="68"/>
      <c r="I135" s="69"/>
      <c r="J135" s="61"/>
      <c r="K135" s="56"/>
      <c r="L135" s="61"/>
      <c r="M135" s="53"/>
      <c r="N135" s="53"/>
      <c r="O135" s="53"/>
      <c r="P135" s="56"/>
      <c r="Q135" s="73"/>
      <c r="R135" s="70"/>
      <c r="S135" s="71"/>
      <c r="T135" s="71"/>
      <c r="U135" s="66"/>
      <c r="V135" s="12" t="s">
        <v>168</v>
      </c>
      <c r="W135" s="55" t="s">
        <v>163</v>
      </c>
      <c r="X135" s="14">
        <v>1</v>
      </c>
      <c r="Z135" s="55"/>
    </row>
    <row r="136" spans="1:27" x14ac:dyDescent="0.2">
      <c r="A136" s="53"/>
      <c r="B136" s="54"/>
      <c r="C136" s="72" t="s">
        <v>44</v>
      </c>
      <c r="D136" s="53"/>
      <c r="E136" s="56"/>
      <c r="F136" s="53"/>
      <c r="G136" s="58"/>
      <c r="H136" s="68"/>
      <c r="I136" s="69"/>
      <c r="J136" s="61"/>
      <c r="K136" s="56"/>
      <c r="L136" s="61"/>
      <c r="M136" s="53"/>
      <c r="N136" s="53"/>
      <c r="O136" s="53"/>
      <c r="P136" s="56"/>
      <c r="Q136" s="73"/>
      <c r="R136" s="70"/>
      <c r="S136" s="71"/>
      <c r="T136" s="71"/>
      <c r="U136" s="66"/>
      <c r="V136" s="12" t="s">
        <v>168</v>
      </c>
      <c r="W136" s="55" t="s">
        <v>164</v>
      </c>
      <c r="X136" s="14">
        <v>2</v>
      </c>
      <c r="Z136" s="55"/>
    </row>
    <row r="137" spans="1:27" x14ac:dyDescent="0.2">
      <c r="A137" s="53"/>
      <c r="B137" s="54"/>
      <c r="C137" s="72" t="s">
        <v>44</v>
      </c>
      <c r="D137" s="53"/>
      <c r="E137" s="56"/>
      <c r="F137" s="53"/>
      <c r="G137" s="58"/>
      <c r="H137" s="68"/>
      <c r="I137" s="69"/>
      <c r="J137" s="61"/>
      <c r="K137" s="56"/>
      <c r="L137" s="61"/>
      <c r="M137" s="53"/>
      <c r="N137" s="53"/>
      <c r="O137" s="53"/>
      <c r="P137" s="56"/>
      <c r="Q137" s="73"/>
      <c r="R137" s="70"/>
      <c r="S137" s="71"/>
      <c r="T137" s="71"/>
      <c r="U137" s="66"/>
      <c r="V137" s="12" t="s">
        <v>168</v>
      </c>
      <c r="W137" s="55" t="s">
        <v>165</v>
      </c>
      <c r="X137" s="14">
        <v>3</v>
      </c>
      <c r="Z137" s="55"/>
    </row>
    <row r="138" spans="1:27" x14ac:dyDescent="0.2">
      <c r="A138" s="53"/>
      <c r="B138" s="54"/>
      <c r="C138" s="72" t="s">
        <v>44</v>
      </c>
      <c r="D138" s="53"/>
      <c r="E138" s="56"/>
      <c r="F138" s="53"/>
      <c r="G138" s="58"/>
      <c r="H138" s="68"/>
      <c r="I138" s="69"/>
      <c r="J138" s="61"/>
      <c r="K138" s="56"/>
      <c r="L138" s="61"/>
      <c r="M138" s="53"/>
      <c r="N138" s="53"/>
      <c r="O138" s="53"/>
      <c r="P138" s="56"/>
      <c r="Q138" s="73"/>
      <c r="R138" s="70"/>
      <c r="S138" s="71"/>
      <c r="T138" s="71"/>
      <c r="U138" s="66"/>
      <c r="V138" s="12" t="s">
        <v>168</v>
      </c>
      <c r="W138" s="55" t="s">
        <v>166</v>
      </c>
      <c r="X138" s="14">
        <v>4</v>
      </c>
      <c r="Z138" s="55"/>
    </row>
    <row r="139" spans="1:27" x14ac:dyDescent="0.2">
      <c r="A139" s="53"/>
      <c r="B139" s="54"/>
      <c r="C139" s="72" t="s">
        <v>44</v>
      </c>
      <c r="D139" s="53"/>
      <c r="E139" s="56"/>
      <c r="F139" s="53"/>
      <c r="G139" s="58"/>
      <c r="H139" s="68"/>
      <c r="I139" s="69"/>
      <c r="J139" s="61"/>
      <c r="K139" s="56"/>
      <c r="L139" s="61"/>
      <c r="M139" s="53"/>
      <c r="N139" s="53"/>
      <c r="O139" s="53"/>
      <c r="P139" s="56"/>
      <c r="Q139" s="73"/>
      <c r="R139" s="70"/>
      <c r="S139" s="71"/>
      <c r="T139" s="71"/>
      <c r="U139" s="66"/>
      <c r="V139" s="12" t="s">
        <v>168</v>
      </c>
      <c r="W139" s="55" t="s">
        <v>167</v>
      </c>
      <c r="X139" s="14">
        <v>254</v>
      </c>
      <c r="Z139" s="55"/>
    </row>
    <row r="140" spans="1:27" x14ac:dyDescent="0.2">
      <c r="A140" s="53">
        <v>48</v>
      </c>
      <c r="B140" s="54"/>
      <c r="C140" s="55" t="s">
        <v>171</v>
      </c>
      <c r="D140" s="53" t="s">
        <v>42</v>
      </c>
      <c r="E140" s="78" t="s">
        <v>130</v>
      </c>
      <c r="F140" s="53">
        <v>0</v>
      </c>
      <c r="G140" s="58">
        <v>24510</v>
      </c>
      <c r="H140" s="68">
        <v>0</v>
      </c>
      <c r="I140" s="69">
        <v>1</v>
      </c>
      <c r="J140" s="61" t="s">
        <v>172</v>
      </c>
      <c r="K140" s="56"/>
      <c r="L140" s="61" t="s">
        <v>173</v>
      </c>
      <c r="M140" s="53">
        <f>$D$5</f>
        <v>24</v>
      </c>
      <c r="N140" s="53">
        <f>$D$4</f>
        <v>5</v>
      </c>
      <c r="O140" s="53">
        <f t="shared" si="10"/>
        <v>12336</v>
      </c>
      <c r="P140" s="56" t="str">
        <f t="shared" si="11"/>
        <v>0x3030</v>
      </c>
      <c r="Q140" s="73"/>
      <c r="R140" s="70"/>
      <c r="S140" s="71"/>
      <c r="T140" s="71"/>
      <c r="U140" s="66"/>
      <c r="W140" s="55"/>
      <c r="Y140" t="s">
        <v>171</v>
      </c>
      <c r="Z140" s="55" t="s">
        <v>174</v>
      </c>
      <c r="AA140">
        <v>0</v>
      </c>
    </row>
    <row r="141" spans="1:27" x14ac:dyDescent="0.2">
      <c r="A141" s="53"/>
      <c r="B141" s="54"/>
      <c r="C141" s="72" t="s">
        <v>44</v>
      </c>
      <c r="D141" s="53"/>
      <c r="E141" s="78"/>
      <c r="F141" s="53"/>
      <c r="G141" s="58"/>
      <c r="H141" s="68"/>
      <c r="I141" s="69"/>
      <c r="J141" s="61"/>
      <c r="K141" s="56"/>
      <c r="L141" s="61"/>
      <c r="M141" s="53"/>
      <c r="N141" s="53"/>
      <c r="O141" s="53"/>
      <c r="P141" s="56"/>
      <c r="Q141" s="73"/>
      <c r="R141" s="70"/>
      <c r="S141" s="71"/>
      <c r="T141" s="71"/>
      <c r="U141" s="66"/>
      <c r="W141" s="55"/>
      <c r="Y141" t="s">
        <v>171</v>
      </c>
      <c r="Z141" s="55" t="s">
        <v>175</v>
      </c>
      <c r="AA141">
        <v>1</v>
      </c>
    </row>
    <row r="142" spans="1:27" x14ac:dyDescent="0.2">
      <c r="A142" s="53"/>
      <c r="B142" s="54"/>
      <c r="C142" s="55"/>
      <c r="D142" s="53"/>
      <c r="E142" s="56"/>
      <c r="F142" s="53"/>
      <c r="G142" s="58"/>
      <c r="H142" s="68"/>
      <c r="I142" s="69"/>
      <c r="J142" s="61"/>
      <c r="K142" s="56"/>
      <c r="L142" s="61"/>
      <c r="M142" s="53">
        <f>$D$5</f>
        <v>24</v>
      </c>
      <c r="N142" s="53">
        <f>$D$4</f>
        <v>5</v>
      </c>
      <c r="O142" s="53" t="str">
        <f t="shared" si="10"/>
        <v/>
      </c>
      <c r="P142" s="56" t="str">
        <f t="shared" si="11"/>
        <v/>
      </c>
      <c r="Q142" s="73"/>
      <c r="R142" s="70"/>
      <c r="S142" s="71"/>
      <c r="T142" s="71"/>
      <c r="U142" s="66"/>
      <c r="W142" s="55"/>
      <c r="Z142" s="55"/>
    </row>
    <row r="143" spans="1:27" x14ac:dyDescent="0.2">
      <c r="A143" s="53">
        <v>50</v>
      </c>
      <c r="B143" s="54"/>
      <c r="C143" s="55" t="s">
        <v>176</v>
      </c>
      <c r="D143" s="53" t="s">
        <v>42</v>
      </c>
      <c r="E143" s="78" t="s">
        <v>130</v>
      </c>
      <c r="F143" s="53">
        <v>-180</v>
      </c>
      <c r="G143" s="58">
        <v>180</v>
      </c>
      <c r="H143" s="68">
        <v>0</v>
      </c>
      <c r="I143" s="69">
        <v>0.1</v>
      </c>
      <c r="J143" s="61" t="s">
        <v>131</v>
      </c>
      <c r="K143" s="56"/>
      <c r="L143" s="61" t="s">
        <v>177</v>
      </c>
      <c r="M143" s="53">
        <f>$D$5</f>
        <v>24</v>
      </c>
      <c r="N143" s="53">
        <f>$D$4</f>
        <v>5</v>
      </c>
      <c r="O143" s="53">
        <f t="shared" si="10"/>
        <v>12338</v>
      </c>
      <c r="P143" s="56" t="str">
        <f t="shared" si="11"/>
        <v>0x3032</v>
      </c>
      <c r="R143" s="70"/>
      <c r="S143" s="71"/>
      <c r="T143" s="71"/>
      <c r="U143" s="66"/>
      <c r="W143" s="55"/>
      <c r="Y143" t="s">
        <v>176</v>
      </c>
      <c r="Z143" s="55" t="s">
        <v>178</v>
      </c>
      <c r="AA143">
        <v>0</v>
      </c>
    </row>
    <row r="144" spans="1:27" x14ac:dyDescent="0.2">
      <c r="A144" s="53"/>
      <c r="B144" s="54"/>
      <c r="C144" s="72" t="s">
        <v>44</v>
      </c>
      <c r="D144" s="53"/>
      <c r="E144" s="78"/>
      <c r="F144" s="53"/>
      <c r="G144" s="58"/>
      <c r="H144" s="68"/>
      <c r="I144" s="69"/>
      <c r="J144" s="61"/>
      <c r="K144" s="56"/>
      <c r="L144" s="61"/>
      <c r="M144" s="53"/>
      <c r="N144" s="53"/>
      <c r="O144" s="53"/>
      <c r="P144" s="56"/>
      <c r="Q144" s="73"/>
      <c r="R144" s="70"/>
      <c r="S144" s="71"/>
      <c r="T144" s="71"/>
      <c r="U144" s="66"/>
      <c r="W144" s="55"/>
      <c r="Y144" t="s">
        <v>176</v>
      </c>
      <c r="Z144" s="55" t="s">
        <v>179</v>
      </c>
      <c r="AA144">
        <v>1</v>
      </c>
    </row>
    <row r="145" spans="1:27" x14ac:dyDescent="0.2">
      <c r="A145" s="53">
        <v>51</v>
      </c>
      <c r="B145" s="54"/>
      <c r="C145" s="55" t="s">
        <v>180</v>
      </c>
      <c r="D145" s="53" t="s">
        <v>42</v>
      </c>
      <c r="E145" s="78" t="s">
        <v>130</v>
      </c>
      <c r="F145" s="53">
        <v>-3276</v>
      </c>
      <c r="G145" s="58">
        <v>3276</v>
      </c>
      <c r="H145" s="68">
        <v>0</v>
      </c>
      <c r="I145" s="69">
        <v>0.1</v>
      </c>
      <c r="J145" s="61" t="s">
        <v>131</v>
      </c>
      <c r="K145" s="56"/>
      <c r="L145" s="61" t="s">
        <v>181</v>
      </c>
      <c r="M145" s="53">
        <f>$D$5</f>
        <v>24</v>
      </c>
      <c r="N145" s="53">
        <f>$D$4</f>
        <v>5</v>
      </c>
      <c r="O145" s="53">
        <f t="shared" si="10"/>
        <v>12339</v>
      </c>
      <c r="P145" s="56" t="str">
        <f t="shared" si="11"/>
        <v>0x3033</v>
      </c>
      <c r="Q145" s="73"/>
      <c r="R145" s="70"/>
      <c r="S145" s="71"/>
      <c r="T145" s="71"/>
      <c r="U145" s="66"/>
      <c r="W145" s="55"/>
      <c r="Y145" t="s">
        <v>180</v>
      </c>
      <c r="Z145" s="55" t="s">
        <v>178</v>
      </c>
      <c r="AA145">
        <v>0</v>
      </c>
    </row>
    <row r="146" spans="1:27" x14ac:dyDescent="0.2">
      <c r="A146" s="53"/>
      <c r="B146" s="54"/>
      <c r="C146" s="72" t="s">
        <v>44</v>
      </c>
      <c r="D146" s="53"/>
      <c r="E146" s="78"/>
      <c r="F146" s="53"/>
      <c r="G146" s="58"/>
      <c r="H146" s="68"/>
      <c r="I146" s="69"/>
      <c r="J146" s="61"/>
      <c r="K146" s="56"/>
      <c r="L146" s="61"/>
      <c r="M146" s="53"/>
      <c r="N146" s="53"/>
      <c r="O146" s="53"/>
      <c r="P146" s="56"/>
      <c r="Q146" s="73"/>
      <c r="R146" s="70"/>
      <c r="S146" s="71"/>
      <c r="T146" s="71"/>
      <c r="U146" s="66"/>
      <c r="W146" s="55"/>
      <c r="Y146" t="s">
        <v>180</v>
      </c>
      <c r="Z146" s="55" t="s">
        <v>179</v>
      </c>
      <c r="AA146">
        <v>1</v>
      </c>
    </row>
    <row r="147" spans="1:27" x14ac:dyDescent="0.2">
      <c r="A147" s="53">
        <v>52</v>
      </c>
      <c r="B147" s="54"/>
      <c r="C147" s="55" t="s">
        <v>182</v>
      </c>
      <c r="D147" s="53" t="s">
        <v>42</v>
      </c>
      <c r="E147" s="56" t="s">
        <v>39</v>
      </c>
      <c r="F147" s="53">
        <v>-360</v>
      </c>
      <c r="G147" s="58">
        <v>360</v>
      </c>
      <c r="H147" s="68">
        <v>0</v>
      </c>
      <c r="I147" s="69">
        <v>0.1</v>
      </c>
      <c r="J147" s="61" t="s">
        <v>183</v>
      </c>
      <c r="K147" s="56"/>
      <c r="L147" s="61" t="s">
        <v>184</v>
      </c>
      <c r="M147" s="53">
        <f t="shared" ref="M147:M173" si="12">$D$5</f>
        <v>24</v>
      </c>
      <c r="N147" s="53">
        <f t="shared" ref="N147:N173" si="13">$D$4</f>
        <v>5</v>
      </c>
      <c r="O147" s="53">
        <f t="shared" si="10"/>
        <v>12340</v>
      </c>
      <c r="P147" s="56" t="str">
        <f t="shared" si="11"/>
        <v>0x3034</v>
      </c>
      <c r="Q147" s="73"/>
      <c r="R147" s="70"/>
      <c r="S147" s="71"/>
      <c r="T147" s="71"/>
      <c r="U147" s="66"/>
      <c r="W147" s="55"/>
      <c r="Z147" s="55"/>
    </row>
    <row r="148" spans="1:27" x14ac:dyDescent="0.2">
      <c r="A148" s="53"/>
      <c r="B148" s="54"/>
      <c r="C148" s="55"/>
      <c r="D148" s="53"/>
      <c r="E148" s="56"/>
      <c r="F148" s="53"/>
      <c r="G148" s="58"/>
      <c r="H148" s="68"/>
      <c r="I148" s="69"/>
      <c r="J148" s="61"/>
      <c r="K148" s="56"/>
      <c r="L148" s="61"/>
      <c r="M148" s="53">
        <f t="shared" si="12"/>
        <v>24</v>
      </c>
      <c r="N148" s="53">
        <f t="shared" si="13"/>
        <v>5</v>
      </c>
      <c r="O148" s="53" t="str">
        <f t="shared" si="10"/>
        <v/>
      </c>
      <c r="P148" s="56" t="str">
        <f t="shared" si="11"/>
        <v/>
      </c>
      <c r="Q148" s="73"/>
      <c r="R148" s="70"/>
      <c r="S148" s="71"/>
      <c r="T148" s="71"/>
      <c r="U148" s="66"/>
      <c r="W148" s="55"/>
      <c r="Z148" s="55"/>
    </row>
    <row r="149" spans="1:27" x14ac:dyDescent="0.2">
      <c r="A149" s="53"/>
      <c r="B149" s="54"/>
      <c r="C149" s="55"/>
      <c r="D149" s="53"/>
      <c r="E149" s="56"/>
      <c r="F149" s="53"/>
      <c r="G149" s="58"/>
      <c r="H149" s="68"/>
      <c r="I149" s="69"/>
      <c r="J149" s="61"/>
      <c r="K149" s="56"/>
      <c r="L149" s="61"/>
      <c r="M149" s="53">
        <f t="shared" si="12"/>
        <v>24</v>
      </c>
      <c r="N149" s="53">
        <f t="shared" si="13"/>
        <v>5</v>
      </c>
      <c r="O149" s="53" t="str">
        <f t="shared" si="10"/>
        <v/>
      </c>
      <c r="P149" s="56" t="str">
        <f t="shared" si="11"/>
        <v/>
      </c>
      <c r="Q149" s="73"/>
      <c r="R149" s="70"/>
      <c r="S149" s="71"/>
      <c r="T149" s="71"/>
      <c r="U149" s="66"/>
      <c r="W149" s="55"/>
      <c r="Z149" s="55"/>
    </row>
    <row r="150" spans="1:27" x14ac:dyDescent="0.2">
      <c r="A150" s="53"/>
      <c r="B150" s="54"/>
      <c r="C150" s="55"/>
      <c r="D150" s="53"/>
      <c r="E150" s="56"/>
      <c r="F150" s="53"/>
      <c r="G150" s="58"/>
      <c r="H150" s="68"/>
      <c r="I150" s="69"/>
      <c r="J150" s="61"/>
      <c r="K150" s="56"/>
      <c r="L150" s="61"/>
      <c r="M150" s="53">
        <f t="shared" si="12"/>
        <v>24</v>
      </c>
      <c r="N150" s="53">
        <f t="shared" si="13"/>
        <v>5</v>
      </c>
      <c r="O150" s="53" t="str">
        <f t="shared" si="10"/>
        <v/>
      </c>
      <c r="P150" s="56" t="str">
        <f t="shared" si="11"/>
        <v/>
      </c>
      <c r="Q150" s="73"/>
      <c r="R150" s="70"/>
      <c r="S150" s="71"/>
      <c r="T150" s="71"/>
      <c r="U150" s="66"/>
      <c r="W150" s="55"/>
      <c r="Z150" s="55"/>
    </row>
    <row r="151" spans="1:27" x14ac:dyDescent="0.2">
      <c r="A151" s="53"/>
      <c r="B151" s="54"/>
      <c r="C151" s="55"/>
      <c r="D151" s="53"/>
      <c r="E151" s="56"/>
      <c r="F151" s="53"/>
      <c r="G151" s="58"/>
      <c r="H151" s="68"/>
      <c r="I151" s="69"/>
      <c r="J151" s="61"/>
      <c r="K151" s="56"/>
      <c r="L151" s="61"/>
      <c r="M151" s="53">
        <f t="shared" si="12"/>
        <v>24</v>
      </c>
      <c r="N151" s="53">
        <f t="shared" si="13"/>
        <v>5</v>
      </c>
      <c r="O151" s="53" t="str">
        <f t="shared" si="10"/>
        <v/>
      </c>
      <c r="P151" s="56" t="str">
        <f t="shared" si="11"/>
        <v/>
      </c>
      <c r="Q151" s="73"/>
      <c r="R151" s="70"/>
      <c r="S151" s="71"/>
      <c r="T151" s="71"/>
      <c r="U151" s="66"/>
      <c r="W151" s="55"/>
      <c r="Z151" s="55"/>
    </row>
    <row r="152" spans="1:27" x14ac:dyDescent="0.2">
      <c r="A152" s="53"/>
      <c r="B152" s="54"/>
      <c r="C152" s="55"/>
      <c r="D152" s="53"/>
      <c r="E152" s="56"/>
      <c r="F152" s="53"/>
      <c r="G152" s="58"/>
      <c r="H152" s="68"/>
      <c r="I152" s="69"/>
      <c r="J152" s="61"/>
      <c r="K152" s="56"/>
      <c r="L152" s="61"/>
      <c r="M152" s="53">
        <f t="shared" si="12"/>
        <v>24</v>
      </c>
      <c r="N152" s="53">
        <f t="shared" si="13"/>
        <v>5</v>
      </c>
      <c r="O152" s="53" t="str">
        <f t="shared" si="10"/>
        <v/>
      </c>
      <c r="P152" s="56" t="str">
        <f t="shared" si="11"/>
        <v/>
      </c>
      <c r="Q152" s="73"/>
      <c r="R152" s="70"/>
      <c r="S152" s="71"/>
      <c r="T152" s="71"/>
      <c r="U152" s="66"/>
      <c r="W152" s="55"/>
      <c r="Z152" s="55"/>
    </row>
    <row r="153" spans="1:27" x14ac:dyDescent="0.2">
      <c r="A153" s="53"/>
      <c r="B153" s="54"/>
      <c r="C153" s="55"/>
      <c r="D153" s="53"/>
      <c r="E153" s="56"/>
      <c r="F153" s="53"/>
      <c r="G153" s="58"/>
      <c r="H153" s="68"/>
      <c r="I153" s="69"/>
      <c r="J153" s="61"/>
      <c r="K153" s="56"/>
      <c r="L153" s="61"/>
      <c r="M153" s="53">
        <f t="shared" si="12"/>
        <v>24</v>
      </c>
      <c r="N153" s="53">
        <f t="shared" si="13"/>
        <v>5</v>
      </c>
      <c r="O153" s="53" t="str">
        <f t="shared" si="10"/>
        <v/>
      </c>
      <c r="P153" s="56" t="str">
        <f t="shared" si="11"/>
        <v/>
      </c>
      <c r="Q153" s="73"/>
      <c r="R153" s="70"/>
      <c r="S153" s="71"/>
      <c r="T153" s="71"/>
      <c r="U153" s="66"/>
      <c r="W153" s="55"/>
      <c r="Z153" s="55"/>
    </row>
    <row r="154" spans="1:27" x14ac:dyDescent="0.2">
      <c r="A154" s="53"/>
      <c r="B154" s="54"/>
      <c r="C154" s="55"/>
      <c r="D154" s="53"/>
      <c r="E154" s="56"/>
      <c r="F154" s="53"/>
      <c r="G154" s="58"/>
      <c r="H154" s="68"/>
      <c r="I154" s="69"/>
      <c r="J154" s="61"/>
      <c r="K154" s="56"/>
      <c r="L154" s="61"/>
      <c r="M154" s="53">
        <f t="shared" si="12"/>
        <v>24</v>
      </c>
      <c r="N154" s="53">
        <f t="shared" si="13"/>
        <v>5</v>
      </c>
      <c r="O154" s="53" t="str">
        <f t="shared" si="10"/>
        <v/>
      </c>
      <c r="P154" s="56" t="str">
        <f t="shared" si="11"/>
        <v/>
      </c>
      <c r="Q154" s="73"/>
      <c r="R154" s="70"/>
      <c r="S154" s="71"/>
      <c r="T154" s="71"/>
      <c r="U154" s="66"/>
      <c r="W154" s="55"/>
      <c r="Z154" s="55"/>
    </row>
    <row r="155" spans="1:27" x14ac:dyDescent="0.2">
      <c r="A155" s="53"/>
      <c r="B155" s="54"/>
      <c r="C155" s="55"/>
      <c r="D155" s="53"/>
      <c r="E155" s="56"/>
      <c r="F155" s="53"/>
      <c r="G155" s="58"/>
      <c r="H155" s="68"/>
      <c r="I155" s="69"/>
      <c r="J155" s="61"/>
      <c r="K155" s="56"/>
      <c r="L155" s="61"/>
      <c r="M155" s="53">
        <f t="shared" si="12"/>
        <v>24</v>
      </c>
      <c r="N155" s="53">
        <f t="shared" si="13"/>
        <v>5</v>
      </c>
      <c r="O155" s="53" t="str">
        <f t="shared" si="10"/>
        <v/>
      </c>
      <c r="P155" s="56" t="str">
        <f t="shared" si="11"/>
        <v/>
      </c>
      <c r="Q155" s="73"/>
      <c r="R155" s="70"/>
      <c r="S155" s="71"/>
      <c r="T155" s="71"/>
      <c r="U155" s="66"/>
      <c r="W155" s="55"/>
      <c r="Z155" s="55"/>
    </row>
    <row r="156" spans="1:27" x14ac:dyDescent="0.2">
      <c r="A156" s="53"/>
      <c r="B156" s="54"/>
      <c r="C156" s="55"/>
      <c r="D156" s="53"/>
      <c r="E156" s="56"/>
      <c r="F156" s="53"/>
      <c r="G156" s="58"/>
      <c r="H156" s="68"/>
      <c r="I156" s="69"/>
      <c r="J156" s="61"/>
      <c r="K156" s="56"/>
      <c r="L156" s="61"/>
      <c r="M156" s="53">
        <f t="shared" si="12"/>
        <v>24</v>
      </c>
      <c r="N156" s="53">
        <f t="shared" si="13"/>
        <v>5</v>
      </c>
      <c r="O156" s="53" t="str">
        <f t="shared" si="10"/>
        <v/>
      </c>
      <c r="P156" s="56" t="str">
        <f t="shared" si="11"/>
        <v/>
      </c>
      <c r="Q156" s="73"/>
      <c r="R156" s="70"/>
      <c r="S156" s="71"/>
      <c r="T156" s="71"/>
      <c r="U156" s="66"/>
      <c r="W156" s="55"/>
      <c r="Z156" s="55"/>
    </row>
    <row r="157" spans="1:27" x14ac:dyDescent="0.2">
      <c r="A157" s="53"/>
      <c r="B157" s="54"/>
      <c r="C157" s="55"/>
      <c r="D157" s="53"/>
      <c r="E157" s="56"/>
      <c r="F157" s="53"/>
      <c r="G157" s="58"/>
      <c r="H157" s="68"/>
      <c r="I157" s="69"/>
      <c r="J157" s="61"/>
      <c r="K157" s="56"/>
      <c r="L157" s="61"/>
      <c r="M157" s="53">
        <f t="shared" si="12"/>
        <v>24</v>
      </c>
      <c r="N157" s="53">
        <f t="shared" si="13"/>
        <v>5</v>
      </c>
      <c r="O157" s="53" t="str">
        <f t="shared" si="10"/>
        <v/>
      </c>
      <c r="P157" s="56" t="str">
        <f t="shared" si="11"/>
        <v/>
      </c>
      <c r="Q157" s="73"/>
      <c r="R157" s="70"/>
      <c r="S157" s="71"/>
      <c r="T157" s="71"/>
      <c r="U157" s="66"/>
      <c r="W157" s="55"/>
      <c r="Z157" s="55"/>
    </row>
    <row r="158" spans="1:27" x14ac:dyDescent="0.2">
      <c r="A158" s="53"/>
      <c r="B158" s="54"/>
      <c r="C158" s="55"/>
      <c r="D158" s="53"/>
      <c r="E158" s="56"/>
      <c r="F158" s="53"/>
      <c r="G158" s="58"/>
      <c r="H158" s="68"/>
      <c r="I158" s="69"/>
      <c r="J158" s="61"/>
      <c r="K158" s="56"/>
      <c r="L158" s="61"/>
      <c r="M158" s="53">
        <f t="shared" si="12"/>
        <v>24</v>
      </c>
      <c r="N158" s="53">
        <f t="shared" si="13"/>
        <v>5</v>
      </c>
      <c r="O158" s="53" t="str">
        <f t="shared" si="10"/>
        <v/>
      </c>
      <c r="P158" s="56" t="str">
        <f t="shared" si="11"/>
        <v/>
      </c>
      <c r="Q158" s="73"/>
      <c r="R158" s="70"/>
      <c r="S158" s="71"/>
      <c r="T158" s="71"/>
      <c r="U158" s="66"/>
      <c r="W158" s="55"/>
      <c r="Z158" s="55"/>
    </row>
    <row r="159" spans="1:27" x14ac:dyDescent="0.2">
      <c r="A159" s="53">
        <v>64</v>
      </c>
      <c r="B159" s="54"/>
      <c r="C159" s="74" t="s">
        <v>185</v>
      </c>
      <c r="D159" s="53" t="s">
        <v>42</v>
      </c>
      <c r="E159" s="56" t="s">
        <v>39</v>
      </c>
      <c r="F159" s="53">
        <v>-100</v>
      </c>
      <c r="G159" s="58">
        <v>100</v>
      </c>
      <c r="H159" s="68">
        <v>0</v>
      </c>
      <c r="I159" s="69">
        <v>0.4</v>
      </c>
      <c r="J159" s="61" t="s">
        <v>186</v>
      </c>
      <c r="K159" s="56"/>
      <c r="L159" s="61" t="s">
        <v>187</v>
      </c>
      <c r="M159" s="53">
        <f t="shared" si="12"/>
        <v>24</v>
      </c>
      <c r="N159" s="53">
        <f t="shared" si="13"/>
        <v>5</v>
      </c>
      <c r="O159" s="53">
        <f t="shared" si="10"/>
        <v>12352</v>
      </c>
      <c r="P159" s="56" t="str">
        <f t="shared" si="11"/>
        <v>0x3040</v>
      </c>
      <c r="Q159" s="63" t="s">
        <v>151</v>
      </c>
      <c r="R159" s="70"/>
      <c r="S159" s="71"/>
      <c r="T159" s="71"/>
      <c r="U159" s="66"/>
      <c r="W159" s="55"/>
      <c r="Z159" s="55"/>
    </row>
    <row r="160" spans="1:27" x14ac:dyDescent="0.2">
      <c r="A160" s="53">
        <v>65</v>
      </c>
      <c r="B160" s="54"/>
      <c r="C160" s="74" t="s">
        <v>188</v>
      </c>
      <c r="D160" s="53" t="s">
        <v>42</v>
      </c>
      <c r="E160" s="56" t="s">
        <v>39</v>
      </c>
      <c r="F160" s="53">
        <v>-125</v>
      </c>
      <c r="G160" s="58">
        <v>125</v>
      </c>
      <c r="H160" s="68">
        <v>0</v>
      </c>
      <c r="I160" s="69">
        <v>1</v>
      </c>
      <c r="J160" s="61" t="s">
        <v>186</v>
      </c>
      <c r="K160" s="56"/>
      <c r="L160" s="61"/>
      <c r="M160" s="53">
        <f t="shared" si="12"/>
        <v>24</v>
      </c>
      <c r="N160" s="53">
        <f t="shared" si="13"/>
        <v>5</v>
      </c>
      <c r="O160" s="53">
        <f t="shared" si="10"/>
        <v>12353</v>
      </c>
      <c r="P160" s="56" t="str">
        <f t="shared" si="11"/>
        <v>0x3041</v>
      </c>
      <c r="Q160" s="73"/>
      <c r="R160" s="70"/>
      <c r="S160" s="71"/>
      <c r="T160" s="71"/>
      <c r="U160" s="66"/>
      <c r="W160" s="55"/>
      <c r="Z160" s="55"/>
    </row>
    <row r="161" spans="1:26" x14ac:dyDescent="0.2">
      <c r="A161" s="53"/>
      <c r="B161" s="54"/>
      <c r="C161" s="61"/>
      <c r="D161" s="53"/>
      <c r="E161" s="56"/>
      <c r="F161" s="58"/>
      <c r="G161" s="58"/>
      <c r="H161" s="68"/>
      <c r="I161" s="79"/>
      <c r="J161" s="55"/>
      <c r="K161" s="56"/>
      <c r="L161" s="55"/>
      <c r="M161" s="53">
        <f t="shared" si="12"/>
        <v>24</v>
      </c>
      <c r="N161" s="53">
        <f t="shared" si="13"/>
        <v>5</v>
      </c>
      <c r="O161" s="53" t="str">
        <f t="shared" si="10"/>
        <v/>
      </c>
      <c r="P161" s="56" t="str">
        <f t="shared" si="11"/>
        <v/>
      </c>
      <c r="Q161" s="73"/>
      <c r="R161" s="70"/>
      <c r="S161" s="71"/>
      <c r="T161" s="71"/>
      <c r="U161" s="66"/>
      <c r="W161" s="55"/>
      <c r="Z161" s="55"/>
    </row>
    <row r="162" spans="1:26" x14ac:dyDescent="0.2">
      <c r="A162" s="53"/>
      <c r="B162" s="54"/>
      <c r="C162" s="61"/>
      <c r="D162" s="53"/>
      <c r="E162" s="56"/>
      <c r="F162" s="58"/>
      <c r="G162" s="58"/>
      <c r="H162" s="68"/>
      <c r="I162" s="80"/>
      <c r="J162" s="55"/>
      <c r="K162" s="56"/>
      <c r="L162" s="55"/>
      <c r="M162" s="53">
        <f t="shared" si="12"/>
        <v>24</v>
      </c>
      <c r="N162" s="53">
        <f t="shared" si="13"/>
        <v>5</v>
      </c>
      <c r="O162" s="53" t="str">
        <f t="shared" si="10"/>
        <v/>
      </c>
      <c r="P162" s="56" t="str">
        <f t="shared" si="11"/>
        <v/>
      </c>
      <c r="Q162" s="73"/>
      <c r="R162" s="70"/>
      <c r="S162" s="71"/>
      <c r="T162" s="71"/>
      <c r="U162" s="66"/>
      <c r="W162" s="55"/>
      <c r="Z162" s="55"/>
    </row>
    <row r="163" spans="1:26" x14ac:dyDescent="0.2">
      <c r="A163" s="53"/>
      <c r="B163" s="54"/>
      <c r="C163" s="61"/>
      <c r="D163" s="53"/>
      <c r="E163" s="56"/>
      <c r="F163" s="58"/>
      <c r="G163" s="58"/>
      <c r="H163" s="68"/>
      <c r="I163" s="80"/>
      <c r="J163" s="55"/>
      <c r="K163" s="56"/>
      <c r="L163" s="55"/>
      <c r="M163" s="53">
        <f t="shared" si="12"/>
        <v>24</v>
      </c>
      <c r="N163" s="53">
        <f t="shared" si="13"/>
        <v>5</v>
      </c>
      <c r="O163" s="53" t="str">
        <f t="shared" si="10"/>
        <v/>
      </c>
      <c r="P163" s="56" t="str">
        <f t="shared" si="11"/>
        <v/>
      </c>
      <c r="Q163" s="73"/>
      <c r="R163" s="70"/>
      <c r="S163" s="71"/>
      <c r="T163" s="71"/>
      <c r="U163" s="66"/>
      <c r="W163" s="55"/>
      <c r="Z163" s="55"/>
    </row>
    <row r="164" spans="1:26" x14ac:dyDescent="0.2">
      <c r="A164" s="53"/>
      <c r="B164" s="54"/>
      <c r="C164" s="61"/>
      <c r="D164" s="53"/>
      <c r="E164" s="56"/>
      <c r="F164" s="58"/>
      <c r="G164" s="58"/>
      <c r="H164" s="68"/>
      <c r="I164" s="80"/>
      <c r="J164" s="55"/>
      <c r="K164" s="56"/>
      <c r="L164" s="55"/>
      <c r="M164" s="53">
        <f t="shared" si="12"/>
        <v>24</v>
      </c>
      <c r="N164" s="53">
        <f t="shared" si="13"/>
        <v>5</v>
      </c>
      <c r="O164" s="53" t="str">
        <f t="shared" si="10"/>
        <v/>
      </c>
      <c r="P164" s="56" t="str">
        <f t="shared" si="11"/>
        <v/>
      </c>
      <c r="Q164" s="73"/>
      <c r="R164" s="70"/>
      <c r="S164" s="71"/>
      <c r="T164" s="71"/>
      <c r="U164" s="66"/>
      <c r="W164" s="55"/>
      <c r="Z164" s="55"/>
    </row>
    <row r="165" spans="1:26" x14ac:dyDescent="0.2">
      <c r="A165" s="53"/>
      <c r="B165" s="54"/>
      <c r="C165" s="61"/>
      <c r="D165" s="53"/>
      <c r="E165" s="56"/>
      <c r="F165" s="58"/>
      <c r="G165" s="58"/>
      <c r="H165" s="68"/>
      <c r="I165" s="80"/>
      <c r="J165" s="55"/>
      <c r="K165" s="56"/>
      <c r="L165" s="55"/>
      <c r="M165" s="53">
        <f t="shared" si="12"/>
        <v>24</v>
      </c>
      <c r="N165" s="53">
        <f t="shared" si="13"/>
        <v>5</v>
      </c>
      <c r="O165" s="53" t="str">
        <f t="shared" si="10"/>
        <v/>
      </c>
      <c r="P165" s="56" t="str">
        <f t="shared" si="11"/>
        <v/>
      </c>
      <c r="Q165" s="73"/>
      <c r="R165" s="70"/>
      <c r="S165" s="71"/>
      <c r="T165" s="71"/>
      <c r="U165" s="66"/>
      <c r="W165" s="55"/>
      <c r="Z165" s="55"/>
    </row>
    <row r="166" spans="1:26" x14ac:dyDescent="0.2">
      <c r="A166" s="53"/>
      <c r="B166" s="54"/>
      <c r="C166" s="61"/>
      <c r="D166" s="53"/>
      <c r="E166" s="56"/>
      <c r="F166" s="58"/>
      <c r="G166" s="58"/>
      <c r="H166" s="68"/>
      <c r="I166" s="80"/>
      <c r="J166" s="55"/>
      <c r="K166" s="56"/>
      <c r="L166" s="55"/>
      <c r="M166" s="53">
        <f t="shared" si="12"/>
        <v>24</v>
      </c>
      <c r="N166" s="53">
        <f t="shared" si="13"/>
        <v>5</v>
      </c>
      <c r="O166" s="53" t="str">
        <f t="shared" si="10"/>
        <v/>
      </c>
      <c r="P166" s="56" t="str">
        <f t="shared" si="11"/>
        <v/>
      </c>
      <c r="Q166" s="73"/>
      <c r="R166" s="70"/>
      <c r="S166" s="71"/>
      <c r="T166" s="71"/>
      <c r="U166" s="66"/>
      <c r="W166" s="55"/>
      <c r="Z166" s="55"/>
    </row>
    <row r="167" spans="1:26" x14ac:dyDescent="0.2">
      <c r="A167" s="53"/>
      <c r="B167" s="54"/>
      <c r="C167" s="61"/>
      <c r="D167" s="53"/>
      <c r="E167" s="56"/>
      <c r="F167" s="58"/>
      <c r="G167" s="58"/>
      <c r="H167" s="68"/>
      <c r="I167" s="80"/>
      <c r="J167" s="55"/>
      <c r="K167" s="56"/>
      <c r="L167" s="55"/>
      <c r="M167" s="53">
        <f t="shared" si="12"/>
        <v>24</v>
      </c>
      <c r="N167" s="53">
        <f t="shared" si="13"/>
        <v>5</v>
      </c>
      <c r="O167" s="53" t="str">
        <f t="shared" si="10"/>
        <v/>
      </c>
      <c r="P167" s="56" t="str">
        <f t="shared" si="11"/>
        <v/>
      </c>
      <c r="Q167" s="73"/>
      <c r="R167" s="70"/>
      <c r="S167" s="71"/>
      <c r="T167" s="71"/>
      <c r="U167" s="66"/>
      <c r="W167" s="55"/>
      <c r="Z167" s="55"/>
    </row>
    <row r="168" spans="1:26" x14ac:dyDescent="0.2">
      <c r="A168" s="53"/>
      <c r="B168" s="54"/>
      <c r="C168" s="61"/>
      <c r="D168" s="53"/>
      <c r="E168" s="56"/>
      <c r="F168" s="58"/>
      <c r="G168" s="58"/>
      <c r="H168" s="68"/>
      <c r="I168" s="80"/>
      <c r="J168" s="55"/>
      <c r="K168" s="56"/>
      <c r="L168" s="55"/>
      <c r="M168" s="53">
        <f t="shared" si="12"/>
        <v>24</v>
      </c>
      <c r="N168" s="53">
        <f t="shared" si="13"/>
        <v>5</v>
      </c>
      <c r="O168" s="53" t="str">
        <f t="shared" si="10"/>
        <v/>
      </c>
      <c r="P168" s="56" t="str">
        <f t="shared" si="11"/>
        <v/>
      </c>
      <c r="Q168" s="73"/>
      <c r="R168" s="70"/>
      <c r="S168" s="71"/>
      <c r="T168" s="71"/>
      <c r="U168" s="66"/>
      <c r="W168" s="55"/>
      <c r="Z168" s="55"/>
    </row>
    <row r="169" spans="1:26" x14ac:dyDescent="0.2">
      <c r="A169" s="53"/>
      <c r="B169" s="54"/>
      <c r="C169" s="61"/>
      <c r="D169" s="53"/>
      <c r="E169" s="56"/>
      <c r="F169" s="58"/>
      <c r="G169" s="58"/>
      <c r="H169" s="68"/>
      <c r="I169" s="80"/>
      <c r="J169" s="55"/>
      <c r="K169" s="56"/>
      <c r="L169" s="55"/>
      <c r="M169" s="53">
        <f t="shared" si="12"/>
        <v>24</v>
      </c>
      <c r="N169" s="53">
        <f t="shared" si="13"/>
        <v>5</v>
      </c>
      <c r="O169" s="53" t="str">
        <f t="shared" si="10"/>
        <v/>
      </c>
      <c r="P169" s="56" t="str">
        <f t="shared" si="11"/>
        <v/>
      </c>
      <c r="Q169" s="73"/>
      <c r="R169" s="70"/>
      <c r="S169" s="71"/>
      <c r="T169" s="71"/>
      <c r="U169" s="66"/>
      <c r="W169" s="55"/>
      <c r="Z169" s="55"/>
    </row>
    <row r="170" spans="1:26" x14ac:dyDescent="0.2">
      <c r="A170" s="53"/>
      <c r="B170" s="54"/>
      <c r="C170" s="61"/>
      <c r="D170" s="53"/>
      <c r="E170" s="56"/>
      <c r="F170" s="58"/>
      <c r="G170" s="58"/>
      <c r="H170" s="68"/>
      <c r="I170" s="80"/>
      <c r="J170" s="55"/>
      <c r="K170" s="56"/>
      <c r="L170" s="55"/>
      <c r="M170" s="53">
        <f t="shared" si="12"/>
        <v>24</v>
      </c>
      <c r="N170" s="53">
        <f t="shared" si="13"/>
        <v>5</v>
      </c>
      <c r="O170" s="53" t="str">
        <f t="shared" si="10"/>
        <v/>
      </c>
      <c r="P170" s="56" t="str">
        <f t="shared" si="11"/>
        <v/>
      </c>
      <c r="Q170" s="73"/>
      <c r="R170" s="70"/>
      <c r="S170" s="71"/>
      <c r="T170" s="71"/>
      <c r="U170" s="66"/>
      <c r="W170" s="55"/>
      <c r="Z170" s="55"/>
    </row>
    <row r="171" spans="1:26" x14ac:dyDescent="0.2">
      <c r="A171" s="53"/>
      <c r="B171" s="54"/>
      <c r="C171" s="61"/>
      <c r="D171" s="53"/>
      <c r="E171" s="56"/>
      <c r="F171" s="58"/>
      <c r="G171" s="58"/>
      <c r="H171" s="68"/>
      <c r="I171" s="80"/>
      <c r="J171" s="55"/>
      <c r="K171" s="56"/>
      <c r="L171" s="55"/>
      <c r="M171" s="53">
        <f t="shared" si="12"/>
        <v>24</v>
      </c>
      <c r="N171" s="53">
        <f t="shared" si="13"/>
        <v>5</v>
      </c>
      <c r="O171" s="53" t="str">
        <f t="shared" si="10"/>
        <v/>
      </c>
      <c r="P171" s="56" t="str">
        <f t="shared" si="11"/>
        <v/>
      </c>
      <c r="Q171" s="73"/>
      <c r="R171" s="70"/>
      <c r="S171" s="71"/>
      <c r="T171" s="71"/>
      <c r="U171" s="66"/>
      <c r="W171" s="55"/>
      <c r="Z171" s="55"/>
    </row>
    <row r="172" spans="1:26" x14ac:dyDescent="0.2">
      <c r="A172" s="53"/>
      <c r="B172" s="54"/>
      <c r="C172" s="61"/>
      <c r="D172" s="53"/>
      <c r="E172" s="56"/>
      <c r="F172" s="58"/>
      <c r="G172" s="58"/>
      <c r="H172" s="68"/>
      <c r="I172" s="80"/>
      <c r="J172" s="55"/>
      <c r="K172" s="56"/>
      <c r="L172" s="55"/>
      <c r="M172" s="53">
        <f t="shared" si="12"/>
        <v>24</v>
      </c>
      <c r="N172" s="53">
        <f t="shared" si="13"/>
        <v>5</v>
      </c>
      <c r="O172" s="53" t="str">
        <f t="shared" si="10"/>
        <v/>
      </c>
      <c r="P172" s="56" t="str">
        <f t="shared" si="11"/>
        <v/>
      </c>
      <c r="Q172" s="73"/>
      <c r="R172" s="70"/>
      <c r="S172" s="71"/>
      <c r="T172" s="71"/>
      <c r="U172" s="66"/>
      <c r="W172" s="55"/>
      <c r="Z172" s="55"/>
    </row>
    <row r="173" spans="1:26" x14ac:dyDescent="0.2">
      <c r="A173" s="53">
        <v>78</v>
      </c>
      <c r="B173" s="54"/>
      <c r="C173" s="61" t="s">
        <v>189</v>
      </c>
      <c r="D173" s="53" t="s">
        <v>55</v>
      </c>
      <c r="E173" s="56" t="s">
        <v>39</v>
      </c>
      <c r="F173" s="58">
        <v>0</v>
      </c>
      <c r="G173" s="58">
        <v>254</v>
      </c>
      <c r="H173" s="68">
        <v>0</v>
      </c>
      <c r="I173" s="80">
        <v>1</v>
      </c>
      <c r="J173" s="55"/>
      <c r="K173" s="56"/>
      <c r="L173" s="55" t="s">
        <v>190</v>
      </c>
      <c r="M173" s="53">
        <f t="shared" si="12"/>
        <v>24</v>
      </c>
      <c r="N173" s="53">
        <f t="shared" si="13"/>
        <v>5</v>
      </c>
      <c r="O173" s="53">
        <f t="shared" si="10"/>
        <v>12366</v>
      </c>
      <c r="P173" s="56" t="str">
        <f t="shared" si="11"/>
        <v>0x304E</v>
      </c>
      <c r="Q173" s="73"/>
      <c r="R173" s="70"/>
      <c r="S173" s="71"/>
      <c r="T173" s="71"/>
      <c r="U173" s="66"/>
      <c r="V173" s="12" t="s">
        <v>189</v>
      </c>
      <c r="W173" s="55" t="s">
        <v>162</v>
      </c>
      <c r="X173" s="14">
        <v>0</v>
      </c>
      <c r="Z173" s="55"/>
    </row>
    <row r="174" spans="1:26" x14ac:dyDescent="0.2">
      <c r="A174" s="53"/>
      <c r="B174" s="54"/>
      <c r="C174" s="72" t="s">
        <v>44</v>
      </c>
      <c r="D174" s="53"/>
      <c r="E174" s="56"/>
      <c r="F174" s="58"/>
      <c r="G174" s="58"/>
      <c r="H174" s="68"/>
      <c r="I174" s="80"/>
      <c r="J174" s="55"/>
      <c r="K174" s="56"/>
      <c r="L174" s="55"/>
      <c r="M174" s="53"/>
      <c r="N174" s="53"/>
      <c r="O174" s="53"/>
      <c r="P174" s="56"/>
      <c r="Q174" s="73"/>
      <c r="R174" s="70"/>
      <c r="S174" s="71"/>
      <c r="T174" s="71"/>
      <c r="U174" s="66"/>
      <c r="V174" s="12" t="s">
        <v>189</v>
      </c>
      <c r="W174" s="55" t="s">
        <v>191</v>
      </c>
      <c r="X174" s="14">
        <v>1</v>
      </c>
      <c r="Z174" s="55"/>
    </row>
    <row r="175" spans="1:26" x14ac:dyDescent="0.2">
      <c r="A175" s="53"/>
      <c r="B175" s="54"/>
      <c r="C175" s="72" t="s">
        <v>44</v>
      </c>
      <c r="D175" s="53"/>
      <c r="E175" s="56"/>
      <c r="F175" s="58"/>
      <c r="G175" s="58"/>
      <c r="H175" s="68"/>
      <c r="I175" s="80"/>
      <c r="J175" s="55"/>
      <c r="K175" s="56"/>
      <c r="L175" s="55"/>
      <c r="M175" s="53"/>
      <c r="N175" s="53"/>
      <c r="O175" s="53"/>
      <c r="P175" s="56"/>
      <c r="Q175" s="73"/>
      <c r="R175" s="70"/>
      <c r="S175" s="71"/>
      <c r="T175" s="71"/>
      <c r="U175" s="66"/>
      <c r="V175" s="12" t="s">
        <v>189</v>
      </c>
      <c r="W175" s="55" t="s">
        <v>192</v>
      </c>
      <c r="X175" s="14">
        <v>2</v>
      </c>
      <c r="Z175" s="55"/>
    </row>
    <row r="176" spans="1:26" x14ac:dyDescent="0.2">
      <c r="A176" s="53"/>
      <c r="B176" s="54"/>
      <c r="C176" s="72" t="s">
        <v>44</v>
      </c>
      <c r="D176" s="53"/>
      <c r="E176" s="56"/>
      <c r="F176" s="58"/>
      <c r="G176" s="58"/>
      <c r="H176" s="68"/>
      <c r="I176" s="80"/>
      <c r="J176" s="55"/>
      <c r="K176" s="56"/>
      <c r="L176" s="55"/>
      <c r="M176" s="53"/>
      <c r="N176" s="53"/>
      <c r="O176" s="53"/>
      <c r="P176" s="56"/>
      <c r="Q176" s="73"/>
      <c r="R176" s="70"/>
      <c r="S176" s="71"/>
      <c r="T176" s="71"/>
      <c r="U176" s="66"/>
      <c r="V176" s="12" t="s">
        <v>189</v>
      </c>
      <c r="W176" s="55" t="s">
        <v>193</v>
      </c>
      <c r="X176" s="14">
        <v>3</v>
      </c>
      <c r="Z176" s="55"/>
    </row>
    <row r="177" spans="1:27" x14ac:dyDescent="0.2">
      <c r="A177" s="53"/>
      <c r="B177" s="54"/>
      <c r="C177" s="72" t="s">
        <v>44</v>
      </c>
      <c r="D177" s="53"/>
      <c r="E177" s="56"/>
      <c r="F177" s="58"/>
      <c r="G177" s="58"/>
      <c r="H177" s="68"/>
      <c r="I177" s="80"/>
      <c r="J177" s="55"/>
      <c r="K177" s="56"/>
      <c r="L177" s="55"/>
      <c r="M177" s="53"/>
      <c r="N177" s="53"/>
      <c r="O177" s="53"/>
      <c r="P177" s="56"/>
      <c r="Q177" s="73"/>
      <c r="R177" s="70"/>
      <c r="S177" s="71"/>
      <c r="T177" s="71"/>
      <c r="U177" s="66"/>
      <c r="V177" s="12" t="s">
        <v>189</v>
      </c>
      <c r="W177" s="55" t="s">
        <v>167</v>
      </c>
      <c r="X177" s="14">
        <v>254</v>
      </c>
      <c r="Z177" s="55"/>
    </row>
    <row r="178" spans="1:27" x14ac:dyDescent="0.2">
      <c r="A178" s="53">
        <v>79</v>
      </c>
      <c r="B178" s="54"/>
      <c r="C178" s="61" t="s">
        <v>194</v>
      </c>
      <c r="D178" s="53" t="s">
        <v>42</v>
      </c>
      <c r="E178" s="56" t="s">
        <v>39</v>
      </c>
      <c r="F178" s="58">
        <v>0</v>
      </c>
      <c r="G178" s="58">
        <v>254</v>
      </c>
      <c r="H178" s="68">
        <v>0</v>
      </c>
      <c r="I178" s="80">
        <v>1</v>
      </c>
      <c r="J178" s="55"/>
      <c r="K178" s="56"/>
      <c r="L178" s="55" t="s">
        <v>195</v>
      </c>
      <c r="M178" s="53">
        <f>$D$5</f>
        <v>24</v>
      </c>
      <c r="N178" s="53">
        <f>$D$4</f>
        <v>5</v>
      </c>
      <c r="O178" s="53">
        <f>IF(A178&lt;&gt;"",M178*2^9+A178,"")</f>
        <v>12367</v>
      </c>
      <c r="P178" s="56" t="str">
        <f>IF(A178&lt;&gt;"","0x" &amp;DEC2HEX( O178,4),"")</f>
        <v>0x304F</v>
      </c>
      <c r="Q178" s="73"/>
      <c r="R178" s="70"/>
      <c r="S178" s="71"/>
      <c r="T178" s="71"/>
      <c r="U178" s="66"/>
      <c r="V178" s="12" t="s">
        <v>194</v>
      </c>
      <c r="W178" s="55" t="s">
        <v>162</v>
      </c>
      <c r="X178" s="14">
        <v>0</v>
      </c>
      <c r="Z178" s="55"/>
    </row>
    <row r="179" spans="1:27" x14ac:dyDescent="0.2">
      <c r="A179" s="53"/>
      <c r="B179" s="54"/>
      <c r="C179" s="72" t="s">
        <v>44</v>
      </c>
      <c r="D179" s="53"/>
      <c r="E179" s="56"/>
      <c r="F179" s="58"/>
      <c r="G179" s="58"/>
      <c r="H179" s="68"/>
      <c r="I179" s="80"/>
      <c r="J179" s="55"/>
      <c r="K179" s="56"/>
      <c r="L179" s="55"/>
      <c r="M179" s="53"/>
      <c r="N179" s="53"/>
      <c r="O179" s="53"/>
      <c r="P179" s="56"/>
      <c r="Q179" s="73"/>
      <c r="R179" s="70"/>
      <c r="S179" s="71"/>
      <c r="T179" s="71"/>
      <c r="U179" s="66"/>
      <c r="V179" s="12" t="s">
        <v>194</v>
      </c>
      <c r="W179" s="55" t="s">
        <v>191</v>
      </c>
      <c r="X179" s="14">
        <v>1</v>
      </c>
      <c r="Z179" s="55"/>
    </row>
    <row r="180" spans="1:27" x14ac:dyDescent="0.2">
      <c r="A180" s="53"/>
      <c r="B180" s="54"/>
      <c r="C180" s="72" t="s">
        <v>44</v>
      </c>
      <c r="D180" s="53"/>
      <c r="E180" s="56"/>
      <c r="F180" s="58"/>
      <c r="G180" s="58"/>
      <c r="H180" s="68"/>
      <c r="I180" s="80"/>
      <c r="J180" s="55"/>
      <c r="K180" s="56"/>
      <c r="L180" s="55"/>
      <c r="M180" s="53"/>
      <c r="N180" s="53"/>
      <c r="O180" s="53"/>
      <c r="P180" s="56"/>
      <c r="Q180" s="73"/>
      <c r="R180" s="70"/>
      <c r="S180" s="71"/>
      <c r="T180" s="71"/>
      <c r="U180" s="66"/>
      <c r="V180" s="12" t="s">
        <v>194</v>
      </c>
      <c r="W180" s="55" t="s">
        <v>192</v>
      </c>
      <c r="X180" s="14">
        <v>2</v>
      </c>
      <c r="Z180" s="55"/>
    </row>
    <row r="181" spans="1:27" x14ac:dyDescent="0.2">
      <c r="A181" s="53"/>
      <c r="B181" s="54"/>
      <c r="C181" s="72" t="s">
        <v>44</v>
      </c>
      <c r="D181" s="53"/>
      <c r="E181" s="56"/>
      <c r="F181" s="58"/>
      <c r="G181" s="58"/>
      <c r="H181" s="68"/>
      <c r="I181" s="80"/>
      <c r="J181" s="55"/>
      <c r="K181" s="56"/>
      <c r="L181" s="55"/>
      <c r="M181" s="53"/>
      <c r="N181" s="53"/>
      <c r="O181" s="53"/>
      <c r="P181" s="56"/>
      <c r="Q181" s="73"/>
      <c r="R181" s="70"/>
      <c r="S181" s="71"/>
      <c r="T181" s="71"/>
      <c r="U181" s="66"/>
      <c r="V181" s="12" t="s">
        <v>194</v>
      </c>
      <c r="W181" s="55" t="s">
        <v>193</v>
      </c>
      <c r="X181" s="14">
        <v>3</v>
      </c>
      <c r="Z181" s="55"/>
    </row>
    <row r="182" spans="1:27" x14ac:dyDescent="0.2">
      <c r="A182" s="53"/>
      <c r="B182" s="54"/>
      <c r="C182" s="72" t="s">
        <v>44</v>
      </c>
      <c r="D182" s="53"/>
      <c r="E182" s="56"/>
      <c r="F182" s="58"/>
      <c r="G182" s="58"/>
      <c r="H182" s="68"/>
      <c r="I182" s="80"/>
      <c r="J182" s="55"/>
      <c r="K182" s="56"/>
      <c r="L182" s="55"/>
      <c r="M182" s="53"/>
      <c r="N182" s="53"/>
      <c r="O182" s="53"/>
      <c r="P182" s="56"/>
      <c r="Q182" s="73"/>
      <c r="R182" s="70"/>
      <c r="S182" s="71"/>
      <c r="T182" s="71"/>
      <c r="U182" s="66"/>
      <c r="V182" s="12" t="s">
        <v>194</v>
      </c>
      <c r="W182" s="55" t="s">
        <v>167</v>
      </c>
      <c r="X182" s="14">
        <v>254</v>
      </c>
      <c r="Z182" s="55"/>
    </row>
    <row r="183" spans="1:27" x14ac:dyDescent="0.2">
      <c r="A183" s="53">
        <v>80</v>
      </c>
      <c r="B183" s="54"/>
      <c r="C183" s="61" t="s">
        <v>196</v>
      </c>
      <c r="D183" s="53" t="s">
        <v>42</v>
      </c>
      <c r="E183" s="78" t="s">
        <v>130</v>
      </c>
      <c r="F183" s="58">
        <v>0</v>
      </c>
      <c r="G183" s="58">
        <v>3000</v>
      </c>
      <c r="H183" s="68">
        <v>0</v>
      </c>
      <c r="I183" s="80">
        <v>1</v>
      </c>
      <c r="J183" s="55" t="s">
        <v>197</v>
      </c>
      <c r="K183" s="56"/>
      <c r="L183" s="55" t="s">
        <v>198</v>
      </c>
      <c r="M183" s="53">
        <f>$D$5</f>
        <v>24</v>
      </c>
      <c r="N183" s="53">
        <f>$D$4</f>
        <v>5</v>
      </c>
      <c r="O183" s="53">
        <f>IF(A183&lt;&gt;"",M183*2^9+A183,"")</f>
        <v>12368</v>
      </c>
      <c r="P183" s="56" t="str">
        <f>IF(A183&lt;&gt;"","0x" &amp;DEC2HEX( O183,4),"")</f>
        <v>0x3050</v>
      </c>
      <c r="Q183" s="73"/>
      <c r="R183" s="70"/>
      <c r="S183" s="71"/>
      <c r="T183" s="71"/>
      <c r="U183" s="66"/>
      <c r="W183" s="55"/>
      <c r="Y183" t="s">
        <v>196</v>
      </c>
      <c r="Z183" s="55" t="s">
        <v>199</v>
      </c>
      <c r="AA183">
        <v>0</v>
      </c>
    </row>
    <row r="184" spans="1:27" x14ac:dyDescent="0.2">
      <c r="A184" s="53"/>
      <c r="B184" s="54"/>
      <c r="C184" s="72" t="s">
        <v>44</v>
      </c>
      <c r="D184" s="53"/>
      <c r="E184" s="56"/>
      <c r="F184" s="58"/>
      <c r="G184" s="58"/>
      <c r="H184" s="68"/>
      <c r="I184" s="80"/>
      <c r="J184" s="55"/>
      <c r="K184" s="56"/>
      <c r="L184" s="55"/>
      <c r="M184" s="53"/>
      <c r="N184" s="53"/>
      <c r="O184" s="53"/>
      <c r="P184" s="56"/>
      <c r="Q184" s="73"/>
      <c r="R184" s="70"/>
      <c r="S184" s="71"/>
      <c r="T184" s="71"/>
      <c r="U184" s="66"/>
      <c r="W184" s="55"/>
      <c r="Y184" t="s">
        <v>196</v>
      </c>
      <c r="Z184" s="55" t="s">
        <v>200</v>
      </c>
      <c r="AA184">
        <v>1</v>
      </c>
    </row>
    <row r="185" spans="1:27" x14ac:dyDescent="0.2">
      <c r="A185" s="53"/>
      <c r="B185" s="54"/>
      <c r="C185" s="81"/>
      <c r="D185" s="53"/>
      <c r="E185" s="56"/>
      <c r="F185" s="58"/>
      <c r="G185" s="58"/>
      <c r="H185" s="68"/>
      <c r="I185" s="80"/>
      <c r="J185" s="55"/>
      <c r="K185" s="56"/>
      <c r="L185" s="55"/>
      <c r="M185" s="53"/>
      <c r="N185" s="53"/>
      <c r="O185" s="53"/>
      <c r="P185" s="56"/>
      <c r="Q185" s="73"/>
      <c r="R185" s="70"/>
      <c r="S185" s="71"/>
      <c r="T185" s="71"/>
      <c r="U185" s="66"/>
      <c r="W185" s="55"/>
      <c r="Z185" s="55"/>
    </row>
    <row r="186" spans="1:27" x14ac:dyDescent="0.2">
      <c r="A186" s="53"/>
      <c r="B186" s="54"/>
      <c r="C186" s="81"/>
      <c r="D186" s="53"/>
      <c r="E186" s="56"/>
      <c r="F186" s="58"/>
      <c r="G186" s="58"/>
      <c r="H186" s="68"/>
      <c r="I186" s="80"/>
      <c r="J186" s="55"/>
      <c r="K186" s="56"/>
      <c r="L186" s="55"/>
      <c r="M186" s="53"/>
      <c r="N186" s="53"/>
      <c r="O186" s="53"/>
      <c r="P186" s="56"/>
      <c r="Q186" s="73"/>
      <c r="R186" s="70"/>
      <c r="S186" s="71"/>
      <c r="T186" s="71"/>
      <c r="U186" s="66"/>
      <c r="W186" s="55"/>
      <c r="Z186" s="55"/>
    </row>
    <row r="187" spans="1:27" x14ac:dyDescent="0.2">
      <c r="A187" s="53"/>
      <c r="B187" s="54"/>
      <c r="C187" s="81"/>
      <c r="D187" s="53"/>
      <c r="E187" s="56"/>
      <c r="F187" s="58"/>
      <c r="G187" s="58"/>
      <c r="H187" s="68"/>
      <c r="I187" s="80"/>
      <c r="J187" s="55"/>
      <c r="K187" s="56"/>
      <c r="L187" s="55"/>
      <c r="M187" s="53"/>
      <c r="N187" s="53"/>
      <c r="O187" s="53"/>
      <c r="P187" s="56"/>
      <c r="Q187" s="73"/>
      <c r="R187" s="70"/>
      <c r="S187" s="71"/>
      <c r="T187" s="71"/>
      <c r="U187" s="66"/>
      <c r="W187" s="55"/>
      <c r="Z187" s="55"/>
    </row>
    <row r="188" spans="1:27" x14ac:dyDescent="0.2">
      <c r="A188" s="53">
        <v>100</v>
      </c>
      <c r="B188" s="54"/>
      <c r="C188" s="61" t="s">
        <v>201</v>
      </c>
      <c r="D188" s="53" t="s">
        <v>38</v>
      </c>
      <c r="E188" s="56" t="s">
        <v>39</v>
      </c>
      <c r="F188" s="58">
        <v>0</v>
      </c>
      <c r="G188" s="58">
        <v>80</v>
      </c>
      <c r="H188" s="68">
        <v>0</v>
      </c>
      <c r="I188" s="80">
        <v>1</v>
      </c>
      <c r="J188" s="55"/>
      <c r="K188" s="56"/>
      <c r="L188" s="55" t="s">
        <v>202</v>
      </c>
      <c r="M188" s="53">
        <f>$D$5</f>
        <v>24</v>
      </c>
      <c r="N188" s="53">
        <f>$D$4</f>
        <v>5</v>
      </c>
      <c r="O188" s="53">
        <f>IF(A188&lt;&gt;"",M188*2^9+A188,"")</f>
        <v>12388</v>
      </c>
      <c r="P188" s="56" t="str">
        <f>IF(A188&lt;&gt;"","0x" &amp;DEC2HEX( O188,4),"")</f>
        <v>0x3064</v>
      </c>
      <c r="Q188" s="73"/>
      <c r="R188" s="70"/>
      <c r="S188" s="71"/>
      <c r="T188" s="71"/>
      <c r="U188" s="66"/>
      <c r="W188" s="55"/>
      <c r="Z188" s="55"/>
    </row>
    <row r="189" spans="1:27" x14ac:dyDescent="0.2">
      <c r="A189" s="53"/>
      <c r="B189" s="54"/>
      <c r="C189" s="61"/>
      <c r="D189" s="53"/>
      <c r="E189" s="56"/>
      <c r="F189" s="58"/>
      <c r="G189" s="58"/>
      <c r="H189" s="68"/>
      <c r="I189" s="80"/>
      <c r="J189" s="55"/>
      <c r="K189" s="56"/>
      <c r="L189" s="55"/>
      <c r="M189" s="53"/>
      <c r="N189" s="53"/>
      <c r="O189" s="53"/>
      <c r="P189" s="56"/>
      <c r="Q189" s="73"/>
      <c r="R189" s="70"/>
      <c r="S189" s="71"/>
      <c r="T189" s="71"/>
      <c r="U189" s="66"/>
      <c r="W189" s="55"/>
      <c r="Z189" s="55"/>
    </row>
    <row r="190" spans="1:27" x14ac:dyDescent="0.2">
      <c r="A190" s="53">
        <v>128</v>
      </c>
      <c r="B190" s="54"/>
      <c r="C190" s="55" t="s">
        <v>349</v>
      </c>
      <c r="D190" s="53" t="s">
        <v>38</v>
      </c>
      <c r="E190" s="78" t="s">
        <v>130</v>
      </c>
      <c r="F190" s="53">
        <v>0</v>
      </c>
      <c r="G190" s="58">
        <v>1</v>
      </c>
      <c r="H190" s="68"/>
      <c r="I190" s="84"/>
      <c r="J190" s="61"/>
      <c r="K190" s="56"/>
      <c r="L190" s="82" t="s">
        <v>348</v>
      </c>
      <c r="M190" s="53">
        <f>$D$5</f>
        <v>24</v>
      </c>
      <c r="N190" s="53">
        <f>$D$4</f>
        <v>5</v>
      </c>
      <c r="O190" s="53">
        <f>IF(A190&lt;&gt;"",M190*2^9+A190,"")</f>
        <v>12416</v>
      </c>
      <c r="P190" s="56" t="str">
        <f>IF(A190&lt;&gt;"","0x" &amp;DEC2HEX( O190,4),"")</f>
        <v>0x3080</v>
      </c>
      <c r="Q190" s="73"/>
      <c r="R190" s="70"/>
      <c r="S190" s="71"/>
      <c r="T190" s="71"/>
      <c r="U190" s="66"/>
      <c r="W190" s="55"/>
      <c r="Z190" s="55"/>
    </row>
    <row r="191" spans="1:27" x14ac:dyDescent="0.2">
      <c r="A191" s="53"/>
      <c r="B191" s="54"/>
      <c r="C191" s="82"/>
      <c r="D191" s="81"/>
      <c r="E191" s="78"/>
      <c r="F191" s="58"/>
      <c r="G191" s="58"/>
      <c r="H191" s="68"/>
      <c r="I191" s="80"/>
      <c r="J191" s="55"/>
      <c r="K191" s="56"/>
      <c r="L191" s="74"/>
      <c r="M191" s="53"/>
      <c r="N191" s="53"/>
      <c r="O191" s="53"/>
      <c r="P191" s="56"/>
      <c r="Q191" s="73"/>
      <c r="R191" s="70"/>
      <c r="S191" s="71"/>
      <c r="T191" s="71"/>
      <c r="U191" s="66"/>
      <c r="W191" s="55"/>
      <c r="Z191" s="55"/>
    </row>
    <row r="192" spans="1:27" x14ac:dyDescent="0.2">
      <c r="A192" s="53">
        <v>129</v>
      </c>
      <c r="B192" s="54"/>
      <c r="C192" s="82" t="s">
        <v>203</v>
      </c>
      <c r="D192" s="81" t="s">
        <v>42</v>
      </c>
      <c r="E192" s="78" t="s">
        <v>130</v>
      </c>
      <c r="F192" s="58">
        <v>0</v>
      </c>
      <c r="G192" s="58">
        <v>0</v>
      </c>
      <c r="H192" s="68">
        <v>0</v>
      </c>
      <c r="I192" s="80">
        <v>1</v>
      </c>
      <c r="J192" s="55"/>
      <c r="K192" s="56"/>
      <c r="L192" s="74" t="s">
        <v>204</v>
      </c>
      <c r="M192" s="53">
        <f>$D$5</f>
        <v>24</v>
      </c>
      <c r="N192" s="53">
        <f>$D$4</f>
        <v>5</v>
      </c>
      <c r="O192" s="53">
        <f>IF(A192&lt;&gt;"",M192*2^9+A192,"")</f>
        <v>12417</v>
      </c>
      <c r="P192" s="56" t="str">
        <f>IF(A192&lt;&gt;"","0x" &amp;DEC2HEX( O192,4),"")</f>
        <v>0x3081</v>
      </c>
      <c r="Q192" s="73"/>
      <c r="R192" s="70"/>
      <c r="S192" s="71"/>
      <c r="T192" s="71"/>
      <c r="U192" s="66"/>
      <c r="W192" s="55"/>
      <c r="Z192" s="55"/>
    </row>
    <row r="193" spans="1:27" x14ac:dyDescent="0.2">
      <c r="A193" s="53">
        <v>130</v>
      </c>
      <c r="B193" s="54"/>
      <c r="C193" s="82" t="s">
        <v>205</v>
      </c>
      <c r="D193" s="81" t="s">
        <v>42</v>
      </c>
      <c r="E193" s="78" t="s">
        <v>130</v>
      </c>
      <c r="F193" s="58">
        <v>0</v>
      </c>
      <c r="G193" s="58">
        <v>0</v>
      </c>
      <c r="H193" s="68">
        <v>0</v>
      </c>
      <c r="I193" s="80">
        <v>1</v>
      </c>
      <c r="J193" s="55"/>
      <c r="K193" s="56"/>
      <c r="L193" s="74" t="s">
        <v>206</v>
      </c>
      <c r="M193" s="53">
        <f>$D$5</f>
        <v>24</v>
      </c>
      <c r="N193" s="53">
        <f>$D$4</f>
        <v>5</v>
      </c>
      <c r="O193" s="53">
        <f>IF(A193&lt;&gt;"",M193*2^9+A193,"")</f>
        <v>12418</v>
      </c>
      <c r="P193" s="56" t="str">
        <f>IF(A193&lt;&gt;"","0x" &amp;DEC2HEX( O193,4),"")</f>
        <v>0x3082</v>
      </c>
      <c r="Q193" s="73"/>
      <c r="R193" s="70"/>
      <c r="S193" s="71"/>
      <c r="T193" s="71"/>
      <c r="U193" s="66"/>
      <c r="W193" s="55"/>
      <c r="Z193" s="55"/>
    </row>
    <row r="194" spans="1:27" x14ac:dyDescent="0.2">
      <c r="A194" s="53">
        <v>131</v>
      </c>
      <c r="B194" s="54"/>
      <c r="C194" s="82" t="s">
        <v>207</v>
      </c>
      <c r="D194" s="81" t="s">
        <v>42</v>
      </c>
      <c r="E194" s="78" t="s">
        <v>130</v>
      </c>
      <c r="F194" s="58">
        <v>0</v>
      </c>
      <c r="G194" s="58">
        <v>0</v>
      </c>
      <c r="H194" s="68">
        <v>0</v>
      </c>
      <c r="I194" s="80">
        <v>1</v>
      </c>
      <c r="J194" s="55"/>
      <c r="K194" s="56"/>
      <c r="L194" s="74" t="s">
        <v>208</v>
      </c>
      <c r="M194" s="53">
        <f>$D$5</f>
        <v>24</v>
      </c>
      <c r="N194" s="53">
        <f>$D$4</f>
        <v>5</v>
      </c>
      <c r="O194" s="53">
        <f>IF(A194&lt;&gt;"",M194*2^9+A194,"")</f>
        <v>12419</v>
      </c>
      <c r="P194" s="56" t="str">
        <f>IF(A194&lt;&gt;"","0x" &amp;DEC2HEX( O194,4),"")</f>
        <v>0x3083</v>
      </c>
      <c r="Q194" s="73"/>
      <c r="R194" s="70"/>
      <c r="S194" s="71"/>
      <c r="T194" s="71"/>
      <c r="U194" s="66"/>
      <c r="W194" s="55"/>
      <c r="Z194" s="55"/>
    </row>
    <row r="195" spans="1:27" x14ac:dyDescent="0.2">
      <c r="A195" s="53">
        <v>132</v>
      </c>
      <c r="B195" s="54"/>
      <c r="C195" s="61" t="s">
        <v>209</v>
      </c>
      <c r="D195" s="81" t="s">
        <v>42</v>
      </c>
      <c r="E195" s="78" t="s">
        <v>130</v>
      </c>
      <c r="F195" s="58">
        <v>0</v>
      </c>
      <c r="G195" s="58">
        <v>0</v>
      </c>
      <c r="H195" s="68">
        <v>0</v>
      </c>
      <c r="I195" s="80">
        <v>1</v>
      </c>
      <c r="J195" s="55"/>
      <c r="K195" s="56"/>
      <c r="L195" s="74" t="s">
        <v>210</v>
      </c>
      <c r="M195" s="53">
        <f>$D$5</f>
        <v>24</v>
      </c>
      <c r="N195" s="53">
        <f>$D$4</f>
        <v>5</v>
      </c>
      <c r="O195" s="53">
        <f>IF(A195&lt;&gt;"",M195*2^9+A195,"")</f>
        <v>12420</v>
      </c>
      <c r="P195" s="56" t="str">
        <f>IF(A195&lt;&gt;"","0x" &amp;DEC2HEX( O195,4),"")</f>
        <v>0x3084</v>
      </c>
      <c r="Q195" s="73"/>
      <c r="R195" s="70"/>
      <c r="S195" s="71"/>
      <c r="T195" s="71"/>
      <c r="U195" s="66"/>
      <c r="W195" s="55"/>
      <c r="Z195" s="55"/>
    </row>
    <row r="196" spans="1:27" x14ac:dyDescent="0.2">
      <c r="A196" s="53"/>
      <c r="B196" s="54"/>
      <c r="C196" s="61"/>
      <c r="D196" s="53"/>
      <c r="E196" s="56"/>
      <c r="F196" s="58"/>
      <c r="G196" s="58"/>
      <c r="H196" s="68"/>
      <c r="I196" s="80"/>
      <c r="J196" s="55"/>
      <c r="K196" s="56"/>
      <c r="L196" s="55"/>
      <c r="M196" s="53"/>
      <c r="N196" s="53"/>
      <c r="O196" s="53"/>
      <c r="P196" s="56"/>
      <c r="Q196" s="73"/>
      <c r="R196" s="70"/>
      <c r="S196" s="71"/>
      <c r="T196" s="71"/>
      <c r="U196" s="66"/>
      <c r="W196" s="55"/>
      <c r="Z196" s="55"/>
    </row>
    <row r="197" spans="1:27" x14ac:dyDescent="0.2">
      <c r="A197" s="53"/>
      <c r="B197" s="54"/>
      <c r="C197" s="61"/>
      <c r="D197" s="53"/>
      <c r="E197" s="56"/>
      <c r="F197" s="58"/>
      <c r="G197" s="58"/>
      <c r="H197" s="68"/>
      <c r="I197" s="80"/>
      <c r="J197" s="55"/>
      <c r="K197" s="56"/>
      <c r="L197" s="55"/>
      <c r="M197" s="53"/>
      <c r="N197" s="53"/>
      <c r="O197" s="53"/>
      <c r="P197" s="56"/>
      <c r="Q197" s="73"/>
      <c r="R197" s="70"/>
      <c r="S197" s="71"/>
      <c r="T197" s="71"/>
      <c r="U197" s="66"/>
      <c r="W197" s="55"/>
      <c r="Z197" s="55"/>
    </row>
    <row r="198" spans="1:27" x14ac:dyDescent="0.2">
      <c r="A198" s="53">
        <v>256</v>
      </c>
      <c r="B198" s="54"/>
      <c r="C198" s="61" t="s">
        <v>211</v>
      </c>
      <c r="D198" s="53" t="s">
        <v>42</v>
      </c>
      <c r="E198" s="56" t="s">
        <v>39</v>
      </c>
      <c r="F198" s="58">
        <v>0</v>
      </c>
      <c r="G198" s="58">
        <v>65535</v>
      </c>
      <c r="H198" s="68">
        <v>0</v>
      </c>
      <c r="I198" s="80">
        <v>1E-3</v>
      </c>
      <c r="J198" s="55" t="s">
        <v>212</v>
      </c>
      <c r="K198" s="56"/>
      <c r="L198" s="55" t="s">
        <v>213</v>
      </c>
      <c r="M198" s="53">
        <f>$D$5</f>
        <v>24</v>
      </c>
      <c r="N198" s="53">
        <f>$D$4</f>
        <v>5</v>
      </c>
      <c r="O198" s="53">
        <f>IF(A198&lt;&gt;"",M198*2^9+A198,"")</f>
        <v>12544</v>
      </c>
      <c r="P198" s="56" t="str">
        <f>IF(A198&lt;&gt;"","0x" &amp;DEC2HEX( O198,4),"")</f>
        <v>0x3100</v>
      </c>
      <c r="Q198" s="73"/>
      <c r="R198" s="70"/>
      <c r="S198" s="71"/>
      <c r="T198" s="71"/>
      <c r="U198" s="66"/>
      <c r="W198" s="55"/>
      <c r="Z198" s="55"/>
    </row>
    <row r="199" spans="1:27" x14ac:dyDescent="0.2">
      <c r="A199" s="53">
        <v>257</v>
      </c>
      <c r="B199" s="54"/>
      <c r="C199" s="61" t="s">
        <v>214</v>
      </c>
      <c r="D199" s="53" t="s">
        <v>42</v>
      </c>
      <c r="E199" s="56" t="s">
        <v>39</v>
      </c>
      <c r="F199" s="58">
        <v>0</v>
      </c>
      <c r="G199" s="58">
        <v>65535</v>
      </c>
      <c r="H199" s="68">
        <v>0</v>
      </c>
      <c r="I199" s="80">
        <v>1E-3</v>
      </c>
      <c r="J199" s="55" t="s">
        <v>212</v>
      </c>
      <c r="K199" s="56"/>
      <c r="L199" s="55" t="s">
        <v>215</v>
      </c>
      <c r="M199" s="53">
        <f>$D$5</f>
        <v>24</v>
      </c>
      <c r="N199" s="53">
        <f>$D$4</f>
        <v>5</v>
      </c>
      <c r="O199" s="53">
        <f>IF(A199&lt;&gt;"",M199*2^9+A199,"")</f>
        <v>12545</v>
      </c>
      <c r="P199" s="56" t="str">
        <f>IF(A199&lt;&gt;"","0x" &amp;DEC2HEX( O199,4),"")</f>
        <v>0x3101</v>
      </c>
      <c r="Q199" s="73"/>
      <c r="R199" s="70"/>
      <c r="S199" s="71"/>
      <c r="T199" s="71"/>
      <c r="U199" s="66"/>
      <c r="W199" s="55"/>
      <c r="Z199" s="55"/>
    </row>
    <row r="200" spans="1:27" x14ac:dyDescent="0.2">
      <c r="A200" s="53">
        <v>258</v>
      </c>
      <c r="B200" s="54"/>
      <c r="C200" s="61" t="s">
        <v>216</v>
      </c>
      <c r="D200" s="53" t="s">
        <v>42</v>
      </c>
      <c r="E200" s="56" t="s">
        <v>39</v>
      </c>
      <c r="F200" s="58">
        <v>0</v>
      </c>
      <c r="G200" s="58">
        <v>65535</v>
      </c>
      <c r="H200" s="68">
        <v>0</v>
      </c>
      <c r="I200" s="80">
        <v>1</v>
      </c>
      <c r="J200" s="55" t="s">
        <v>217</v>
      </c>
      <c r="K200" s="56"/>
      <c r="L200" s="55" t="s">
        <v>218</v>
      </c>
      <c r="M200" s="53">
        <f>$D$5</f>
        <v>24</v>
      </c>
      <c r="N200" s="53">
        <f>$D$4</f>
        <v>5</v>
      </c>
      <c r="O200" s="53">
        <f>IF(A200&lt;&gt;"",M200*2^9+A200,"")</f>
        <v>12546</v>
      </c>
      <c r="P200" s="56" t="str">
        <f>IF(A200&lt;&gt;"","0x" &amp;DEC2HEX( O200,4),"")</f>
        <v>0x3102</v>
      </c>
      <c r="Q200" s="73"/>
      <c r="R200" s="70"/>
      <c r="S200" s="71"/>
      <c r="T200" s="71"/>
      <c r="U200" s="66"/>
      <c r="W200" s="55"/>
      <c r="Z200" s="55"/>
    </row>
    <row r="201" spans="1:27" x14ac:dyDescent="0.2">
      <c r="A201" s="53">
        <v>259</v>
      </c>
      <c r="B201" s="54"/>
      <c r="C201" s="61" t="s">
        <v>219</v>
      </c>
      <c r="D201" s="53" t="s">
        <v>42</v>
      </c>
      <c r="E201" s="56" t="s">
        <v>39</v>
      </c>
      <c r="F201" s="58">
        <v>0</v>
      </c>
      <c r="G201" s="58">
        <v>90</v>
      </c>
      <c r="H201" s="68">
        <v>0</v>
      </c>
      <c r="I201" s="80">
        <v>1</v>
      </c>
      <c r="J201" s="55" t="s">
        <v>131</v>
      </c>
      <c r="K201" s="56"/>
      <c r="L201" s="55" t="s">
        <v>220</v>
      </c>
      <c r="M201" s="53">
        <f>$D$5</f>
        <v>24</v>
      </c>
      <c r="N201" s="53">
        <f>$D$4</f>
        <v>5</v>
      </c>
      <c r="O201" s="53">
        <f>IF(A201&lt;&gt;"",M201*2^9+A201,"")</f>
        <v>12547</v>
      </c>
      <c r="P201" s="56" t="str">
        <f>IF(A201&lt;&gt;"","0x" &amp;DEC2HEX( O201,4),"")</f>
        <v>0x3103</v>
      </c>
      <c r="Q201" s="73"/>
      <c r="R201" s="70"/>
      <c r="S201" s="71"/>
      <c r="T201" s="71"/>
      <c r="U201" s="66"/>
      <c r="W201" s="55"/>
      <c r="Z201" s="55"/>
    </row>
    <row r="202" spans="1:27" x14ac:dyDescent="0.2">
      <c r="A202" s="53"/>
      <c r="B202" s="54"/>
      <c r="C202" s="61"/>
      <c r="D202" s="53"/>
      <c r="E202" s="56"/>
      <c r="F202" s="58"/>
      <c r="G202" s="58"/>
      <c r="H202" s="68"/>
      <c r="I202" s="80"/>
      <c r="J202" s="55"/>
      <c r="K202" s="56"/>
      <c r="L202" s="55"/>
      <c r="M202" s="53"/>
      <c r="N202" s="53"/>
      <c r="O202" s="53"/>
      <c r="P202" s="56"/>
      <c r="Q202" s="73"/>
      <c r="R202" s="70"/>
      <c r="S202" s="71"/>
      <c r="T202" s="71"/>
      <c r="U202" s="66"/>
      <c r="W202" s="55"/>
      <c r="Z202" s="55"/>
    </row>
    <row r="203" spans="1:27" x14ac:dyDescent="0.2">
      <c r="A203" s="53"/>
      <c r="B203" s="54"/>
      <c r="C203" s="61"/>
      <c r="D203" s="53"/>
      <c r="E203" s="56"/>
      <c r="F203" s="58"/>
      <c r="G203" s="58"/>
      <c r="H203" s="68"/>
      <c r="I203" s="80"/>
      <c r="J203" s="55"/>
      <c r="K203" s="56"/>
      <c r="L203" s="55"/>
      <c r="M203" s="53"/>
      <c r="N203" s="53"/>
      <c r="O203" s="53"/>
      <c r="P203" s="56"/>
      <c r="Q203" s="73"/>
      <c r="R203" s="70"/>
      <c r="S203" s="71"/>
      <c r="T203" s="71"/>
      <c r="U203" s="66"/>
      <c r="W203" s="55"/>
      <c r="Z203" s="55"/>
    </row>
    <row r="204" spans="1:27" x14ac:dyDescent="0.2">
      <c r="A204" s="53"/>
      <c r="B204" s="54"/>
      <c r="C204" s="61"/>
      <c r="D204" s="53"/>
      <c r="E204" s="56"/>
      <c r="F204" s="58"/>
      <c r="G204" s="58"/>
      <c r="H204" s="68"/>
      <c r="I204" s="80"/>
      <c r="J204" s="55"/>
      <c r="K204" s="56"/>
      <c r="L204" s="55"/>
      <c r="M204" s="53"/>
      <c r="N204" s="53"/>
      <c r="O204" s="53"/>
      <c r="P204" s="56"/>
      <c r="Q204" s="73"/>
      <c r="R204" s="70"/>
      <c r="S204" s="71"/>
      <c r="T204" s="71"/>
      <c r="U204" s="66"/>
      <c r="W204" s="55"/>
      <c r="Z204" s="55"/>
    </row>
    <row r="205" spans="1:27" x14ac:dyDescent="0.2">
      <c r="A205" s="53">
        <v>272</v>
      </c>
      <c r="B205" s="54"/>
      <c r="C205" s="61" t="s">
        <v>221</v>
      </c>
      <c r="D205" s="53" t="s">
        <v>42</v>
      </c>
      <c r="E205" s="78" t="s">
        <v>130</v>
      </c>
      <c r="F205" s="58">
        <v>0</v>
      </c>
      <c r="G205" s="58">
        <v>65535</v>
      </c>
      <c r="H205" s="68">
        <v>0</v>
      </c>
      <c r="I205" s="80">
        <v>1</v>
      </c>
      <c r="J205" s="55"/>
      <c r="K205" s="56"/>
      <c r="L205" s="55" t="s">
        <v>222</v>
      </c>
      <c r="M205" s="53">
        <f>$D$5</f>
        <v>24</v>
      </c>
      <c r="N205" s="53">
        <f>$D$4</f>
        <v>5</v>
      </c>
      <c r="O205" s="53">
        <f>IF(A205&lt;&gt;"",M205*2^9+A205,"")</f>
        <v>12560</v>
      </c>
      <c r="P205" s="56" t="str">
        <f>IF(A205&lt;&gt;"","0x" &amp;DEC2HEX( O205,4),"")</f>
        <v>0x3110</v>
      </c>
      <c r="Q205" s="73"/>
      <c r="R205" s="70"/>
      <c r="S205" s="71"/>
      <c r="T205" s="71"/>
      <c r="U205" s="66"/>
      <c r="W205" s="55"/>
      <c r="Y205" t="s">
        <v>221</v>
      </c>
      <c r="Z205" s="55" t="s">
        <v>223</v>
      </c>
      <c r="AA205">
        <v>0</v>
      </c>
    </row>
    <row r="206" spans="1:27" x14ac:dyDescent="0.2">
      <c r="A206" s="53"/>
      <c r="B206" s="54"/>
      <c r="C206" s="72" t="s">
        <v>44</v>
      </c>
      <c r="D206" s="53"/>
      <c r="E206" s="78"/>
      <c r="F206" s="58"/>
      <c r="G206" s="58"/>
      <c r="H206" s="68"/>
      <c r="I206" s="80"/>
      <c r="J206" s="55"/>
      <c r="K206" s="56"/>
      <c r="L206" s="55"/>
      <c r="M206" s="53"/>
      <c r="N206" s="53"/>
      <c r="O206" s="53"/>
      <c r="P206" s="56"/>
      <c r="Q206" s="73"/>
      <c r="R206" s="70"/>
      <c r="S206" s="71"/>
      <c r="T206" s="71"/>
      <c r="U206" s="66"/>
      <c r="W206" s="55"/>
      <c r="Y206" t="s">
        <v>221</v>
      </c>
      <c r="Z206" s="55" t="s">
        <v>223</v>
      </c>
      <c r="AA206">
        <v>1</v>
      </c>
    </row>
    <row r="207" spans="1:27" x14ac:dyDescent="0.2">
      <c r="A207" s="53">
        <v>280</v>
      </c>
      <c r="B207" s="54"/>
      <c r="C207" s="61" t="s">
        <v>224</v>
      </c>
      <c r="D207" s="53" t="s">
        <v>42</v>
      </c>
      <c r="E207" s="78" t="s">
        <v>130</v>
      </c>
      <c r="F207" s="58">
        <v>0</v>
      </c>
      <c r="G207" s="58">
        <v>65535</v>
      </c>
      <c r="H207" s="68">
        <v>0</v>
      </c>
      <c r="I207" s="80">
        <v>1</v>
      </c>
      <c r="J207" s="55"/>
      <c r="K207" s="56"/>
      <c r="L207" s="55" t="s">
        <v>225</v>
      </c>
      <c r="M207" s="53">
        <f>$D$5</f>
        <v>24</v>
      </c>
      <c r="N207" s="53">
        <f>$D$4</f>
        <v>5</v>
      </c>
      <c r="O207" s="53">
        <f>IF(A207&lt;&gt;"",M207*2^9+A207,"")</f>
        <v>12568</v>
      </c>
      <c r="P207" s="56" t="str">
        <f>IF(A207&lt;&gt;"","0x" &amp;DEC2HEX( O207,4),"")</f>
        <v>0x3118</v>
      </c>
      <c r="Q207" s="73"/>
      <c r="R207" s="70"/>
      <c r="S207" s="71"/>
      <c r="T207" s="71"/>
      <c r="U207" s="66"/>
      <c r="V207" s="12" t="s">
        <v>224</v>
      </c>
      <c r="W207" s="55" t="s">
        <v>226</v>
      </c>
      <c r="X207" s="14">
        <v>0</v>
      </c>
      <c r="Y207" t="s">
        <v>224</v>
      </c>
      <c r="Z207" s="55" t="s">
        <v>227</v>
      </c>
      <c r="AA207">
        <v>0</v>
      </c>
    </row>
    <row r="208" spans="1:27" x14ac:dyDescent="0.2">
      <c r="A208" s="53"/>
      <c r="B208" s="54"/>
      <c r="C208" s="72" t="s">
        <v>44</v>
      </c>
      <c r="D208" s="53"/>
      <c r="E208" s="78"/>
      <c r="F208" s="58"/>
      <c r="G208" s="58"/>
      <c r="H208" s="68"/>
      <c r="I208" s="80"/>
      <c r="J208" s="55"/>
      <c r="K208" s="56"/>
      <c r="L208" s="55"/>
      <c r="M208" s="53"/>
      <c r="N208" s="53"/>
      <c r="O208" s="53"/>
      <c r="P208" s="56"/>
      <c r="Q208" s="73"/>
      <c r="R208" s="70"/>
      <c r="S208" s="71"/>
      <c r="T208" s="71"/>
      <c r="U208" s="66"/>
      <c r="V208" s="12" t="s">
        <v>224</v>
      </c>
      <c r="W208" s="55" t="s">
        <v>228</v>
      </c>
      <c r="X208" s="14">
        <v>1</v>
      </c>
      <c r="Y208" t="s">
        <v>224</v>
      </c>
      <c r="Z208" s="55" t="s">
        <v>229</v>
      </c>
      <c r="AA208">
        <v>1</v>
      </c>
    </row>
    <row r="209" spans="1:27" x14ac:dyDescent="0.2">
      <c r="A209" s="53"/>
      <c r="B209" s="54"/>
      <c r="C209" s="72" t="s">
        <v>44</v>
      </c>
      <c r="D209" s="53"/>
      <c r="E209" s="78"/>
      <c r="F209" s="58"/>
      <c r="G209" s="58"/>
      <c r="H209" s="68"/>
      <c r="I209" s="80"/>
      <c r="J209" s="55"/>
      <c r="K209" s="56"/>
      <c r="L209" s="55"/>
      <c r="M209" s="53"/>
      <c r="N209" s="53"/>
      <c r="O209" s="53"/>
      <c r="P209" s="56"/>
      <c r="Q209" s="73"/>
      <c r="R209" s="70"/>
      <c r="S209" s="71"/>
      <c r="T209" s="71"/>
      <c r="U209" s="66"/>
      <c r="V209" s="12" t="s">
        <v>224</v>
      </c>
      <c r="W209" s="55" t="s">
        <v>230</v>
      </c>
      <c r="X209" s="14">
        <v>2</v>
      </c>
      <c r="Z209" s="55"/>
    </row>
    <row r="210" spans="1:27" x14ac:dyDescent="0.2">
      <c r="A210" s="53"/>
      <c r="B210" s="54"/>
      <c r="C210" s="72" t="s">
        <v>44</v>
      </c>
      <c r="D210" s="53"/>
      <c r="E210" s="78"/>
      <c r="F210" s="58"/>
      <c r="G210" s="58"/>
      <c r="H210" s="68"/>
      <c r="I210" s="80"/>
      <c r="J210" s="55"/>
      <c r="K210" s="56"/>
      <c r="L210" s="55"/>
      <c r="M210" s="53"/>
      <c r="N210" s="53"/>
      <c r="O210" s="53"/>
      <c r="P210" s="56"/>
      <c r="Q210" s="73"/>
      <c r="R210" s="70"/>
      <c r="S210" s="71"/>
      <c r="T210" s="71"/>
      <c r="U210" s="66"/>
      <c r="V210" s="12" t="s">
        <v>224</v>
      </c>
      <c r="W210" s="55" t="s">
        <v>231</v>
      </c>
      <c r="X210" s="14">
        <v>3</v>
      </c>
      <c r="Z210" s="55"/>
    </row>
    <row r="211" spans="1:27" x14ac:dyDescent="0.2">
      <c r="A211" s="53"/>
      <c r="B211" s="54"/>
      <c r="C211" s="72" t="s">
        <v>44</v>
      </c>
      <c r="D211" s="53"/>
      <c r="E211" s="78"/>
      <c r="F211" s="58"/>
      <c r="G211" s="58"/>
      <c r="H211" s="68"/>
      <c r="I211" s="80"/>
      <c r="J211" s="55"/>
      <c r="K211" s="56"/>
      <c r="L211" s="55"/>
      <c r="M211" s="53"/>
      <c r="N211" s="53"/>
      <c r="O211" s="53"/>
      <c r="P211" s="56"/>
      <c r="Q211" s="73"/>
      <c r="R211" s="70"/>
      <c r="S211" s="71"/>
      <c r="T211" s="71"/>
      <c r="U211" s="66"/>
      <c r="V211" s="12" t="s">
        <v>224</v>
      </c>
      <c r="W211" s="55" t="s">
        <v>232</v>
      </c>
      <c r="X211" s="14">
        <v>4</v>
      </c>
      <c r="Z211" s="55"/>
    </row>
    <row r="212" spans="1:27" x14ac:dyDescent="0.2">
      <c r="A212" s="53"/>
      <c r="B212" s="54"/>
      <c r="C212" s="72" t="s">
        <v>44</v>
      </c>
      <c r="D212" s="53"/>
      <c r="E212" s="78"/>
      <c r="F212" s="58"/>
      <c r="G212" s="58"/>
      <c r="H212" s="68"/>
      <c r="I212" s="80"/>
      <c r="J212" s="55"/>
      <c r="K212" s="56"/>
      <c r="L212" s="55"/>
      <c r="M212" s="53"/>
      <c r="N212" s="53"/>
      <c r="O212" s="53"/>
      <c r="P212" s="56"/>
      <c r="Q212" s="73"/>
      <c r="R212" s="70"/>
      <c r="S212" s="71"/>
      <c r="T212" s="71"/>
      <c r="U212" s="66"/>
      <c r="V212" s="12" t="s">
        <v>224</v>
      </c>
      <c r="W212" s="55" t="s">
        <v>233</v>
      </c>
      <c r="X212" s="14">
        <v>5</v>
      </c>
      <c r="Z212" s="55"/>
    </row>
    <row r="213" spans="1:27" x14ac:dyDescent="0.2">
      <c r="A213" s="53"/>
      <c r="B213" s="54"/>
      <c r="C213" s="72" t="s">
        <v>44</v>
      </c>
      <c r="D213" s="53"/>
      <c r="E213" s="78"/>
      <c r="F213" s="58"/>
      <c r="G213" s="58"/>
      <c r="H213" s="68"/>
      <c r="I213" s="80"/>
      <c r="J213" s="55"/>
      <c r="K213" s="56"/>
      <c r="L213" s="55"/>
      <c r="M213" s="53"/>
      <c r="N213" s="53"/>
      <c r="O213" s="53"/>
      <c r="P213" s="56"/>
      <c r="Q213" s="73"/>
      <c r="R213" s="70"/>
      <c r="S213" s="71"/>
      <c r="T213" s="71"/>
      <c r="U213" s="66"/>
      <c r="V213" s="12" t="s">
        <v>224</v>
      </c>
      <c r="W213" s="55" t="s">
        <v>234</v>
      </c>
      <c r="X213" s="14">
        <v>6</v>
      </c>
      <c r="Z213" s="55"/>
    </row>
    <row r="214" spans="1:27" x14ac:dyDescent="0.2">
      <c r="A214" s="53"/>
      <c r="B214" s="54"/>
      <c r="C214" s="72" t="s">
        <v>44</v>
      </c>
      <c r="D214" s="53"/>
      <c r="E214" s="78"/>
      <c r="F214" s="58"/>
      <c r="G214" s="58"/>
      <c r="H214" s="68"/>
      <c r="I214" s="80"/>
      <c r="J214" s="55"/>
      <c r="K214" s="56"/>
      <c r="L214" s="55"/>
      <c r="M214" s="53"/>
      <c r="N214" s="53"/>
      <c r="O214" s="53"/>
      <c r="P214" s="56"/>
      <c r="Q214" s="73"/>
      <c r="R214" s="70"/>
      <c r="S214" s="71"/>
      <c r="T214" s="71"/>
      <c r="U214" s="66"/>
      <c r="V214" s="12" t="s">
        <v>224</v>
      </c>
      <c r="W214" s="55" t="s">
        <v>235</v>
      </c>
      <c r="X214" s="14">
        <v>7</v>
      </c>
      <c r="Z214" s="55"/>
    </row>
    <row r="215" spans="1:27" x14ac:dyDescent="0.2">
      <c r="A215" s="53"/>
      <c r="B215" s="54"/>
      <c r="C215" s="72" t="s">
        <v>44</v>
      </c>
      <c r="D215" s="53"/>
      <c r="E215" s="78"/>
      <c r="F215" s="58"/>
      <c r="G215" s="58"/>
      <c r="H215" s="68"/>
      <c r="I215" s="80"/>
      <c r="J215" s="55"/>
      <c r="K215" s="56"/>
      <c r="L215" s="55"/>
      <c r="M215" s="53"/>
      <c r="N215" s="53"/>
      <c r="O215" s="53"/>
      <c r="P215" s="56"/>
      <c r="Q215" s="73"/>
      <c r="R215" s="70"/>
      <c r="S215" s="71"/>
      <c r="T215" s="71"/>
      <c r="U215" s="66"/>
      <c r="V215" s="12" t="s">
        <v>224</v>
      </c>
      <c r="W215" s="55" t="s">
        <v>236</v>
      </c>
      <c r="X215" s="14">
        <v>8</v>
      </c>
      <c r="Z215" s="55"/>
    </row>
    <row r="216" spans="1:27" x14ac:dyDescent="0.2">
      <c r="A216" s="53">
        <v>281</v>
      </c>
      <c r="B216" s="54"/>
      <c r="C216" s="61" t="s">
        <v>237</v>
      </c>
      <c r="D216" s="53" t="s">
        <v>42</v>
      </c>
      <c r="E216" s="78" t="s">
        <v>130</v>
      </c>
      <c r="F216" s="58">
        <v>0</v>
      </c>
      <c r="G216" s="58">
        <v>24510</v>
      </c>
      <c r="H216" s="68">
        <v>0</v>
      </c>
      <c r="I216" s="80">
        <v>1</v>
      </c>
      <c r="J216" s="55" t="s">
        <v>172</v>
      </c>
      <c r="K216" s="56"/>
      <c r="L216" s="55" t="s">
        <v>238</v>
      </c>
      <c r="M216" s="53">
        <f>$D$5</f>
        <v>24</v>
      </c>
      <c r="N216" s="53">
        <f>$D$4</f>
        <v>5</v>
      </c>
      <c r="O216" s="53">
        <f>IF(A216&lt;&gt;"",M216*2^9+A216,"")</f>
        <v>12569</v>
      </c>
      <c r="P216" s="56" t="str">
        <f>IF(A216&lt;&gt;"","0x" &amp;DEC2HEX( O216,4),"")</f>
        <v>0x3119</v>
      </c>
      <c r="Q216" s="73"/>
      <c r="R216" s="70"/>
      <c r="S216" s="71"/>
      <c r="T216" s="71"/>
      <c r="U216" s="66"/>
      <c r="W216" s="55"/>
      <c r="Y216" t="s">
        <v>237</v>
      </c>
      <c r="Z216" s="55" t="s">
        <v>239</v>
      </c>
      <c r="AA216">
        <v>0</v>
      </c>
    </row>
    <row r="217" spans="1:27" x14ac:dyDescent="0.2">
      <c r="A217" s="53"/>
      <c r="B217" s="54"/>
      <c r="C217" s="72" t="s">
        <v>44</v>
      </c>
      <c r="D217" s="53"/>
      <c r="E217" s="78"/>
      <c r="F217" s="58"/>
      <c r="G217" s="58"/>
      <c r="H217" s="68"/>
      <c r="I217" s="80"/>
      <c r="J217" s="55"/>
      <c r="K217" s="56"/>
      <c r="L217" s="55"/>
      <c r="M217" s="53"/>
      <c r="N217" s="53"/>
      <c r="O217" s="53"/>
      <c r="P217" s="56"/>
      <c r="Q217" s="73"/>
      <c r="R217" s="70"/>
      <c r="S217" s="71"/>
      <c r="T217" s="71"/>
      <c r="U217" s="66"/>
      <c r="W217" s="55"/>
      <c r="Y217" t="s">
        <v>237</v>
      </c>
      <c r="Z217" s="55" t="s">
        <v>240</v>
      </c>
      <c r="AA217">
        <v>1</v>
      </c>
    </row>
    <row r="218" spans="1:27" x14ac:dyDescent="0.2">
      <c r="A218" s="53">
        <v>282</v>
      </c>
      <c r="B218" s="54"/>
      <c r="C218" s="61" t="s">
        <v>241</v>
      </c>
      <c r="D218" s="53" t="s">
        <v>42</v>
      </c>
      <c r="E218" s="78" t="s">
        <v>130</v>
      </c>
      <c r="F218" s="58">
        <v>-90</v>
      </c>
      <c r="G218" s="58">
        <v>90</v>
      </c>
      <c r="H218" s="68">
        <v>0</v>
      </c>
      <c r="I218" s="80">
        <v>0.01</v>
      </c>
      <c r="J218" s="55" t="s">
        <v>131</v>
      </c>
      <c r="K218" s="56"/>
      <c r="L218" s="55" t="s">
        <v>242</v>
      </c>
      <c r="M218" s="53">
        <f>$D$5</f>
        <v>24</v>
      </c>
      <c r="N218" s="53">
        <f>$D$4</f>
        <v>5</v>
      </c>
      <c r="O218" s="53">
        <f>IF(A218&lt;&gt;"",M218*2^9+A218,"")</f>
        <v>12570</v>
      </c>
      <c r="P218" s="56" t="str">
        <f>IF(A218&lt;&gt;"","0x" &amp;DEC2HEX( O218,4),"")</f>
        <v>0x311A</v>
      </c>
      <c r="Q218" s="73"/>
      <c r="R218" s="70"/>
      <c r="S218" s="71"/>
      <c r="T218" s="71"/>
      <c r="U218" s="66"/>
      <c r="W218" s="55"/>
      <c r="Y218" t="s">
        <v>241</v>
      </c>
      <c r="Z218" s="55" t="s">
        <v>239</v>
      </c>
      <c r="AA218">
        <v>0</v>
      </c>
    </row>
    <row r="219" spans="1:27" x14ac:dyDescent="0.2">
      <c r="A219" s="53"/>
      <c r="B219" s="54"/>
      <c r="C219" s="72" t="s">
        <v>44</v>
      </c>
      <c r="D219" s="53"/>
      <c r="E219" s="78"/>
      <c r="F219" s="58"/>
      <c r="G219" s="58"/>
      <c r="H219" s="68"/>
      <c r="I219" s="80"/>
      <c r="J219" s="55"/>
      <c r="K219" s="56"/>
      <c r="L219" s="55"/>
      <c r="M219" s="53"/>
      <c r="N219" s="53"/>
      <c r="O219" s="53"/>
      <c r="P219" s="56"/>
      <c r="Q219" s="73"/>
      <c r="R219" s="70"/>
      <c r="S219" s="71"/>
      <c r="T219" s="71"/>
      <c r="U219" s="66"/>
      <c r="W219" s="55"/>
      <c r="Y219" t="s">
        <v>241</v>
      </c>
      <c r="Z219" s="55" t="s">
        <v>240</v>
      </c>
      <c r="AA219">
        <v>1</v>
      </c>
    </row>
    <row r="220" spans="1:27" x14ac:dyDescent="0.2">
      <c r="A220" s="53">
        <v>283</v>
      </c>
      <c r="B220" s="54"/>
      <c r="C220" s="61" t="s">
        <v>243</v>
      </c>
      <c r="D220" s="53" t="s">
        <v>42</v>
      </c>
      <c r="E220" s="78" t="s">
        <v>130</v>
      </c>
      <c r="F220" s="58">
        <v>-90</v>
      </c>
      <c r="G220" s="58">
        <v>90</v>
      </c>
      <c r="H220" s="68">
        <v>0</v>
      </c>
      <c r="I220" s="80">
        <v>0.01</v>
      </c>
      <c r="J220" s="55" t="s">
        <v>131</v>
      </c>
      <c r="K220" s="56"/>
      <c r="L220" s="55" t="s">
        <v>244</v>
      </c>
      <c r="M220" s="53">
        <f>$D$5</f>
        <v>24</v>
      </c>
      <c r="N220" s="53">
        <f>$D$4</f>
        <v>5</v>
      </c>
      <c r="O220" s="53">
        <f>IF(A220&lt;&gt;"",M220*2^9+A220,"")</f>
        <v>12571</v>
      </c>
      <c r="P220" s="56" t="str">
        <f>IF(A220&lt;&gt;"","0x" &amp;DEC2HEX( O220,4),"")</f>
        <v>0x311B</v>
      </c>
      <c r="Q220" s="73"/>
      <c r="R220" s="70"/>
      <c r="S220" s="71"/>
      <c r="T220" s="71"/>
      <c r="U220" s="66"/>
      <c r="W220" s="55"/>
      <c r="Y220" t="s">
        <v>243</v>
      </c>
      <c r="Z220" s="55" t="s">
        <v>239</v>
      </c>
      <c r="AA220">
        <v>0</v>
      </c>
    </row>
    <row r="221" spans="1:27" x14ac:dyDescent="0.2">
      <c r="A221" s="53"/>
      <c r="B221" s="54"/>
      <c r="C221" s="72" t="s">
        <v>44</v>
      </c>
      <c r="D221" s="53"/>
      <c r="E221" s="78"/>
      <c r="F221" s="58"/>
      <c r="G221" s="58"/>
      <c r="H221" s="68"/>
      <c r="I221" s="80"/>
      <c r="J221" s="55"/>
      <c r="K221" s="56"/>
      <c r="L221" s="55"/>
      <c r="M221" s="53"/>
      <c r="N221" s="53"/>
      <c r="O221" s="53"/>
      <c r="P221" s="56"/>
      <c r="Q221" s="73"/>
      <c r="R221" s="70"/>
      <c r="S221" s="71"/>
      <c r="T221" s="71"/>
      <c r="U221" s="66"/>
      <c r="W221" s="55"/>
      <c r="Y221" t="s">
        <v>243</v>
      </c>
      <c r="Z221" s="55" t="s">
        <v>240</v>
      </c>
      <c r="AA221">
        <v>1</v>
      </c>
    </row>
    <row r="222" spans="1:27" x14ac:dyDescent="0.2">
      <c r="A222" s="53">
        <v>284</v>
      </c>
      <c r="B222" s="54"/>
      <c r="C222" s="61" t="s">
        <v>245</v>
      </c>
      <c r="D222" s="53" t="s">
        <v>42</v>
      </c>
      <c r="E222" s="78" t="s">
        <v>130</v>
      </c>
      <c r="F222" s="58">
        <v>-90</v>
      </c>
      <c r="G222" s="58">
        <v>90</v>
      </c>
      <c r="H222" s="68">
        <v>0</v>
      </c>
      <c r="I222" s="80">
        <v>0.01</v>
      </c>
      <c r="J222" s="55" t="s">
        <v>131</v>
      </c>
      <c r="K222" s="56"/>
      <c r="L222" s="55" t="s">
        <v>246</v>
      </c>
      <c r="M222" s="53">
        <f>$D$5</f>
        <v>24</v>
      </c>
      <c r="N222" s="53">
        <f>$D$4</f>
        <v>5</v>
      </c>
      <c r="O222" s="53">
        <f>IF(A222&lt;&gt;"",M222*2^9+A222,"")</f>
        <v>12572</v>
      </c>
      <c r="P222" s="56" t="str">
        <f>IF(A222&lt;&gt;"","0x" &amp;DEC2HEX( O222,4),"")</f>
        <v>0x311C</v>
      </c>
      <c r="Q222" s="73"/>
      <c r="R222" s="70"/>
      <c r="S222" s="71"/>
      <c r="T222" s="71"/>
      <c r="U222" s="66"/>
      <c r="W222" s="55"/>
      <c r="Y222" t="s">
        <v>245</v>
      </c>
      <c r="Z222" s="55" t="s">
        <v>239</v>
      </c>
      <c r="AA222">
        <v>0</v>
      </c>
    </row>
    <row r="223" spans="1:27" x14ac:dyDescent="0.2">
      <c r="A223" s="53"/>
      <c r="B223" s="54"/>
      <c r="C223" s="72" t="s">
        <v>44</v>
      </c>
      <c r="D223" s="53"/>
      <c r="E223" s="56"/>
      <c r="F223" s="58"/>
      <c r="G223" s="58"/>
      <c r="H223" s="68"/>
      <c r="I223" s="80"/>
      <c r="J223" s="55"/>
      <c r="K223" s="56"/>
      <c r="L223" s="55"/>
      <c r="M223" s="53"/>
      <c r="N223" s="53"/>
      <c r="O223" s="53"/>
      <c r="P223" s="56"/>
      <c r="Q223" s="73"/>
      <c r="R223" s="70"/>
      <c r="S223" s="71"/>
      <c r="T223" s="71"/>
      <c r="U223" s="66"/>
      <c r="W223" s="55"/>
      <c r="Y223" t="s">
        <v>245</v>
      </c>
      <c r="Z223" s="55" t="s">
        <v>240</v>
      </c>
      <c r="AA223">
        <v>1</v>
      </c>
    </row>
    <row r="224" spans="1:27" x14ac:dyDescent="0.2">
      <c r="A224" s="53">
        <v>285</v>
      </c>
      <c r="B224" s="54"/>
      <c r="C224" s="61" t="s">
        <v>247</v>
      </c>
      <c r="D224" s="53" t="s">
        <v>42</v>
      </c>
      <c r="E224" s="78" t="s">
        <v>130</v>
      </c>
      <c r="F224" s="58">
        <v>-10000</v>
      </c>
      <c r="G224" s="58">
        <v>10000</v>
      </c>
      <c r="H224" s="68">
        <v>0</v>
      </c>
      <c r="I224" s="80">
        <v>1</v>
      </c>
      <c r="J224" s="55" t="s">
        <v>217</v>
      </c>
      <c r="K224" s="56"/>
      <c r="L224" s="55" t="s">
        <v>248</v>
      </c>
      <c r="M224" s="53">
        <f>$D$5</f>
        <v>24</v>
      </c>
      <c r="N224" s="53">
        <f>$D$4</f>
        <v>5</v>
      </c>
      <c r="O224" s="53">
        <f>IF(A224&lt;&gt;"",M224*2^9+A224,"")</f>
        <v>12573</v>
      </c>
      <c r="P224" s="56" t="str">
        <f>IF(A224&lt;&gt;"","0x" &amp;DEC2HEX( O224,4),"")</f>
        <v>0x311D</v>
      </c>
      <c r="Q224" s="73"/>
      <c r="R224" s="70"/>
      <c r="S224" s="71"/>
      <c r="T224" s="71"/>
      <c r="U224" s="66"/>
      <c r="W224" s="55"/>
      <c r="Y224" t="s">
        <v>247</v>
      </c>
      <c r="Z224" s="55" t="s">
        <v>249</v>
      </c>
      <c r="AA224">
        <v>0</v>
      </c>
    </row>
    <row r="225" spans="1:27" x14ac:dyDescent="0.2">
      <c r="A225" s="53"/>
      <c r="B225" s="54"/>
      <c r="C225" s="72" t="s">
        <v>44</v>
      </c>
      <c r="D225" s="53"/>
      <c r="E225" s="78"/>
      <c r="F225" s="58"/>
      <c r="G225" s="58"/>
      <c r="H225" s="68"/>
      <c r="I225" s="80"/>
      <c r="J225" s="55"/>
      <c r="K225" s="56"/>
      <c r="L225" s="55"/>
      <c r="M225" s="53"/>
      <c r="N225" s="53"/>
      <c r="O225" s="53"/>
      <c r="P225" s="56"/>
      <c r="Q225" s="73"/>
      <c r="R225" s="70"/>
      <c r="S225" s="71"/>
      <c r="T225" s="71"/>
      <c r="U225" s="66"/>
      <c r="W225" s="55"/>
      <c r="Y225" t="s">
        <v>247</v>
      </c>
      <c r="Z225" s="55" t="s">
        <v>134</v>
      </c>
      <c r="AA225">
        <v>1</v>
      </c>
    </row>
    <row r="226" spans="1:27" x14ac:dyDescent="0.2">
      <c r="A226" s="53">
        <v>286</v>
      </c>
      <c r="B226" s="54"/>
      <c r="C226" s="61" t="s">
        <v>250</v>
      </c>
      <c r="D226" s="53" t="s">
        <v>42</v>
      </c>
      <c r="E226" s="78" t="s">
        <v>130</v>
      </c>
      <c r="F226" s="58">
        <v>-10000</v>
      </c>
      <c r="G226" s="58">
        <v>10000</v>
      </c>
      <c r="H226" s="68">
        <v>0</v>
      </c>
      <c r="I226" s="80">
        <v>1</v>
      </c>
      <c r="J226" s="55" t="s">
        <v>217</v>
      </c>
      <c r="K226" s="56"/>
      <c r="L226" s="55" t="s">
        <v>251</v>
      </c>
      <c r="M226" s="53">
        <f>$D$5</f>
        <v>24</v>
      </c>
      <c r="N226" s="53">
        <f>$D$4</f>
        <v>5</v>
      </c>
      <c r="O226" s="53">
        <f>IF(A226&lt;&gt;"",M226*2^9+A226,"")</f>
        <v>12574</v>
      </c>
      <c r="P226" s="56" t="str">
        <f>IF(A226&lt;&gt;"","0x" &amp;DEC2HEX( O226,4),"")</f>
        <v>0x311E</v>
      </c>
      <c r="Q226" s="73"/>
      <c r="R226" s="70"/>
      <c r="S226" s="71"/>
      <c r="T226" s="71"/>
      <c r="U226" s="66"/>
      <c r="W226" s="55"/>
      <c r="Y226" t="s">
        <v>250</v>
      </c>
      <c r="Z226" s="55" t="s">
        <v>249</v>
      </c>
      <c r="AA226">
        <v>0</v>
      </c>
    </row>
    <row r="227" spans="1:27" x14ac:dyDescent="0.2">
      <c r="A227" s="53"/>
      <c r="B227" s="54"/>
      <c r="C227" s="72" t="s">
        <v>44</v>
      </c>
      <c r="D227" s="53"/>
      <c r="E227" s="78"/>
      <c r="F227" s="58"/>
      <c r="G227" s="58"/>
      <c r="H227" s="68"/>
      <c r="I227" s="80"/>
      <c r="J227" s="55"/>
      <c r="K227" s="56"/>
      <c r="L227" s="55"/>
      <c r="M227" s="53"/>
      <c r="N227" s="53"/>
      <c r="O227" s="53"/>
      <c r="P227" s="56"/>
      <c r="Q227" s="73"/>
      <c r="R227" s="70"/>
      <c r="S227" s="71"/>
      <c r="T227" s="71"/>
      <c r="U227" s="66"/>
      <c r="W227" s="55"/>
      <c r="Y227" t="s">
        <v>250</v>
      </c>
      <c r="Z227" s="55" t="s">
        <v>134</v>
      </c>
      <c r="AA227">
        <v>1</v>
      </c>
    </row>
    <row r="228" spans="1:27" x14ac:dyDescent="0.2">
      <c r="A228" s="53">
        <v>287</v>
      </c>
      <c r="B228" s="54"/>
      <c r="C228" s="61" t="s">
        <v>252</v>
      </c>
      <c r="D228" s="53" t="s">
        <v>42</v>
      </c>
      <c r="E228" s="56" t="s">
        <v>39</v>
      </c>
      <c r="F228" s="58">
        <v>0</v>
      </c>
      <c r="G228" s="58">
        <v>1</v>
      </c>
      <c r="H228" s="68">
        <v>0</v>
      </c>
      <c r="I228" s="80">
        <v>1</v>
      </c>
      <c r="J228" s="55"/>
      <c r="K228" s="56"/>
      <c r="L228" s="55" t="s">
        <v>253</v>
      </c>
      <c r="M228" s="53">
        <f>$D$5</f>
        <v>24</v>
      </c>
      <c r="N228" s="53">
        <f>$D$4</f>
        <v>5</v>
      </c>
      <c r="O228" s="53">
        <f>IF(A228&lt;&gt;"",M228*2^9+A228,"")</f>
        <v>12575</v>
      </c>
      <c r="P228" s="56" t="str">
        <f>IF(A228&lt;&gt;"","0x" &amp;DEC2HEX( O228,4),"")</f>
        <v>0x311F</v>
      </c>
      <c r="Q228" s="73"/>
      <c r="R228" s="70"/>
      <c r="S228" s="71"/>
      <c r="T228" s="71"/>
      <c r="U228" s="66"/>
      <c r="V228" s="12" t="s">
        <v>252</v>
      </c>
      <c r="W228" s="55" t="s">
        <v>249</v>
      </c>
      <c r="X228" s="14">
        <v>0</v>
      </c>
      <c r="Z228" s="55"/>
    </row>
    <row r="229" spans="1:27" x14ac:dyDescent="0.2">
      <c r="A229" s="53"/>
      <c r="B229" s="54"/>
      <c r="C229" s="72" t="s">
        <v>44</v>
      </c>
      <c r="D229" s="53"/>
      <c r="E229" s="56"/>
      <c r="F229" s="58"/>
      <c r="G229" s="58"/>
      <c r="H229" s="68"/>
      <c r="I229" s="80"/>
      <c r="J229" s="55"/>
      <c r="K229" s="56"/>
      <c r="L229" s="55"/>
      <c r="M229" s="53"/>
      <c r="N229" s="53"/>
      <c r="O229" s="53"/>
      <c r="P229" s="56"/>
      <c r="Q229" s="73"/>
      <c r="R229" s="70"/>
      <c r="S229" s="71"/>
      <c r="T229" s="71"/>
      <c r="U229" s="66"/>
      <c r="V229" s="12" t="s">
        <v>252</v>
      </c>
      <c r="W229" s="55" t="s">
        <v>134</v>
      </c>
      <c r="X229" s="14">
        <v>1</v>
      </c>
      <c r="Z229" s="55"/>
    </row>
    <row r="230" spans="1:27" x14ac:dyDescent="0.2">
      <c r="A230" s="53">
        <v>288</v>
      </c>
      <c r="B230" s="54"/>
      <c r="C230" s="61" t="s">
        <v>254</v>
      </c>
      <c r="D230" s="53" t="s">
        <v>42</v>
      </c>
      <c r="E230" s="78" t="s">
        <v>130</v>
      </c>
      <c r="F230" s="58">
        <v>0</v>
      </c>
      <c r="G230" s="58">
        <v>150</v>
      </c>
      <c r="H230" s="68">
        <v>0</v>
      </c>
      <c r="I230" s="80">
        <v>1</v>
      </c>
      <c r="J230" s="55" t="s">
        <v>186</v>
      </c>
      <c r="K230" s="56"/>
      <c r="L230" s="55" t="s">
        <v>255</v>
      </c>
      <c r="M230" s="53">
        <f>$D$5</f>
        <v>24</v>
      </c>
      <c r="N230" s="53">
        <f>$D$4</f>
        <v>5</v>
      </c>
      <c r="O230" s="53">
        <f>IF(A230&lt;&gt;"",M230*2^9+A230,"")</f>
        <v>12576</v>
      </c>
      <c r="P230" s="56" t="str">
        <f>IF(A230&lt;&gt;"","0x" &amp;DEC2HEX( O230,4),"")</f>
        <v>0x3120</v>
      </c>
      <c r="Q230" s="73"/>
      <c r="R230" s="70"/>
      <c r="S230" s="71"/>
      <c r="T230" s="71"/>
      <c r="U230" s="66"/>
      <c r="W230" s="55"/>
      <c r="Y230" t="s">
        <v>254</v>
      </c>
      <c r="Z230" s="55" t="s">
        <v>256</v>
      </c>
      <c r="AA230">
        <v>0</v>
      </c>
    </row>
    <row r="231" spans="1:27" x14ac:dyDescent="0.2">
      <c r="A231" s="53"/>
      <c r="B231" s="54"/>
      <c r="C231" s="72" t="s">
        <v>44</v>
      </c>
      <c r="D231" s="53"/>
      <c r="E231" s="56"/>
      <c r="F231" s="58"/>
      <c r="G231" s="58"/>
      <c r="H231" s="68"/>
      <c r="I231" s="80"/>
      <c r="J231" s="55"/>
      <c r="K231" s="56"/>
      <c r="L231" s="55"/>
      <c r="M231" s="53"/>
      <c r="N231" s="53"/>
      <c r="O231" s="53"/>
      <c r="P231" s="56"/>
      <c r="Q231" s="73"/>
      <c r="R231" s="70"/>
      <c r="S231" s="71"/>
      <c r="T231" s="71"/>
      <c r="U231" s="66"/>
      <c r="W231" s="55"/>
      <c r="Y231" t="s">
        <v>254</v>
      </c>
      <c r="Z231" s="55" t="s">
        <v>257</v>
      </c>
      <c r="AA231">
        <v>1</v>
      </c>
    </row>
    <row r="232" spans="1:27" x14ac:dyDescent="0.2">
      <c r="A232" s="53"/>
      <c r="B232" s="54"/>
      <c r="C232" s="81"/>
      <c r="D232" s="53"/>
      <c r="E232" s="56"/>
      <c r="F232" s="58"/>
      <c r="G232" s="58"/>
      <c r="H232" s="68"/>
      <c r="I232" s="80"/>
      <c r="J232" s="55"/>
      <c r="K232" s="56"/>
      <c r="L232" s="55"/>
      <c r="M232" s="53"/>
      <c r="N232" s="53"/>
      <c r="O232" s="53"/>
      <c r="P232" s="56"/>
      <c r="Q232" s="73"/>
      <c r="R232" s="70"/>
      <c r="S232" s="71"/>
      <c r="T232" s="71"/>
      <c r="U232" s="66"/>
      <c r="W232" s="55"/>
      <c r="Z232" s="55"/>
    </row>
    <row r="233" spans="1:27" x14ac:dyDescent="0.2">
      <c r="A233" s="53"/>
      <c r="B233" s="54"/>
      <c r="C233" s="81"/>
      <c r="D233" s="53"/>
      <c r="E233" s="56"/>
      <c r="F233" s="58"/>
      <c r="G233" s="58"/>
      <c r="H233" s="68"/>
      <c r="I233" s="80"/>
      <c r="J233" s="55"/>
      <c r="K233" s="56"/>
      <c r="L233" s="55"/>
      <c r="M233" s="53"/>
      <c r="N233" s="53"/>
      <c r="O233" s="53"/>
      <c r="P233" s="56"/>
      <c r="Q233" s="73"/>
      <c r="R233" s="70"/>
      <c r="S233" s="71"/>
      <c r="T233" s="71"/>
      <c r="U233" s="66"/>
      <c r="W233" s="55"/>
      <c r="Z233" s="55"/>
    </row>
    <row r="234" spans="1:27" x14ac:dyDescent="0.2">
      <c r="A234" s="53"/>
      <c r="B234" s="54"/>
      <c r="C234" s="81"/>
      <c r="D234" s="53"/>
      <c r="E234" s="56"/>
      <c r="F234" s="58"/>
      <c r="G234" s="58"/>
      <c r="H234" s="68"/>
      <c r="I234" s="80"/>
      <c r="J234" s="55"/>
      <c r="K234" s="56"/>
      <c r="L234" s="55"/>
      <c r="M234" s="53"/>
      <c r="N234" s="53"/>
      <c r="O234" s="53"/>
      <c r="P234" s="56"/>
      <c r="Q234" s="73"/>
      <c r="R234" s="70"/>
      <c r="S234" s="71"/>
      <c r="T234" s="71"/>
      <c r="U234" s="66"/>
      <c r="W234" s="55"/>
      <c r="Z234" s="55"/>
    </row>
    <row r="235" spans="1:27" x14ac:dyDescent="0.2">
      <c r="A235" s="53">
        <v>310</v>
      </c>
      <c r="B235" s="54"/>
      <c r="C235" s="61" t="s">
        <v>258</v>
      </c>
      <c r="D235" s="53" t="s">
        <v>42</v>
      </c>
      <c r="E235" s="56" t="s">
        <v>39</v>
      </c>
      <c r="F235" s="58">
        <v>0</v>
      </c>
      <c r="G235" s="58">
        <v>1</v>
      </c>
      <c r="H235" s="68">
        <v>0</v>
      </c>
      <c r="I235" s="80">
        <v>1</v>
      </c>
      <c r="J235" s="55"/>
      <c r="K235" s="56"/>
      <c r="L235" s="55" t="s">
        <v>259</v>
      </c>
      <c r="M235" s="53">
        <f>$D$5</f>
        <v>24</v>
      </c>
      <c r="N235" s="53">
        <f>$D$4</f>
        <v>5</v>
      </c>
      <c r="O235" s="53">
        <f>IF(A235&lt;&gt;"",M235*2^9+A235,"")</f>
        <v>12598</v>
      </c>
      <c r="P235" s="56" t="str">
        <f>IF(A235&lt;&gt;"","0x" &amp;DEC2HEX( O235,4),"")</f>
        <v>0x3136</v>
      </c>
      <c r="Q235" s="73"/>
      <c r="R235" s="70"/>
      <c r="S235" s="71"/>
      <c r="T235" s="71"/>
      <c r="U235" s="66"/>
      <c r="V235" s="12" t="s">
        <v>258</v>
      </c>
      <c r="W235" s="55" t="s">
        <v>260</v>
      </c>
      <c r="X235" s="14">
        <v>0</v>
      </c>
      <c r="Z235" s="55"/>
      <c r="AA235">
        <v>0</v>
      </c>
    </row>
    <row r="236" spans="1:27" x14ac:dyDescent="0.2">
      <c r="A236" s="53"/>
      <c r="B236" s="54"/>
      <c r="C236" s="72" t="s">
        <v>44</v>
      </c>
      <c r="D236" s="53"/>
      <c r="E236" s="56"/>
      <c r="F236" s="58"/>
      <c r="G236" s="58"/>
      <c r="H236" s="68"/>
      <c r="I236" s="80"/>
      <c r="J236" s="55"/>
      <c r="K236" s="56"/>
      <c r="L236" s="55"/>
      <c r="M236" s="53"/>
      <c r="N236" s="53"/>
      <c r="O236" s="53"/>
      <c r="P236" s="56"/>
      <c r="Q236" s="73"/>
      <c r="R236" s="70"/>
      <c r="S236" s="71"/>
      <c r="T236" s="71"/>
      <c r="U236" s="66"/>
      <c r="V236" s="12" t="s">
        <v>258</v>
      </c>
      <c r="W236" s="55" t="s">
        <v>261</v>
      </c>
      <c r="X236" s="14">
        <v>1</v>
      </c>
      <c r="Z236" s="55"/>
      <c r="AA236">
        <v>1</v>
      </c>
    </row>
    <row r="237" spans="1:27" x14ac:dyDescent="0.2">
      <c r="A237" s="53">
        <v>311</v>
      </c>
      <c r="B237" s="54"/>
      <c r="C237" s="61" t="s">
        <v>262</v>
      </c>
      <c r="D237" s="53" t="s">
        <v>42</v>
      </c>
      <c r="E237" s="78" t="s">
        <v>130</v>
      </c>
      <c r="F237" s="58">
        <v>0</v>
      </c>
      <c r="G237" s="58">
        <v>65535</v>
      </c>
      <c r="H237" s="68">
        <v>0</v>
      </c>
      <c r="I237" s="80">
        <v>0.01</v>
      </c>
      <c r="J237" s="55" t="s">
        <v>263</v>
      </c>
      <c r="K237" s="56"/>
      <c r="L237" s="55" t="s">
        <v>264</v>
      </c>
      <c r="M237" s="53">
        <f>$D$5</f>
        <v>24</v>
      </c>
      <c r="N237" s="53">
        <f>$D$4</f>
        <v>5</v>
      </c>
      <c r="O237" s="53">
        <f>IF(A237&lt;&gt;"",M237*2^9+A237,"")</f>
        <v>12599</v>
      </c>
      <c r="P237" s="56" t="str">
        <f>IF(A237&lt;&gt;"","0x" &amp;DEC2HEX( O237,4),"")</f>
        <v>0x3137</v>
      </c>
      <c r="Q237" s="73"/>
      <c r="R237" s="70"/>
      <c r="S237" s="71"/>
      <c r="T237" s="71"/>
      <c r="U237" s="66"/>
      <c r="W237" s="55"/>
      <c r="Y237" t="s">
        <v>262</v>
      </c>
      <c r="Z237" s="55" t="s">
        <v>265</v>
      </c>
      <c r="AA237">
        <v>0</v>
      </c>
    </row>
    <row r="238" spans="1:27" x14ac:dyDescent="0.2">
      <c r="A238" s="53"/>
      <c r="B238" s="54"/>
      <c r="C238" s="72" t="s">
        <v>44</v>
      </c>
      <c r="D238" s="53"/>
      <c r="E238" s="56"/>
      <c r="F238" s="58"/>
      <c r="G238" s="58"/>
      <c r="H238" s="68"/>
      <c r="I238" s="80"/>
      <c r="J238" s="55"/>
      <c r="K238" s="56"/>
      <c r="L238" s="55"/>
      <c r="M238" s="53"/>
      <c r="N238" s="53"/>
      <c r="O238" s="53"/>
      <c r="P238" s="56"/>
      <c r="Q238" s="73"/>
      <c r="R238" s="70"/>
      <c r="S238" s="71"/>
      <c r="T238" s="71"/>
      <c r="U238" s="66"/>
      <c r="W238" s="55"/>
      <c r="Y238" t="s">
        <v>262</v>
      </c>
      <c r="Z238" s="55" t="s">
        <v>266</v>
      </c>
      <c r="AA238">
        <v>1</v>
      </c>
    </row>
    <row r="239" spans="1:27" x14ac:dyDescent="0.2">
      <c r="A239" s="53">
        <v>312</v>
      </c>
      <c r="B239" s="54"/>
      <c r="C239" s="61" t="s">
        <v>267</v>
      </c>
      <c r="D239" s="53" t="s">
        <v>42</v>
      </c>
      <c r="E239" s="78" t="s">
        <v>130</v>
      </c>
      <c r="F239" s="58">
        <v>0</v>
      </c>
      <c r="G239" s="58">
        <v>10000</v>
      </c>
      <c r="H239" s="68">
        <v>0</v>
      </c>
      <c r="I239" s="80">
        <v>1</v>
      </c>
      <c r="J239" s="55" t="s">
        <v>217</v>
      </c>
      <c r="K239" s="56"/>
      <c r="L239" s="55" t="s">
        <v>268</v>
      </c>
      <c r="M239" s="53">
        <f>$D$5</f>
        <v>24</v>
      </c>
      <c r="N239" s="53">
        <f>$D$4</f>
        <v>5</v>
      </c>
      <c r="O239" s="53">
        <f>IF(A239&lt;&gt;"",M239*2^9+A239,"")</f>
        <v>12600</v>
      </c>
      <c r="P239" s="56" t="str">
        <f>IF(A239&lt;&gt;"","0x" &amp;DEC2HEX( O239,4),"")</f>
        <v>0x3138</v>
      </c>
      <c r="Q239" s="73"/>
      <c r="R239" s="70"/>
      <c r="S239" s="71"/>
      <c r="T239" s="71"/>
      <c r="U239" s="66"/>
      <c r="W239" s="55"/>
      <c r="Y239" t="s">
        <v>267</v>
      </c>
      <c r="Z239" s="55" t="s">
        <v>269</v>
      </c>
      <c r="AA239">
        <v>0</v>
      </c>
    </row>
    <row r="240" spans="1:27" x14ac:dyDescent="0.2">
      <c r="A240" s="53"/>
      <c r="B240" s="54"/>
      <c r="C240" s="72" t="s">
        <v>44</v>
      </c>
      <c r="D240" s="53"/>
      <c r="E240" s="78"/>
      <c r="F240" s="58"/>
      <c r="G240" s="58"/>
      <c r="H240" s="68"/>
      <c r="I240" s="80"/>
      <c r="J240" s="55"/>
      <c r="K240" s="56"/>
      <c r="L240" s="55"/>
      <c r="M240" s="53"/>
      <c r="N240" s="53"/>
      <c r="O240" s="53"/>
      <c r="P240" s="56"/>
      <c r="Q240" s="73"/>
      <c r="R240" s="70"/>
      <c r="S240" s="71"/>
      <c r="T240" s="71"/>
      <c r="U240" s="66"/>
      <c r="W240" s="55"/>
      <c r="Y240" t="s">
        <v>267</v>
      </c>
      <c r="Z240" s="55" t="s">
        <v>270</v>
      </c>
      <c r="AA240">
        <v>1</v>
      </c>
    </row>
    <row r="241" spans="1:26" x14ac:dyDescent="0.2">
      <c r="A241" s="53">
        <v>313</v>
      </c>
      <c r="B241" s="54"/>
      <c r="C241" s="61" t="s">
        <v>271</v>
      </c>
      <c r="D241" s="53" t="s">
        <v>42</v>
      </c>
      <c r="E241" s="78" t="s">
        <v>130</v>
      </c>
      <c r="F241" s="58">
        <v>0</v>
      </c>
      <c r="G241" s="58">
        <v>65535</v>
      </c>
      <c r="H241" s="68">
        <v>0</v>
      </c>
      <c r="I241" s="80">
        <v>1</v>
      </c>
      <c r="J241" s="55"/>
      <c r="K241" s="56"/>
      <c r="L241" s="55" t="s">
        <v>272</v>
      </c>
      <c r="M241" s="53">
        <f>$D$5</f>
        <v>24</v>
      </c>
      <c r="N241" s="53">
        <f>$D$4</f>
        <v>5</v>
      </c>
      <c r="O241" s="53">
        <f>IF(A241&lt;&gt;"",M241*2^9+A241,"")</f>
        <v>12601</v>
      </c>
      <c r="P241" s="56" t="str">
        <f>IF(A241&lt;&gt;"","0x" &amp;DEC2HEX( O241,4),"")</f>
        <v>0x3139</v>
      </c>
      <c r="Q241" s="73"/>
      <c r="R241" s="70"/>
      <c r="S241" s="71"/>
      <c r="T241" s="71"/>
      <c r="U241" s="66"/>
      <c r="W241" s="55"/>
      <c r="Y241" t="s">
        <v>271</v>
      </c>
      <c r="Z241" s="55" t="s">
        <v>249</v>
      </c>
    </row>
    <row r="242" spans="1:26" x14ac:dyDescent="0.2">
      <c r="A242" s="53"/>
      <c r="B242" s="54"/>
      <c r="C242" s="72" t="s">
        <v>44</v>
      </c>
      <c r="D242" s="53"/>
      <c r="E242" s="78"/>
      <c r="F242" s="58"/>
      <c r="G242" s="58"/>
      <c r="H242" s="68"/>
      <c r="I242" s="80"/>
      <c r="J242" s="55"/>
      <c r="K242" s="56"/>
      <c r="L242" s="55"/>
      <c r="M242" s="53"/>
      <c r="N242" s="53"/>
      <c r="O242" s="53"/>
      <c r="P242" s="56"/>
      <c r="Q242" s="73"/>
      <c r="R242" s="70"/>
      <c r="S242" s="71"/>
      <c r="T242" s="71"/>
      <c r="U242" s="66"/>
      <c r="W242" s="55"/>
      <c r="Y242" t="s">
        <v>271</v>
      </c>
      <c r="Z242" s="55" t="s">
        <v>134</v>
      </c>
    </row>
    <row r="243" spans="1:26" x14ac:dyDescent="0.2">
      <c r="A243" s="53"/>
      <c r="B243" s="54"/>
      <c r="C243" s="81"/>
      <c r="D243" s="53"/>
      <c r="E243" s="78"/>
      <c r="F243" s="58"/>
      <c r="G243" s="58"/>
      <c r="H243" s="68"/>
      <c r="I243" s="80"/>
      <c r="J243" s="55"/>
      <c r="K243" s="56"/>
      <c r="L243" s="55"/>
      <c r="M243" s="53"/>
      <c r="N243" s="53"/>
      <c r="O243" s="53"/>
      <c r="P243" s="56"/>
      <c r="Q243" s="73"/>
      <c r="R243" s="70"/>
      <c r="S243" s="71"/>
      <c r="T243" s="71"/>
      <c r="U243" s="66"/>
      <c r="W243" s="55"/>
      <c r="Z243" s="55"/>
    </row>
    <row r="244" spans="1:26" x14ac:dyDescent="0.2">
      <c r="A244" s="53"/>
      <c r="B244" s="54"/>
      <c r="C244" s="81"/>
      <c r="D244" s="53"/>
      <c r="E244" s="78"/>
      <c r="F244" s="58"/>
      <c r="G244" s="58"/>
      <c r="H244" s="68"/>
      <c r="I244" s="80"/>
      <c r="J244" s="55"/>
      <c r="K244" s="56"/>
      <c r="L244" s="55"/>
      <c r="M244" s="53"/>
      <c r="N244" s="53"/>
      <c r="O244" s="53"/>
      <c r="P244" s="56"/>
      <c r="Q244" s="73"/>
      <c r="R244" s="70"/>
      <c r="S244" s="71"/>
      <c r="T244" s="71"/>
      <c r="U244" s="66"/>
      <c r="W244" s="55"/>
      <c r="Z244" s="55"/>
    </row>
    <row r="245" spans="1:26" x14ac:dyDescent="0.2">
      <c r="A245" s="53"/>
      <c r="B245" s="54"/>
      <c r="C245" s="81"/>
      <c r="D245" s="53"/>
      <c r="E245" s="78"/>
      <c r="F245" s="58"/>
      <c r="G245" s="58"/>
      <c r="H245" s="68"/>
      <c r="I245" s="80"/>
      <c r="J245" s="55"/>
      <c r="K245" s="56"/>
      <c r="L245" s="55"/>
      <c r="M245" s="53"/>
      <c r="N245" s="53"/>
      <c r="O245" s="53"/>
      <c r="P245" s="56"/>
      <c r="Q245" s="73"/>
      <c r="R245" s="70"/>
      <c r="S245" s="71"/>
      <c r="T245" s="71"/>
      <c r="U245" s="66"/>
      <c r="W245" s="55"/>
      <c r="Z245" s="55"/>
    </row>
    <row r="246" spans="1:26" x14ac:dyDescent="0.2">
      <c r="A246" s="53">
        <v>320</v>
      </c>
      <c r="B246" s="54"/>
      <c r="C246" s="61" t="s">
        <v>273</v>
      </c>
      <c r="D246" s="53" t="s">
        <v>38</v>
      </c>
      <c r="E246" s="56" t="s">
        <v>39</v>
      </c>
      <c r="F246" s="58">
        <v>0</v>
      </c>
      <c r="G246" s="58">
        <v>3</v>
      </c>
      <c r="H246" s="68">
        <v>0</v>
      </c>
      <c r="I246" s="80">
        <v>1</v>
      </c>
      <c r="J246" s="55"/>
      <c r="K246" s="56"/>
      <c r="L246" s="55" t="s">
        <v>274</v>
      </c>
      <c r="M246" s="53">
        <f>$D$5</f>
        <v>24</v>
      </c>
      <c r="N246" s="53">
        <f>$D$4</f>
        <v>5</v>
      </c>
      <c r="O246" s="53">
        <f>IF(A246&lt;&gt;"",M246*2^9+A246,"")</f>
        <v>12608</v>
      </c>
      <c r="P246" s="56" t="str">
        <f>IF(A246&lt;&gt;"","0x" &amp;DEC2HEX( O246,4),"")</f>
        <v>0x3140</v>
      </c>
      <c r="Q246" s="73"/>
      <c r="R246" s="70"/>
      <c r="S246" s="71"/>
      <c r="T246" s="71"/>
      <c r="U246" s="66"/>
      <c r="V246" s="12" t="s">
        <v>273</v>
      </c>
      <c r="W246" s="55" t="s">
        <v>275</v>
      </c>
      <c r="X246" s="14">
        <v>0</v>
      </c>
      <c r="Z246" s="55"/>
    </row>
    <row r="247" spans="1:26" x14ac:dyDescent="0.2">
      <c r="A247" s="53"/>
      <c r="B247" s="54"/>
      <c r="C247" s="72" t="s">
        <v>44</v>
      </c>
      <c r="D247" s="53"/>
      <c r="E247" s="56"/>
      <c r="F247" s="58"/>
      <c r="G247" s="58"/>
      <c r="H247" s="68"/>
      <c r="I247" s="80"/>
      <c r="J247" s="55"/>
      <c r="K247" s="56"/>
      <c r="L247" s="55"/>
      <c r="M247" s="53"/>
      <c r="N247" s="53"/>
      <c r="O247" s="53"/>
      <c r="P247" s="56"/>
      <c r="Q247" s="73"/>
      <c r="R247" s="70"/>
      <c r="S247" s="71"/>
      <c r="T247" s="71"/>
      <c r="U247" s="66"/>
      <c r="V247" s="12" t="s">
        <v>273</v>
      </c>
      <c r="W247" s="55" t="s">
        <v>276</v>
      </c>
      <c r="X247" s="14">
        <v>1</v>
      </c>
      <c r="Z247" s="55"/>
    </row>
    <row r="248" spans="1:26" x14ac:dyDescent="0.2">
      <c r="A248" s="53"/>
      <c r="B248" s="54"/>
      <c r="C248" s="72" t="s">
        <v>44</v>
      </c>
      <c r="D248" s="53"/>
      <c r="E248" s="56"/>
      <c r="F248" s="58"/>
      <c r="G248" s="58"/>
      <c r="H248" s="68"/>
      <c r="I248" s="80"/>
      <c r="J248" s="55"/>
      <c r="K248" s="56"/>
      <c r="L248" s="55"/>
      <c r="M248" s="53"/>
      <c r="N248" s="53"/>
      <c r="O248" s="53"/>
      <c r="P248" s="56"/>
      <c r="Q248" s="73"/>
      <c r="R248" s="70"/>
      <c r="S248" s="71"/>
      <c r="T248" s="71"/>
      <c r="U248" s="66"/>
      <c r="V248" s="12" t="s">
        <v>273</v>
      </c>
      <c r="W248" s="55" t="s">
        <v>277</v>
      </c>
      <c r="X248" s="14">
        <v>2</v>
      </c>
      <c r="Z248" s="55"/>
    </row>
    <row r="249" spans="1:26" x14ac:dyDescent="0.2">
      <c r="A249" s="53">
        <v>321</v>
      </c>
      <c r="B249" s="54"/>
      <c r="C249" s="61" t="s">
        <v>278</v>
      </c>
      <c r="D249" s="53" t="s">
        <v>42</v>
      </c>
      <c r="E249" s="56" t="s">
        <v>39</v>
      </c>
      <c r="F249" s="58">
        <v>0</v>
      </c>
      <c r="G249" s="58">
        <v>1</v>
      </c>
      <c r="H249" s="68">
        <v>0</v>
      </c>
      <c r="I249" s="80">
        <v>1</v>
      </c>
      <c r="J249" s="55"/>
      <c r="K249" s="56"/>
      <c r="L249" s="55" t="s">
        <v>279</v>
      </c>
      <c r="M249" s="53">
        <f>$D$5</f>
        <v>24</v>
      </c>
      <c r="N249" s="53">
        <f>$D$4</f>
        <v>5</v>
      </c>
      <c r="O249" s="53">
        <f>IF(A249&lt;&gt;"",M249*2^9+A249,"")</f>
        <v>12609</v>
      </c>
      <c r="P249" s="56" t="str">
        <f>IF(A249&lt;&gt;"","0x" &amp;DEC2HEX( O249,4),"")</f>
        <v>0x3141</v>
      </c>
      <c r="Q249" s="73"/>
      <c r="R249" s="70"/>
      <c r="S249" s="71"/>
      <c r="T249" s="71"/>
      <c r="U249" s="66"/>
      <c r="V249" s="12" t="s">
        <v>278</v>
      </c>
      <c r="W249" s="55" t="s">
        <v>275</v>
      </c>
      <c r="X249" s="14">
        <v>0</v>
      </c>
      <c r="Z249" s="55"/>
    </row>
    <row r="250" spans="1:26" x14ac:dyDescent="0.2">
      <c r="A250" s="53"/>
      <c r="B250" s="54"/>
      <c r="C250" s="72" t="s">
        <v>44</v>
      </c>
      <c r="D250" s="53"/>
      <c r="E250" s="56"/>
      <c r="F250" s="58"/>
      <c r="G250" s="58"/>
      <c r="H250" s="68"/>
      <c r="I250" s="80"/>
      <c r="J250" s="55"/>
      <c r="K250" s="56"/>
      <c r="L250" s="55"/>
      <c r="M250" s="53"/>
      <c r="N250" s="53"/>
      <c r="O250" s="53"/>
      <c r="P250" s="56"/>
      <c r="Q250" s="73"/>
      <c r="R250" s="70"/>
      <c r="S250" s="71"/>
      <c r="T250" s="71"/>
      <c r="U250" s="66"/>
      <c r="V250" s="12" t="s">
        <v>278</v>
      </c>
      <c r="W250" s="55" t="s">
        <v>276</v>
      </c>
      <c r="X250" s="14">
        <v>1</v>
      </c>
      <c r="Z250" s="55"/>
    </row>
    <row r="251" spans="1:26" x14ac:dyDescent="0.2">
      <c r="A251" s="53">
        <v>322</v>
      </c>
      <c r="B251" s="54"/>
      <c r="C251" s="61" t="s">
        <v>280</v>
      </c>
      <c r="D251" s="53" t="s">
        <v>38</v>
      </c>
      <c r="E251" s="56" t="s">
        <v>39</v>
      </c>
      <c r="F251" s="58">
        <v>-10000</v>
      </c>
      <c r="G251" s="58">
        <v>10000</v>
      </c>
      <c r="H251" s="68">
        <v>0</v>
      </c>
      <c r="I251" s="80">
        <v>1</v>
      </c>
      <c r="J251" s="55" t="s">
        <v>217</v>
      </c>
      <c r="K251" s="56"/>
      <c r="L251" s="55" t="s">
        <v>281</v>
      </c>
      <c r="M251" s="53">
        <f t="shared" ref="M251:M256" si="14">$D$5</f>
        <v>24</v>
      </c>
      <c r="N251" s="53">
        <f t="shared" ref="N251:N256" si="15">$D$4</f>
        <v>5</v>
      </c>
      <c r="O251" s="53">
        <f t="shared" ref="O251:O256" si="16">IF(A251&lt;&gt;"",M251*2^9+A251,"")</f>
        <v>12610</v>
      </c>
      <c r="P251" s="56" t="str">
        <f t="shared" ref="P251:P256" si="17">IF(A251&lt;&gt;"","0x" &amp;DEC2HEX( O251,4),"")</f>
        <v>0x3142</v>
      </c>
      <c r="Q251" s="73"/>
      <c r="R251" s="70"/>
      <c r="S251" s="71"/>
      <c r="T251" s="71"/>
      <c r="U251" s="66"/>
      <c r="W251" s="55"/>
      <c r="Z251" s="55"/>
    </row>
    <row r="252" spans="1:26" x14ac:dyDescent="0.2">
      <c r="A252" s="53">
        <v>323</v>
      </c>
      <c r="B252" s="54"/>
      <c r="C252" s="61" t="s">
        <v>282</v>
      </c>
      <c r="D252" s="53" t="s">
        <v>38</v>
      </c>
      <c r="E252" s="56" t="s">
        <v>39</v>
      </c>
      <c r="F252" s="58">
        <v>-10000</v>
      </c>
      <c r="G252" s="58">
        <v>10000</v>
      </c>
      <c r="H252" s="68">
        <v>0</v>
      </c>
      <c r="I252" s="80">
        <v>1</v>
      </c>
      <c r="J252" s="55" t="s">
        <v>217</v>
      </c>
      <c r="K252" s="56"/>
      <c r="L252" s="55" t="s">
        <v>283</v>
      </c>
      <c r="M252" s="53">
        <f t="shared" si="14"/>
        <v>24</v>
      </c>
      <c r="N252" s="53">
        <f t="shared" si="15"/>
        <v>5</v>
      </c>
      <c r="O252" s="53">
        <f t="shared" si="16"/>
        <v>12611</v>
      </c>
      <c r="P252" s="56" t="str">
        <f t="shared" si="17"/>
        <v>0x3143</v>
      </c>
      <c r="Q252" s="73"/>
      <c r="R252" s="70"/>
      <c r="S252" s="71"/>
      <c r="T252" s="71"/>
      <c r="U252" s="66"/>
      <c r="W252" s="55"/>
      <c r="Z252" s="55"/>
    </row>
    <row r="253" spans="1:26" x14ac:dyDescent="0.2">
      <c r="A253" s="53">
        <v>324</v>
      </c>
      <c r="B253" s="54"/>
      <c r="C253" s="61" t="s">
        <v>284</v>
      </c>
      <c r="D253" s="53" t="s">
        <v>38</v>
      </c>
      <c r="E253" s="56" t="s">
        <v>39</v>
      </c>
      <c r="F253" s="58">
        <v>-10000</v>
      </c>
      <c r="G253" s="58">
        <v>10000</v>
      </c>
      <c r="H253" s="68">
        <v>0</v>
      </c>
      <c r="I253" s="80">
        <v>1</v>
      </c>
      <c r="J253" s="55" t="s">
        <v>217</v>
      </c>
      <c r="K253" s="56"/>
      <c r="L253" s="55" t="s">
        <v>285</v>
      </c>
      <c r="M253" s="53">
        <f t="shared" si="14"/>
        <v>24</v>
      </c>
      <c r="N253" s="53">
        <f t="shared" si="15"/>
        <v>5</v>
      </c>
      <c r="O253" s="53">
        <f t="shared" si="16"/>
        <v>12612</v>
      </c>
      <c r="P253" s="56" t="str">
        <f t="shared" si="17"/>
        <v>0x3144</v>
      </c>
      <c r="Q253" s="73"/>
      <c r="R253" s="70"/>
      <c r="S253" s="71"/>
      <c r="T253" s="71"/>
      <c r="U253" s="66"/>
      <c r="W253" s="55"/>
      <c r="Z253" s="55"/>
    </row>
    <row r="254" spans="1:26" x14ac:dyDescent="0.2">
      <c r="A254" s="53">
        <v>325</v>
      </c>
      <c r="B254" s="54"/>
      <c r="C254" s="61" t="s">
        <v>286</v>
      </c>
      <c r="D254" s="53" t="s">
        <v>38</v>
      </c>
      <c r="E254" s="56" t="s">
        <v>39</v>
      </c>
      <c r="F254" s="58">
        <v>-10000</v>
      </c>
      <c r="G254" s="58">
        <v>10000</v>
      </c>
      <c r="H254" s="68">
        <v>0</v>
      </c>
      <c r="I254" s="80">
        <v>1</v>
      </c>
      <c r="J254" s="55" t="s">
        <v>217</v>
      </c>
      <c r="K254" s="56"/>
      <c r="L254" s="55" t="s">
        <v>287</v>
      </c>
      <c r="M254" s="53">
        <f t="shared" si="14"/>
        <v>24</v>
      </c>
      <c r="N254" s="53">
        <f t="shared" si="15"/>
        <v>5</v>
      </c>
      <c r="O254" s="53">
        <f t="shared" si="16"/>
        <v>12613</v>
      </c>
      <c r="P254" s="56" t="str">
        <f t="shared" si="17"/>
        <v>0x3145</v>
      </c>
      <c r="Q254" s="73"/>
      <c r="R254" s="70"/>
      <c r="S254" s="71"/>
      <c r="T254" s="71"/>
      <c r="U254" s="66"/>
      <c r="W254" s="55"/>
      <c r="Z254" s="55"/>
    </row>
    <row r="255" spans="1:26" x14ac:dyDescent="0.2">
      <c r="A255" s="53">
        <v>326</v>
      </c>
      <c r="B255" s="54"/>
      <c r="C255" s="61" t="s">
        <v>288</v>
      </c>
      <c r="D255" s="53" t="s">
        <v>38</v>
      </c>
      <c r="E255" s="56" t="s">
        <v>39</v>
      </c>
      <c r="F255" s="58">
        <v>0</v>
      </c>
      <c r="G255" s="58">
        <v>10000</v>
      </c>
      <c r="H255" s="68">
        <v>0</v>
      </c>
      <c r="I255" s="80">
        <v>1</v>
      </c>
      <c r="J255" s="55" t="s">
        <v>217</v>
      </c>
      <c r="K255" s="56"/>
      <c r="L255" s="55" t="s">
        <v>289</v>
      </c>
      <c r="M255" s="53">
        <f t="shared" si="14"/>
        <v>24</v>
      </c>
      <c r="N255" s="53">
        <f t="shared" si="15"/>
        <v>5</v>
      </c>
      <c r="O255" s="53">
        <f t="shared" si="16"/>
        <v>12614</v>
      </c>
      <c r="P255" s="56" t="str">
        <f t="shared" si="17"/>
        <v>0x3146</v>
      </c>
      <c r="Q255" s="73"/>
      <c r="R255" s="70"/>
      <c r="S255" s="71"/>
      <c r="T255" s="71"/>
      <c r="U255" s="66"/>
      <c r="W255" s="55"/>
      <c r="Z255" s="55"/>
    </row>
    <row r="256" spans="1:26" x14ac:dyDescent="0.2">
      <c r="A256" s="53">
        <v>327</v>
      </c>
      <c r="B256" s="54"/>
      <c r="C256" s="61" t="s">
        <v>290</v>
      </c>
      <c r="D256" s="53" t="s">
        <v>38</v>
      </c>
      <c r="E256" s="56" t="s">
        <v>39</v>
      </c>
      <c r="F256" s="58">
        <v>-100</v>
      </c>
      <c r="G256" s="58">
        <v>100</v>
      </c>
      <c r="H256" s="68">
        <v>0</v>
      </c>
      <c r="I256" s="80">
        <v>1</v>
      </c>
      <c r="J256" s="55" t="s">
        <v>217</v>
      </c>
      <c r="K256" s="56"/>
      <c r="L256" s="55" t="s">
        <v>291</v>
      </c>
      <c r="M256" s="53">
        <f t="shared" si="14"/>
        <v>24</v>
      </c>
      <c r="N256" s="53">
        <f t="shared" si="15"/>
        <v>5</v>
      </c>
      <c r="O256" s="53">
        <f t="shared" si="16"/>
        <v>12615</v>
      </c>
      <c r="P256" s="56" t="str">
        <f t="shared" si="17"/>
        <v>0x3147</v>
      </c>
      <c r="Q256" s="73"/>
      <c r="R256" s="70"/>
      <c r="S256" s="71"/>
      <c r="T256" s="71"/>
      <c r="U256" s="66"/>
      <c r="W256" s="55"/>
      <c r="Z256" s="55"/>
    </row>
    <row r="257" spans="1:27" x14ac:dyDescent="0.2">
      <c r="A257" s="53"/>
      <c r="B257" s="54"/>
      <c r="C257" s="61"/>
      <c r="D257" s="53"/>
      <c r="E257" s="56"/>
      <c r="F257" s="58"/>
      <c r="G257" s="58"/>
      <c r="H257" s="68"/>
      <c r="I257" s="80"/>
      <c r="J257" s="55"/>
      <c r="K257" s="56"/>
      <c r="L257" s="55"/>
      <c r="M257" s="53"/>
      <c r="N257" s="53"/>
      <c r="O257" s="53"/>
      <c r="P257" s="56"/>
      <c r="Q257" s="73"/>
      <c r="R257" s="70"/>
      <c r="S257" s="71"/>
      <c r="T257" s="71"/>
      <c r="U257" s="66"/>
      <c r="W257" s="55"/>
      <c r="Z257" s="55"/>
    </row>
    <row r="258" spans="1:27" x14ac:dyDescent="0.2">
      <c r="A258" s="53"/>
      <c r="B258" s="54"/>
      <c r="C258" s="61"/>
      <c r="D258" s="53"/>
      <c r="E258" s="56"/>
      <c r="F258" s="58"/>
      <c r="G258" s="58"/>
      <c r="H258" s="68"/>
      <c r="I258" s="80"/>
      <c r="J258" s="55"/>
      <c r="K258" s="56"/>
      <c r="L258" s="55"/>
      <c r="M258" s="53"/>
      <c r="N258" s="53"/>
      <c r="O258" s="53"/>
      <c r="P258" s="56"/>
      <c r="Q258" s="73"/>
      <c r="R258" s="70"/>
      <c r="S258" s="71"/>
      <c r="T258" s="71"/>
      <c r="U258" s="66"/>
      <c r="W258" s="55"/>
      <c r="Z258" s="55"/>
    </row>
    <row r="259" spans="1:27" x14ac:dyDescent="0.2">
      <c r="A259" s="53"/>
      <c r="B259" s="54"/>
      <c r="C259" s="61"/>
      <c r="D259" s="53"/>
      <c r="E259" s="56"/>
      <c r="F259" s="58"/>
      <c r="G259" s="58"/>
      <c r="H259" s="68"/>
      <c r="I259" s="80"/>
      <c r="J259" s="55"/>
      <c r="K259" s="56"/>
      <c r="L259" s="55"/>
      <c r="M259" s="53"/>
      <c r="N259" s="53"/>
      <c r="O259" s="53"/>
      <c r="P259" s="56"/>
      <c r="Q259" s="73"/>
      <c r="R259" s="70"/>
      <c r="S259" s="71"/>
      <c r="T259" s="71"/>
      <c r="U259" s="66"/>
      <c r="W259" s="55"/>
      <c r="Z259" s="55"/>
    </row>
    <row r="260" spans="1:27" x14ac:dyDescent="0.2">
      <c r="A260" s="53">
        <v>448</v>
      </c>
      <c r="B260" s="54"/>
      <c r="C260" s="61" t="s">
        <v>292</v>
      </c>
      <c r="D260" s="53" t="s">
        <v>42</v>
      </c>
      <c r="E260" s="56" t="s">
        <v>39</v>
      </c>
      <c r="F260" s="58">
        <v>0</v>
      </c>
      <c r="G260" s="58">
        <v>999</v>
      </c>
      <c r="H260" s="68">
        <v>0</v>
      </c>
      <c r="I260" s="80">
        <v>1</v>
      </c>
      <c r="J260" s="55"/>
      <c r="K260" s="56"/>
      <c r="L260" s="55" t="s">
        <v>293</v>
      </c>
      <c r="M260" s="53">
        <f>$D$5</f>
        <v>24</v>
      </c>
      <c r="N260" s="53">
        <f>$D$4</f>
        <v>5</v>
      </c>
      <c r="O260" s="53">
        <f>IF(A260&lt;&gt;"",M260*2^9+A260,"")</f>
        <v>12736</v>
      </c>
      <c r="P260" s="56" t="str">
        <f>IF(A260&lt;&gt;"","0x" &amp;DEC2HEX( O260,4),"")</f>
        <v>0x31C0</v>
      </c>
      <c r="Q260" s="73"/>
      <c r="R260" s="70"/>
      <c r="S260" s="71"/>
      <c r="T260" s="71"/>
      <c r="U260" s="66"/>
      <c r="W260" s="55"/>
      <c r="Z260" s="55"/>
    </row>
    <row r="261" spans="1:27" x14ac:dyDescent="0.2">
      <c r="A261" s="53">
        <v>449</v>
      </c>
      <c r="B261" s="54"/>
      <c r="C261" s="61" t="s">
        <v>294</v>
      </c>
      <c r="D261" s="53" t="s">
        <v>42</v>
      </c>
      <c r="E261" s="56" t="s">
        <v>39</v>
      </c>
      <c r="F261" s="58">
        <v>0</v>
      </c>
      <c r="G261" s="58">
        <v>99</v>
      </c>
      <c r="H261" s="68">
        <v>0</v>
      </c>
      <c r="I261" s="80">
        <v>1</v>
      </c>
      <c r="J261" s="55"/>
      <c r="K261" s="56"/>
      <c r="L261" s="55" t="s">
        <v>295</v>
      </c>
      <c r="M261" s="53">
        <f>$D$5</f>
        <v>24</v>
      </c>
      <c r="N261" s="53">
        <f>$D$4</f>
        <v>5</v>
      </c>
      <c r="O261" s="53">
        <f>IF(A261&lt;&gt;"",M261*2^9+A261,"")</f>
        <v>12737</v>
      </c>
      <c r="P261" s="56" t="str">
        <f>IF(A261&lt;&gt;"","0x" &amp;DEC2HEX( O261,4),"")</f>
        <v>0x31C1</v>
      </c>
      <c r="Q261" s="73"/>
      <c r="R261" s="70"/>
      <c r="S261" s="71"/>
      <c r="T261" s="71"/>
      <c r="U261" s="66"/>
      <c r="W261" s="55"/>
      <c r="Z261" s="55"/>
    </row>
    <row r="262" spans="1:27" x14ac:dyDescent="0.2">
      <c r="A262" s="53">
        <v>450</v>
      </c>
      <c r="B262" s="54"/>
      <c r="C262" s="61" t="s">
        <v>296</v>
      </c>
      <c r="D262" s="53" t="s">
        <v>42</v>
      </c>
      <c r="E262" s="56" t="s">
        <v>39</v>
      </c>
      <c r="F262" s="58">
        <v>0</v>
      </c>
      <c r="G262" s="58">
        <v>99999</v>
      </c>
      <c r="H262" s="68">
        <v>0</v>
      </c>
      <c r="I262" s="80">
        <v>1</v>
      </c>
      <c r="J262" s="55"/>
      <c r="K262" s="56"/>
      <c r="L262" s="55" t="s">
        <v>297</v>
      </c>
      <c r="M262" s="53">
        <f>$D$5</f>
        <v>24</v>
      </c>
      <c r="N262" s="53">
        <f>$D$4</f>
        <v>5</v>
      </c>
      <c r="O262" s="53">
        <f>IF(A262&lt;&gt;"",M262*2^9+A262,"")</f>
        <v>12738</v>
      </c>
      <c r="P262" s="56" t="str">
        <f>IF(A262&lt;&gt;"","0x" &amp;DEC2HEX( O262,4),"")</f>
        <v>0x31C2</v>
      </c>
      <c r="Q262" s="73"/>
      <c r="R262" s="70"/>
      <c r="S262" s="71"/>
      <c r="T262" s="71"/>
      <c r="U262" s="66"/>
      <c r="W262" s="55"/>
      <c r="Z262" s="55"/>
    </row>
    <row r="263" spans="1:27" x14ac:dyDescent="0.2">
      <c r="A263" s="53"/>
      <c r="B263" s="54"/>
      <c r="C263" s="61"/>
      <c r="D263" s="53"/>
      <c r="E263" s="56"/>
      <c r="F263" s="58"/>
      <c r="G263" s="58"/>
      <c r="H263" s="68"/>
      <c r="I263" s="80"/>
      <c r="J263" s="55"/>
      <c r="K263" s="56"/>
      <c r="L263" s="55"/>
      <c r="M263" s="53"/>
      <c r="N263" s="53"/>
      <c r="O263" s="53"/>
      <c r="P263" s="56"/>
      <c r="Q263" s="73"/>
      <c r="R263" s="70"/>
      <c r="S263" s="71"/>
      <c r="T263" s="71"/>
      <c r="U263" s="66"/>
      <c r="W263" s="55"/>
      <c r="Z263" s="55"/>
    </row>
    <row r="264" spans="1:27" x14ac:dyDescent="0.2">
      <c r="A264" s="53"/>
      <c r="B264" s="54"/>
      <c r="C264" s="61"/>
      <c r="D264" s="53"/>
      <c r="E264" s="56"/>
      <c r="F264" s="58"/>
      <c r="G264" s="58"/>
      <c r="H264" s="68"/>
      <c r="I264" s="80"/>
      <c r="J264" s="55"/>
      <c r="K264" s="56"/>
      <c r="L264" s="55"/>
      <c r="M264" s="53"/>
      <c r="N264" s="53"/>
      <c r="O264" s="53"/>
      <c r="P264" s="56"/>
      <c r="Q264" s="73"/>
      <c r="R264" s="70"/>
      <c r="S264" s="71"/>
      <c r="T264" s="71"/>
      <c r="U264" s="66"/>
      <c r="W264" s="55"/>
      <c r="Z264" s="55"/>
    </row>
    <row r="265" spans="1:27" x14ac:dyDescent="0.2">
      <c r="A265" s="53"/>
      <c r="B265" s="54"/>
      <c r="C265" s="61"/>
      <c r="D265" s="53"/>
      <c r="E265" s="56"/>
      <c r="F265" s="58"/>
      <c r="G265" s="58"/>
      <c r="H265" s="68"/>
      <c r="I265" s="80"/>
      <c r="J265" s="55"/>
      <c r="K265" s="56"/>
      <c r="L265" s="55"/>
      <c r="M265" s="53"/>
      <c r="N265" s="53"/>
      <c r="O265" s="53"/>
      <c r="P265" s="56"/>
      <c r="Q265" s="73"/>
      <c r="R265" s="70"/>
      <c r="S265" s="71"/>
      <c r="T265" s="71"/>
      <c r="U265" s="66"/>
      <c r="W265" s="55"/>
      <c r="Z265" s="55"/>
    </row>
    <row r="266" spans="1:27" x14ac:dyDescent="0.2">
      <c r="A266" s="53">
        <v>494</v>
      </c>
      <c r="B266" s="54"/>
      <c r="C266" s="61" t="s">
        <v>298</v>
      </c>
      <c r="D266" s="53" t="s">
        <v>55</v>
      </c>
      <c r="E266" s="78" t="s">
        <v>130</v>
      </c>
      <c r="F266" s="58">
        <v>0</v>
      </c>
      <c r="G266" s="58">
        <v>255</v>
      </c>
      <c r="H266" s="68">
        <v>0</v>
      </c>
      <c r="I266" s="80">
        <v>1</v>
      </c>
      <c r="J266" s="55"/>
      <c r="K266" s="56"/>
      <c r="L266" s="55" t="s">
        <v>299</v>
      </c>
      <c r="M266" s="53">
        <f>$D$5</f>
        <v>24</v>
      </c>
      <c r="N266" s="53">
        <f>$D$4</f>
        <v>5</v>
      </c>
      <c r="O266" s="53">
        <f>IF(A266&lt;&gt;"",M266*2^9+A266,"")</f>
        <v>12782</v>
      </c>
      <c r="P266" s="56" t="str">
        <f>IF(A266&lt;&gt;"","0x" &amp;DEC2HEX( O266,4),"")</f>
        <v>0x31EE</v>
      </c>
      <c r="Q266" s="73"/>
      <c r="R266" s="70"/>
      <c r="S266" s="71"/>
      <c r="T266" s="71"/>
      <c r="U266" s="66"/>
      <c r="W266" s="55"/>
      <c r="Y266" t="s">
        <v>298</v>
      </c>
      <c r="Z266" s="55" t="s">
        <v>300</v>
      </c>
      <c r="AA266">
        <v>0</v>
      </c>
    </row>
    <row r="267" spans="1:27" x14ac:dyDescent="0.2">
      <c r="A267" s="53"/>
      <c r="B267" s="54"/>
      <c r="C267" s="72" t="s">
        <v>44</v>
      </c>
      <c r="D267" s="53"/>
      <c r="E267" s="78"/>
      <c r="F267" s="58"/>
      <c r="G267" s="58"/>
      <c r="H267" s="68"/>
      <c r="I267" s="80"/>
      <c r="J267" s="55"/>
      <c r="K267" s="56"/>
      <c r="L267" s="55"/>
      <c r="M267" s="53"/>
      <c r="N267" s="53"/>
      <c r="O267" s="53"/>
      <c r="P267" s="56"/>
      <c r="Q267" s="73"/>
      <c r="R267" s="70"/>
      <c r="S267" s="71"/>
      <c r="T267" s="71"/>
      <c r="U267" s="66"/>
      <c r="W267" s="55"/>
      <c r="Y267" t="s">
        <v>298</v>
      </c>
      <c r="Z267" s="55" t="s">
        <v>301</v>
      </c>
      <c r="AA267">
        <v>1</v>
      </c>
    </row>
    <row r="268" spans="1:27" x14ac:dyDescent="0.2">
      <c r="A268" s="53"/>
      <c r="B268" s="54"/>
      <c r="C268" s="61"/>
      <c r="D268" s="53"/>
      <c r="E268" s="56"/>
      <c r="F268" s="58"/>
      <c r="G268" s="58"/>
      <c r="H268" s="68"/>
      <c r="I268" s="80"/>
      <c r="J268" s="55"/>
      <c r="K268" s="56"/>
      <c r="L268" s="55"/>
      <c r="M268" s="53">
        <f t="shared" ref="M268:M273" si="18">$D$5</f>
        <v>24</v>
      </c>
      <c r="N268" s="53">
        <f t="shared" ref="N268:N273" si="19">$D$4</f>
        <v>5</v>
      </c>
      <c r="O268" s="53" t="str">
        <f t="shared" ref="O268:O273" si="20">IF(A268&lt;&gt;"",M268*2^9+A268,"")</f>
        <v/>
      </c>
      <c r="P268" s="56" t="str">
        <f t="shared" ref="P268:P273" si="21">IF(A268&lt;&gt;"","0x" &amp;DEC2HEX( O268,4),"")</f>
        <v/>
      </c>
      <c r="Q268" s="73"/>
      <c r="R268" s="70"/>
      <c r="S268" s="71"/>
      <c r="T268" s="71"/>
      <c r="U268" s="66"/>
      <c r="W268" s="55"/>
      <c r="Z268" s="55"/>
    </row>
    <row r="269" spans="1:27" x14ac:dyDescent="0.2">
      <c r="A269" s="53">
        <v>496</v>
      </c>
      <c r="B269" s="54"/>
      <c r="C269" s="61" t="s">
        <v>302</v>
      </c>
      <c r="D269" s="53" t="s">
        <v>55</v>
      </c>
      <c r="E269" s="56" t="s">
        <v>39</v>
      </c>
      <c r="F269" s="58">
        <v>0</v>
      </c>
      <c r="G269" s="58">
        <v>65535</v>
      </c>
      <c r="H269" s="68">
        <v>0</v>
      </c>
      <c r="I269" s="80">
        <v>1</v>
      </c>
      <c r="J269" s="55"/>
      <c r="K269" s="56"/>
      <c r="L269" s="55" t="s">
        <v>303</v>
      </c>
      <c r="M269" s="53">
        <f t="shared" si="18"/>
        <v>24</v>
      </c>
      <c r="N269" s="53">
        <f t="shared" si="19"/>
        <v>5</v>
      </c>
      <c r="O269" s="53">
        <f t="shared" si="20"/>
        <v>12784</v>
      </c>
      <c r="P269" s="56" t="str">
        <f t="shared" si="21"/>
        <v>0x31F0</v>
      </c>
      <c r="Q269" s="73"/>
      <c r="R269" s="70"/>
      <c r="S269" s="71"/>
      <c r="T269" s="71"/>
      <c r="U269" s="66"/>
      <c r="W269" s="55"/>
      <c r="Z269" s="55"/>
    </row>
    <row r="270" spans="1:27" x14ac:dyDescent="0.2">
      <c r="A270" s="53"/>
      <c r="B270" s="54"/>
      <c r="C270" s="61"/>
      <c r="D270" s="53"/>
      <c r="E270" s="56"/>
      <c r="F270" s="58"/>
      <c r="G270" s="58"/>
      <c r="H270" s="68"/>
      <c r="I270" s="80"/>
      <c r="J270" s="55"/>
      <c r="K270" s="56"/>
      <c r="L270" s="55"/>
      <c r="M270" s="53">
        <f t="shared" si="18"/>
        <v>24</v>
      </c>
      <c r="N270" s="53">
        <f t="shared" si="19"/>
        <v>5</v>
      </c>
      <c r="O270" s="53" t="str">
        <f t="shared" si="20"/>
        <v/>
      </c>
      <c r="P270" s="56" t="str">
        <f t="shared" si="21"/>
        <v/>
      </c>
      <c r="Q270" s="73"/>
      <c r="R270" s="70"/>
      <c r="S270" s="71"/>
      <c r="T270" s="71"/>
      <c r="U270" s="66"/>
      <c r="W270" s="55"/>
      <c r="Z270" s="55"/>
    </row>
    <row r="271" spans="1:27" x14ac:dyDescent="0.2">
      <c r="A271" s="53"/>
      <c r="B271" s="54"/>
      <c r="C271" s="61"/>
      <c r="D271" s="53"/>
      <c r="E271" s="56"/>
      <c r="F271" s="58"/>
      <c r="G271" s="58"/>
      <c r="H271" s="68"/>
      <c r="I271" s="80"/>
      <c r="J271" s="55"/>
      <c r="K271" s="56"/>
      <c r="L271" s="55"/>
      <c r="M271" s="53">
        <f t="shared" si="18"/>
        <v>24</v>
      </c>
      <c r="N271" s="53">
        <f t="shared" si="19"/>
        <v>5</v>
      </c>
      <c r="O271" s="53" t="str">
        <f t="shared" si="20"/>
        <v/>
      </c>
      <c r="P271" s="56" t="str">
        <f t="shared" si="21"/>
        <v/>
      </c>
      <c r="Q271" s="73"/>
      <c r="R271" s="70"/>
      <c r="S271" s="71"/>
      <c r="T271" s="71"/>
      <c r="U271" s="66"/>
      <c r="W271" s="55"/>
      <c r="Z271" s="55"/>
    </row>
    <row r="272" spans="1:27" x14ac:dyDescent="0.2">
      <c r="A272" s="53"/>
      <c r="B272" s="54"/>
      <c r="C272" s="61"/>
      <c r="D272" s="53"/>
      <c r="E272" s="56"/>
      <c r="F272" s="58"/>
      <c r="G272" s="58"/>
      <c r="H272" s="68"/>
      <c r="I272" s="80"/>
      <c r="J272" s="55"/>
      <c r="K272" s="56"/>
      <c r="L272" s="55"/>
      <c r="M272" s="53">
        <f t="shared" si="18"/>
        <v>24</v>
      </c>
      <c r="N272" s="53">
        <f t="shared" si="19"/>
        <v>5</v>
      </c>
      <c r="O272" s="53" t="str">
        <f t="shared" si="20"/>
        <v/>
      </c>
      <c r="P272" s="56" t="str">
        <f t="shared" si="21"/>
        <v/>
      </c>
      <c r="Q272" s="73"/>
      <c r="R272" s="70"/>
      <c r="S272" s="71"/>
      <c r="T272" s="71"/>
      <c r="U272" s="66"/>
      <c r="W272" s="55"/>
      <c r="Z272" s="55"/>
    </row>
    <row r="273" spans="1:27" x14ac:dyDescent="0.2">
      <c r="A273" s="53">
        <v>500</v>
      </c>
      <c r="B273" s="54"/>
      <c r="C273" s="61" t="s">
        <v>304</v>
      </c>
      <c r="D273" s="53" t="s">
        <v>42</v>
      </c>
      <c r="E273" s="78" t="s">
        <v>130</v>
      </c>
      <c r="F273" s="58">
        <v>0</v>
      </c>
      <c r="G273" s="58">
        <v>65535</v>
      </c>
      <c r="H273" s="68">
        <v>0</v>
      </c>
      <c r="I273" s="80">
        <v>1</v>
      </c>
      <c r="J273" s="55"/>
      <c r="K273" s="56"/>
      <c r="L273" s="55" t="s">
        <v>305</v>
      </c>
      <c r="M273" s="53">
        <f t="shared" si="18"/>
        <v>24</v>
      </c>
      <c r="N273" s="53">
        <f t="shared" si="19"/>
        <v>5</v>
      </c>
      <c r="O273" s="53">
        <f t="shared" si="20"/>
        <v>12788</v>
      </c>
      <c r="P273" s="56" t="str">
        <f t="shared" si="21"/>
        <v>0x31F4</v>
      </c>
      <c r="Q273" s="73"/>
      <c r="R273" s="70"/>
      <c r="S273" s="71"/>
      <c r="T273" s="71"/>
      <c r="U273" s="66"/>
      <c r="W273" s="55"/>
      <c r="Y273" t="s">
        <v>304</v>
      </c>
      <c r="Z273" s="55" t="s">
        <v>306</v>
      </c>
      <c r="AA273">
        <v>0</v>
      </c>
    </row>
    <row r="274" spans="1:27" x14ac:dyDescent="0.2">
      <c r="A274" s="53"/>
      <c r="B274" s="54"/>
      <c r="C274" s="72" t="s">
        <v>44</v>
      </c>
      <c r="D274" s="53"/>
      <c r="E274" s="78"/>
      <c r="F274" s="58"/>
      <c r="G274" s="58"/>
      <c r="H274" s="68"/>
      <c r="I274" s="80"/>
      <c r="J274" s="55"/>
      <c r="K274" s="56"/>
      <c r="L274" s="55"/>
      <c r="M274" s="53"/>
      <c r="N274" s="53"/>
      <c r="O274" s="53"/>
      <c r="P274" s="56"/>
      <c r="Q274" s="73"/>
      <c r="R274" s="70"/>
      <c r="S274" s="71"/>
      <c r="T274" s="71"/>
      <c r="U274" s="66"/>
      <c r="W274" s="55"/>
      <c r="Y274" t="s">
        <v>304</v>
      </c>
      <c r="Z274" s="55" t="s">
        <v>307</v>
      </c>
      <c r="AA274">
        <v>1</v>
      </c>
    </row>
    <row r="275" spans="1:27" x14ac:dyDescent="0.2">
      <c r="A275" s="53">
        <v>501</v>
      </c>
      <c r="B275" s="54"/>
      <c r="C275" s="61" t="s">
        <v>308</v>
      </c>
      <c r="D275" s="53" t="s">
        <v>42</v>
      </c>
      <c r="E275" s="56" t="s">
        <v>39</v>
      </c>
      <c r="F275" s="58">
        <v>0</v>
      </c>
      <c r="G275" s="58">
        <v>65535</v>
      </c>
      <c r="H275" s="68">
        <v>0</v>
      </c>
      <c r="I275" s="80">
        <v>1</v>
      </c>
      <c r="J275" s="55"/>
      <c r="K275" s="56"/>
      <c r="L275" s="55" t="s">
        <v>309</v>
      </c>
      <c r="M275" s="53">
        <f>$D$5</f>
        <v>24</v>
      </c>
      <c r="N275" s="53">
        <f>$D$4</f>
        <v>5</v>
      </c>
      <c r="O275" s="53">
        <f>IF(A275&lt;&gt;"",M275*2^9+A275,"")</f>
        <v>12789</v>
      </c>
      <c r="P275" s="56" t="str">
        <f>IF(A275&lt;&gt;"","0x" &amp;DEC2HEX( O275,4),"")</f>
        <v>0x31F5</v>
      </c>
      <c r="Q275" s="73"/>
      <c r="R275" s="70"/>
      <c r="S275" s="71"/>
      <c r="T275" s="71"/>
      <c r="U275" s="66"/>
      <c r="W275" s="55"/>
      <c r="Z275" s="55"/>
    </row>
    <row r="276" spans="1:27" x14ac:dyDescent="0.2">
      <c r="A276" s="53"/>
      <c r="B276" s="54"/>
      <c r="C276" s="61"/>
      <c r="D276" s="53"/>
      <c r="E276" s="56"/>
      <c r="F276" s="58"/>
      <c r="G276" s="58"/>
      <c r="H276" s="68"/>
      <c r="I276" s="80"/>
      <c r="J276" s="55"/>
      <c r="K276" s="56"/>
      <c r="L276" s="55"/>
      <c r="M276" s="53">
        <f>$D$5</f>
        <v>24</v>
      </c>
      <c r="N276" s="53">
        <f>$D$4</f>
        <v>5</v>
      </c>
      <c r="O276" s="53" t="str">
        <f>IF(A276&lt;&gt;"",M276*2^9+A276,"")</f>
        <v/>
      </c>
      <c r="P276" s="56" t="str">
        <f>IF(A276&lt;&gt;"","0x" &amp;DEC2HEX( O276,4),"")</f>
        <v/>
      </c>
      <c r="Q276" s="73"/>
      <c r="R276" s="70"/>
      <c r="S276" s="71"/>
      <c r="T276" s="71"/>
      <c r="U276" s="66"/>
      <c r="W276" s="55"/>
      <c r="Z276" s="55"/>
    </row>
    <row r="277" spans="1:27" x14ac:dyDescent="0.2">
      <c r="A277" s="53"/>
      <c r="B277" s="54"/>
      <c r="C277" s="61"/>
      <c r="D277" s="53"/>
      <c r="E277" s="56"/>
      <c r="F277" s="58"/>
      <c r="G277" s="58"/>
      <c r="H277" s="68"/>
      <c r="I277" s="80"/>
      <c r="J277" s="55"/>
      <c r="K277" s="56"/>
      <c r="L277" s="55"/>
      <c r="M277" s="53">
        <f>$D$5</f>
        <v>24</v>
      </c>
      <c r="N277" s="53">
        <f>$D$4</f>
        <v>5</v>
      </c>
      <c r="O277" s="53" t="str">
        <f>IF(A277&lt;&gt;"",M277*2^9+A277,"")</f>
        <v/>
      </c>
      <c r="P277" s="56" t="str">
        <f>IF(A277&lt;&gt;"","0x" &amp;DEC2HEX( O277,4),"")</f>
        <v/>
      </c>
      <c r="Q277" s="73"/>
      <c r="R277" s="70"/>
      <c r="S277" s="71"/>
      <c r="T277" s="71"/>
      <c r="U277" s="66"/>
      <c r="W277" s="55"/>
      <c r="Z277" s="55"/>
    </row>
    <row r="278" spans="1:27" x14ac:dyDescent="0.2">
      <c r="A278" s="53">
        <v>504</v>
      </c>
      <c r="B278" s="54"/>
      <c r="C278" s="61" t="s">
        <v>310</v>
      </c>
      <c r="D278" s="53" t="s">
        <v>42</v>
      </c>
      <c r="E278" s="56" t="s">
        <v>39</v>
      </c>
      <c r="F278" s="58">
        <v>0</v>
      </c>
      <c r="G278" s="58">
        <v>65535</v>
      </c>
      <c r="H278" s="68">
        <v>0</v>
      </c>
      <c r="I278" s="80">
        <v>1</v>
      </c>
      <c r="J278" s="55"/>
      <c r="K278" s="56"/>
      <c r="L278" s="55" t="s">
        <v>311</v>
      </c>
      <c r="M278" s="53">
        <f>$D$5</f>
        <v>24</v>
      </c>
      <c r="N278" s="53">
        <f>$D$4</f>
        <v>5</v>
      </c>
      <c r="O278" s="53">
        <f>IF(A278&lt;&gt;"",M278*2^9+A278,"")</f>
        <v>12792</v>
      </c>
      <c r="P278" s="56" t="str">
        <f>IF(A278&lt;&gt;"","0x" &amp;DEC2HEX( O278,4),"")</f>
        <v>0x31F8</v>
      </c>
      <c r="Q278" s="73"/>
      <c r="R278" s="70"/>
      <c r="S278" s="71"/>
      <c r="T278" s="71"/>
      <c r="U278" s="66"/>
      <c r="W278" s="55"/>
      <c r="Z278" s="55"/>
    </row>
    <row r="279" spans="1:27" x14ac:dyDescent="0.2">
      <c r="A279" s="53"/>
      <c r="B279" s="54"/>
      <c r="C279" s="72" t="s">
        <v>44</v>
      </c>
      <c r="D279" s="53"/>
      <c r="E279" s="56"/>
      <c r="F279" s="58"/>
      <c r="G279" s="58"/>
      <c r="H279" s="68"/>
      <c r="I279" s="80"/>
      <c r="J279" s="55"/>
      <c r="K279" s="56"/>
      <c r="L279" s="55" t="s">
        <v>312</v>
      </c>
      <c r="M279" s="53"/>
      <c r="N279" s="53"/>
      <c r="O279" s="53"/>
      <c r="P279" s="56"/>
      <c r="Q279" s="73"/>
      <c r="R279" s="70"/>
      <c r="S279" s="71"/>
      <c r="T279" s="71"/>
      <c r="U279" s="66"/>
      <c r="W279" s="55"/>
      <c r="Z279" s="55"/>
    </row>
    <row r="280" spans="1:27" x14ac:dyDescent="0.2">
      <c r="A280" s="53"/>
      <c r="B280" s="54"/>
      <c r="C280" s="72" t="s">
        <v>44</v>
      </c>
      <c r="D280" s="53"/>
      <c r="E280" s="56"/>
      <c r="F280" s="58"/>
      <c r="G280" s="58"/>
      <c r="H280" s="68"/>
      <c r="I280" s="80"/>
      <c r="J280" s="55"/>
      <c r="K280" s="56"/>
      <c r="L280" s="55" t="s">
        <v>313</v>
      </c>
      <c r="M280" s="53"/>
      <c r="N280" s="53"/>
      <c r="O280" s="53"/>
      <c r="P280" s="56"/>
      <c r="Q280" s="73"/>
      <c r="R280" s="70"/>
      <c r="S280" s="71"/>
      <c r="T280" s="71"/>
      <c r="U280" s="66"/>
      <c r="W280" s="55"/>
      <c r="Z280" s="55"/>
    </row>
    <row r="281" spans="1:27" x14ac:dyDescent="0.2">
      <c r="A281" s="53"/>
      <c r="B281" s="54"/>
      <c r="C281" s="72" t="s">
        <v>44</v>
      </c>
      <c r="D281" s="53"/>
      <c r="E281" s="56"/>
      <c r="F281" s="58"/>
      <c r="G281" s="58"/>
      <c r="H281" s="68"/>
      <c r="I281" s="80"/>
      <c r="J281" s="55"/>
      <c r="K281" s="56"/>
      <c r="L281" s="55" t="s">
        <v>314</v>
      </c>
      <c r="M281" s="53"/>
      <c r="N281" s="53"/>
      <c r="O281" s="53"/>
      <c r="P281" s="56"/>
      <c r="Q281" s="73"/>
      <c r="R281" s="70"/>
      <c r="S281" s="71"/>
      <c r="T281" s="71"/>
      <c r="U281" s="66"/>
      <c r="W281" s="55"/>
      <c r="Z281" s="55"/>
    </row>
    <row r="282" spans="1:27" x14ac:dyDescent="0.2">
      <c r="A282" s="53"/>
      <c r="B282" s="54"/>
      <c r="C282" s="72" t="s">
        <v>44</v>
      </c>
      <c r="D282" s="53"/>
      <c r="E282" s="56"/>
      <c r="F282" s="58"/>
      <c r="G282" s="58"/>
      <c r="H282" s="68"/>
      <c r="I282" s="80"/>
      <c r="J282" s="55"/>
      <c r="K282" s="56"/>
      <c r="L282" s="55" t="s">
        <v>315</v>
      </c>
      <c r="M282" s="53"/>
      <c r="N282" s="53"/>
      <c r="O282" s="53"/>
      <c r="P282" s="56"/>
      <c r="Q282" s="73"/>
      <c r="R282" s="70"/>
      <c r="S282" s="71"/>
      <c r="T282" s="71"/>
      <c r="U282" s="66"/>
      <c r="W282" s="55"/>
      <c r="Z282" s="55"/>
    </row>
    <row r="283" spans="1:27" x14ac:dyDescent="0.2">
      <c r="A283" s="53">
        <v>505</v>
      </c>
      <c r="B283" s="54"/>
      <c r="C283" s="61" t="s">
        <v>316</v>
      </c>
      <c r="D283" s="53" t="s">
        <v>38</v>
      </c>
      <c r="E283" s="56" t="s">
        <v>39</v>
      </c>
      <c r="F283" s="58">
        <v>0</v>
      </c>
      <c r="G283" s="58">
        <v>65535</v>
      </c>
      <c r="H283" s="68">
        <v>0</v>
      </c>
      <c r="I283" s="80">
        <v>1</v>
      </c>
      <c r="J283" s="55"/>
      <c r="K283" s="56"/>
      <c r="L283" s="55" t="s">
        <v>317</v>
      </c>
      <c r="M283" s="53">
        <f>$D$5</f>
        <v>24</v>
      </c>
      <c r="N283" s="53">
        <f>$D$4</f>
        <v>5</v>
      </c>
      <c r="O283" s="53">
        <f>IF(A283&lt;&gt;"",M283*2^9+A283,"")</f>
        <v>12793</v>
      </c>
      <c r="P283" s="56" t="str">
        <f>IF(A283&lt;&gt;"","0x" &amp;DEC2HEX( O283,4),"")</f>
        <v>0x31F9</v>
      </c>
      <c r="Q283" s="73"/>
      <c r="R283" s="70"/>
      <c r="S283" s="71"/>
      <c r="T283" s="71"/>
      <c r="U283" s="66"/>
      <c r="W283" s="55"/>
      <c r="Z283" s="55"/>
    </row>
    <row r="284" spans="1:27" x14ac:dyDescent="0.2">
      <c r="A284" s="53"/>
      <c r="B284" s="54"/>
      <c r="C284" s="72" t="s">
        <v>44</v>
      </c>
      <c r="D284" s="53"/>
      <c r="E284" s="56"/>
      <c r="F284" s="58"/>
      <c r="G284" s="58"/>
      <c r="H284" s="68"/>
      <c r="I284" s="80"/>
      <c r="J284" s="55"/>
      <c r="K284" s="56"/>
      <c r="L284" s="55" t="s">
        <v>312</v>
      </c>
      <c r="M284" s="53"/>
      <c r="N284" s="53"/>
      <c r="O284" s="53"/>
      <c r="P284" s="56"/>
      <c r="Q284" s="73"/>
      <c r="R284" s="70"/>
      <c r="S284" s="71"/>
      <c r="T284" s="71"/>
      <c r="U284" s="66"/>
      <c r="W284" s="55"/>
      <c r="Z284" s="55"/>
    </row>
    <row r="285" spans="1:27" x14ac:dyDescent="0.2">
      <c r="A285" s="53"/>
      <c r="B285" s="54"/>
      <c r="C285" s="72" t="s">
        <v>44</v>
      </c>
      <c r="D285" s="53"/>
      <c r="E285" s="56"/>
      <c r="F285" s="58"/>
      <c r="G285" s="58"/>
      <c r="H285" s="68"/>
      <c r="I285" s="80"/>
      <c r="J285" s="55"/>
      <c r="K285" s="56"/>
      <c r="L285" s="55" t="s">
        <v>313</v>
      </c>
      <c r="M285" s="53"/>
      <c r="N285" s="53"/>
      <c r="O285" s="53"/>
      <c r="P285" s="56"/>
      <c r="Q285" s="73"/>
      <c r="R285" s="70"/>
      <c r="S285" s="71"/>
      <c r="T285" s="71"/>
      <c r="U285" s="66"/>
      <c r="W285" s="55"/>
      <c r="Z285" s="55"/>
    </row>
    <row r="286" spans="1:27" x14ac:dyDescent="0.2">
      <c r="A286" s="53"/>
      <c r="B286" s="54"/>
      <c r="C286" s="72" t="s">
        <v>44</v>
      </c>
      <c r="D286" s="53"/>
      <c r="E286" s="56"/>
      <c r="F286" s="58"/>
      <c r="G286" s="58"/>
      <c r="H286" s="68"/>
      <c r="I286" s="80"/>
      <c r="J286" s="55"/>
      <c r="K286" s="56"/>
      <c r="L286" s="55" t="s">
        <v>314</v>
      </c>
      <c r="M286" s="53"/>
      <c r="N286" s="53"/>
      <c r="O286" s="53"/>
      <c r="P286" s="56"/>
      <c r="Q286" s="73"/>
      <c r="R286" s="70"/>
      <c r="S286" s="71"/>
      <c r="T286" s="71"/>
      <c r="U286" s="66"/>
      <c r="W286" s="55"/>
      <c r="Z286" s="55"/>
    </row>
    <row r="287" spans="1:27" x14ac:dyDescent="0.2">
      <c r="A287" s="53"/>
      <c r="B287" s="54"/>
      <c r="C287" s="72" t="s">
        <v>44</v>
      </c>
      <c r="D287" s="53"/>
      <c r="E287" s="56"/>
      <c r="F287" s="58"/>
      <c r="G287" s="58"/>
      <c r="H287" s="68"/>
      <c r="I287" s="80"/>
      <c r="J287" s="55"/>
      <c r="K287" s="56"/>
      <c r="L287" s="55" t="s">
        <v>315</v>
      </c>
      <c r="M287" s="53"/>
      <c r="N287" s="53"/>
      <c r="O287" s="53"/>
      <c r="P287" s="56"/>
      <c r="Q287" s="73"/>
      <c r="R287" s="70"/>
      <c r="S287" s="71"/>
      <c r="T287" s="71"/>
      <c r="U287" s="66"/>
      <c r="W287" s="55"/>
      <c r="Z287" s="55"/>
    </row>
    <row r="288" spans="1:27" x14ac:dyDescent="0.2">
      <c r="A288" s="53">
        <v>506</v>
      </c>
      <c r="B288" s="54"/>
      <c r="C288" s="61" t="s">
        <v>318</v>
      </c>
      <c r="D288" s="53" t="s">
        <v>42</v>
      </c>
      <c r="E288" s="56" t="s">
        <v>39</v>
      </c>
      <c r="F288" s="58">
        <v>0</v>
      </c>
      <c r="G288" s="58">
        <v>65535</v>
      </c>
      <c r="H288" s="68">
        <v>0</v>
      </c>
      <c r="I288" s="80">
        <v>1</v>
      </c>
      <c r="J288" s="55"/>
      <c r="K288" s="56"/>
      <c r="L288" s="55" t="s">
        <v>319</v>
      </c>
      <c r="M288" s="53">
        <f>$D$5</f>
        <v>24</v>
      </c>
      <c r="N288" s="53">
        <f>$D$4</f>
        <v>5</v>
      </c>
      <c r="O288" s="53">
        <f>IF(A288&lt;&gt;"",M288*2^9+A288,"")</f>
        <v>12794</v>
      </c>
      <c r="P288" s="56" t="str">
        <f>IF(A288&lt;&gt;"","0x" &amp;DEC2HEX( O288,4),"")</f>
        <v>0x31FA</v>
      </c>
      <c r="Q288" s="73"/>
      <c r="R288" s="70"/>
      <c r="S288" s="71"/>
      <c r="T288" s="71"/>
      <c r="U288" s="66"/>
      <c r="W288" s="55"/>
      <c r="Z288" s="55"/>
    </row>
    <row r="289" spans="1:26" x14ac:dyDescent="0.2">
      <c r="A289" s="53"/>
      <c r="B289" s="54"/>
      <c r="C289" s="72" t="s">
        <v>44</v>
      </c>
      <c r="D289" s="53"/>
      <c r="E289" s="56"/>
      <c r="F289" s="58"/>
      <c r="G289" s="58"/>
      <c r="H289" s="68"/>
      <c r="I289" s="80"/>
      <c r="J289" s="55"/>
      <c r="K289" s="56"/>
      <c r="L289" s="55" t="s">
        <v>312</v>
      </c>
      <c r="M289" s="53"/>
      <c r="N289" s="53"/>
      <c r="O289" s="53"/>
      <c r="P289" s="56"/>
      <c r="Q289" s="73"/>
      <c r="R289" s="70"/>
      <c r="S289" s="71"/>
      <c r="T289" s="71"/>
      <c r="U289" s="66"/>
      <c r="W289" s="55"/>
      <c r="Z289" s="55"/>
    </row>
    <row r="290" spans="1:26" x14ac:dyDescent="0.2">
      <c r="A290" s="53"/>
      <c r="B290" s="54"/>
      <c r="C290" s="72" t="s">
        <v>44</v>
      </c>
      <c r="D290" s="53"/>
      <c r="E290" s="56"/>
      <c r="F290" s="58"/>
      <c r="G290" s="58"/>
      <c r="H290" s="68"/>
      <c r="I290" s="80"/>
      <c r="J290" s="55"/>
      <c r="K290" s="56"/>
      <c r="L290" s="55" t="s">
        <v>313</v>
      </c>
      <c r="M290" s="53"/>
      <c r="N290" s="53"/>
      <c r="O290" s="53"/>
      <c r="P290" s="56"/>
      <c r="Q290" s="73"/>
      <c r="R290" s="70"/>
      <c r="S290" s="71"/>
      <c r="T290" s="71"/>
      <c r="U290" s="66"/>
      <c r="W290" s="55"/>
      <c r="Z290" s="55"/>
    </row>
    <row r="291" spans="1:26" x14ac:dyDescent="0.2">
      <c r="A291" s="53"/>
      <c r="B291" s="54"/>
      <c r="C291" s="72" t="s">
        <v>44</v>
      </c>
      <c r="D291" s="53"/>
      <c r="E291" s="56"/>
      <c r="F291" s="58"/>
      <c r="G291" s="58"/>
      <c r="H291" s="68"/>
      <c r="I291" s="80"/>
      <c r="J291" s="55"/>
      <c r="K291" s="56"/>
      <c r="L291" s="55" t="s">
        <v>314</v>
      </c>
      <c r="M291" s="53"/>
      <c r="N291" s="53"/>
      <c r="O291" s="53"/>
      <c r="P291" s="56"/>
      <c r="Q291" s="73"/>
      <c r="R291" s="70"/>
      <c r="S291" s="71"/>
      <c r="T291" s="71"/>
      <c r="U291" s="66"/>
      <c r="W291" s="55"/>
      <c r="Z291" s="55"/>
    </row>
    <row r="292" spans="1:26" x14ac:dyDescent="0.2">
      <c r="A292" s="53"/>
      <c r="B292" s="54"/>
      <c r="C292" s="72" t="s">
        <v>44</v>
      </c>
      <c r="D292" s="53"/>
      <c r="E292" s="56"/>
      <c r="F292" s="58"/>
      <c r="G292" s="58"/>
      <c r="H292" s="68"/>
      <c r="I292" s="80"/>
      <c r="J292" s="55"/>
      <c r="K292" s="56"/>
      <c r="L292" s="55" t="s">
        <v>315</v>
      </c>
      <c r="M292" s="53"/>
      <c r="N292" s="53"/>
      <c r="O292" s="53"/>
      <c r="P292" s="56"/>
      <c r="Q292" s="73"/>
      <c r="R292" s="70"/>
      <c r="S292" s="71"/>
      <c r="T292" s="71"/>
      <c r="U292" s="66"/>
      <c r="W292" s="55"/>
      <c r="Z292" s="55"/>
    </row>
    <row r="293" spans="1:26" x14ac:dyDescent="0.2">
      <c r="A293" s="53">
        <v>507</v>
      </c>
      <c r="B293" s="54"/>
      <c r="C293" s="61" t="s">
        <v>320</v>
      </c>
      <c r="D293" s="53" t="s">
        <v>42</v>
      </c>
      <c r="E293" s="56" t="s">
        <v>39</v>
      </c>
      <c r="F293" s="58">
        <v>0</v>
      </c>
      <c r="G293" s="58">
        <v>65535</v>
      </c>
      <c r="H293" s="68">
        <v>0</v>
      </c>
      <c r="I293" s="80">
        <v>1</v>
      </c>
      <c r="J293" s="55"/>
      <c r="K293" s="56"/>
      <c r="L293" s="55" t="s">
        <v>321</v>
      </c>
      <c r="M293" s="53">
        <f>$D$5</f>
        <v>24</v>
      </c>
      <c r="N293" s="53">
        <f>$D$4</f>
        <v>5</v>
      </c>
      <c r="O293" s="53">
        <f>IF(A293&lt;&gt;"",M293*2^9+A293,"")</f>
        <v>12795</v>
      </c>
      <c r="P293" s="56" t="str">
        <f>IF(A293&lt;&gt;"","0x" &amp;DEC2HEX( O293,4),"")</f>
        <v>0x31FB</v>
      </c>
      <c r="Q293" s="73"/>
      <c r="R293" s="70"/>
      <c r="S293" s="71"/>
      <c r="T293" s="71"/>
      <c r="U293" s="66"/>
      <c r="W293" s="55"/>
      <c r="Z293" s="55"/>
    </row>
    <row r="294" spans="1:26" x14ac:dyDescent="0.2">
      <c r="A294" s="53"/>
      <c r="B294" s="54"/>
      <c r="C294" s="72" t="s">
        <v>44</v>
      </c>
      <c r="D294" s="53"/>
      <c r="E294" s="56"/>
      <c r="F294" s="58"/>
      <c r="G294" s="58"/>
      <c r="H294" s="68"/>
      <c r="I294" s="80"/>
      <c r="J294" s="55"/>
      <c r="K294" s="56"/>
      <c r="L294" s="55" t="s">
        <v>312</v>
      </c>
      <c r="M294" s="53"/>
      <c r="N294" s="53"/>
      <c r="O294" s="53"/>
      <c r="P294" s="56"/>
      <c r="Q294" s="73"/>
      <c r="R294" s="70"/>
      <c r="S294" s="71"/>
      <c r="T294" s="71"/>
      <c r="U294" s="66"/>
      <c r="W294" s="55"/>
      <c r="Z294" s="55"/>
    </row>
    <row r="295" spans="1:26" x14ac:dyDescent="0.2">
      <c r="A295" s="53"/>
      <c r="B295" s="54"/>
      <c r="C295" s="72" t="s">
        <v>44</v>
      </c>
      <c r="D295" s="53"/>
      <c r="E295" s="56"/>
      <c r="F295" s="58"/>
      <c r="G295" s="58"/>
      <c r="H295" s="68"/>
      <c r="I295" s="80"/>
      <c r="J295" s="55"/>
      <c r="K295" s="56"/>
      <c r="L295" s="55" t="s">
        <v>313</v>
      </c>
      <c r="M295" s="53"/>
      <c r="N295" s="53"/>
      <c r="O295" s="53"/>
      <c r="P295" s="56"/>
      <c r="Q295" s="73"/>
      <c r="R295" s="70"/>
      <c r="S295" s="71"/>
      <c r="T295" s="71"/>
      <c r="U295" s="66"/>
      <c r="W295" s="55"/>
      <c r="Z295" s="55"/>
    </row>
    <row r="296" spans="1:26" x14ac:dyDescent="0.2">
      <c r="A296" s="53"/>
      <c r="B296" s="54"/>
      <c r="C296" s="72" t="s">
        <v>44</v>
      </c>
      <c r="D296" s="53"/>
      <c r="E296" s="56"/>
      <c r="F296" s="58"/>
      <c r="G296" s="58"/>
      <c r="H296" s="68"/>
      <c r="I296" s="80"/>
      <c r="J296" s="55"/>
      <c r="K296" s="56"/>
      <c r="L296" s="55" t="s">
        <v>314</v>
      </c>
      <c r="M296" s="53"/>
      <c r="N296" s="53"/>
      <c r="O296" s="53"/>
      <c r="P296" s="56"/>
      <c r="Q296" s="73"/>
      <c r="R296" s="70"/>
      <c r="S296" s="71"/>
      <c r="T296" s="71"/>
      <c r="U296" s="66"/>
      <c r="W296" s="55"/>
      <c r="Z296" s="55"/>
    </row>
    <row r="297" spans="1:26" x14ac:dyDescent="0.2">
      <c r="A297" s="53"/>
      <c r="B297" s="54"/>
      <c r="C297" s="72" t="s">
        <v>44</v>
      </c>
      <c r="D297" s="53"/>
      <c r="E297" s="56"/>
      <c r="F297" s="58"/>
      <c r="G297" s="58"/>
      <c r="H297" s="68"/>
      <c r="I297" s="80"/>
      <c r="J297" s="55"/>
      <c r="K297" s="56"/>
      <c r="L297" s="55" t="s">
        <v>315</v>
      </c>
      <c r="M297" s="53"/>
      <c r="N297" s="53"/>
      <c r="O297" s="53"/>
      <c r="P297" s="56"/>
      <c r="Q297" s="73"/>
      <c r="R297" s="70"/>
      <c r="S297" s="71"/>
      <c r="T297" s="71"/>
      <c r="U297" s="66"/>
      <c r="W297" s="55"/>
      <c r="Z297" s="55"/>
    </row>
    <row r="298" spans="1:26" x14ac:dyDescent="0.2">
      <c r="A298" s="53"/>
      <c r="B298" s="54"/>
      <c r="C298" s="61"/>
      <c r="D298" s="53"/>
      <c r="E298" s="56"/>
      <c r="F298" s="58"/>
      <c r="G298" s="58"/>
      <c r="H298" s="68"/>
      <c r="I298" s="80"/>
      <c r="J298" s="55"/>
      <c r="K298" s="56"/>
      <c r="L298" s="55"/>
      <c r="M298" s="53">
        <f>$D$5</f>
        <v>24</v>
      </c>
      <c r="N298" s="53">
        <f>$D$4</f>
        <v>5</v>
      </c>
      <c r="O298" s="53" t="str">
        <f>IF(A298&lt;&gt;"",M298*2^9+A298,"")</f>
        <v/>
      </c>
      <c r="P298" s="56" t="str">
        <f>IF(A298&lt;&gt;"","0x" &amp;DEC2HEX( O298,4),"")</f>
        <v/>
      </c>
      <c r="Q298" s="73"/>
      <c r="R298" s="70"/>
      <c r="S298" s="71"/>
      <c r="T298" s="71"/>
      <c r="U298" s="66"/>
      <c r="W298" s="55"/>
      <c r="Z298" s="55"/>
    </row>
    <row r="299" spans="1:26" x14ac:dyDescent="0.2">
      <c r="A299" s="53">
        <v>509</v>
      </c>
      <c r="B299" s="54"/>
      <c r="C299" s="61" t="s">
        <v>322</v>
      </c>
      <c r="D299" s="53" t="s">
        <v>38</v>
      </c>
      <c r="E299" s="56" t="s">
        <v>39</v>
      </c>
      <c r="F299" s="58">
        <v>0</v>
      </c>
      <c r="G299" s="58">
        <v>255</v>
      </c>
      <c r="H299" s="68">
        <v>0</v>
      </c>
      <c r="I299" s="80">
        <v>1</v>
      </c>
      <c r="J299" s="55"/>
      <c r="K299" s="56"/>
      <c r="L299" s="55" t="s">
        <v>323</v>
      </c>
      <c r="M299" s="53">
        <f>$D$5</f>
        <v>24</v>
      </c>
      <c r="N299" s="53">
        <f>$D$4</f>
        <v>5</v>
      </c>
      <c r="O299" s="53">
        <f>IF(A299&lt;&gt;"",M299*2^9+A299,"")</f>
        <v>12797</v>
      </c>
      <c r="P299" s="56" t="str">
        <f>IF(A299&lt;&gt;"","0x" &amp;DEC2HEX( O299,4),"")</f>
        <v>0x31FD</v>
      </c>
      <c r="Q299" s="73"/>
      <c r="R299" s="70"/>
      <c r="S299" s="71"/>
      <c r="T299" s="71"/>
      <c r="U299" s="66"/>
      <c r="V299" s="12" t="s">
        <v>322</v>
      </c>
      <c r="W299" s="55" t="s">
        <v>324</v>
      </c>
      <c r="X299" s="14">
        <v>0</v>
      </c>
      <c r="Z299" s="55"/>
    </row>
    <row r="300" spans="1:26" x14ac:dyDescent="0.2">
      <c r="A300" s="53"/>
      <c r="B300" s="54"/>
      <c r="C300" s="72" t="s">
        <v>44</v>
      </c>
      <c r="D300" s="53"/>
      <c r="E300" s="56"/>
      <c r="F300" s="58"/>
      <c r="G300" s="58"/>
      <c r="H300" s="68"/>
      <c r="I300" s="80"/>
      <c r="J300" s="55"/>
      <c r="K300" s="56"/>
      <c r="L300" s="55"/>
      <c r="M300" s="53"/>
      <c r="N300" s="53"/>
      <c r="O300" s="53"/>
      <c r="P300" s="56"/>
      <c r="Q300" s="73"/>
      <c r="R300" s="70"/>
      <c r="S300" s="71"/>
      <c r="T300" s="71"/>
      <c r="U300" s="66"/>
      <c r="V300" s="12" t="s">
        <v>322</v>
      </c>
      <c r="W300" s="55" t="s">
        <v>325</v>
      </c>
      <c r="X300" s="14">
        <v>1</v>
      </c>
      <c r="Z300" s="55"/>
    </row>
    <row r="301" spans="1:26" x14ac:dyDescent="0.2">
      <c r="A301" s="53"/>
      <c r="B301" s="54"/>
      <c r="C301" s="72" t="s">
        <v>44</v>
      </c>
      <c r="D301" s="53"/>
      <c r="E301" s="56"/>
      <c r="F301" s="58"/>
      <c r="G301" s="58"/>
      <c r="H301" s="68"/>
      <c r="I301" s="80"/>
      <c r="J301" s="55"/>
      <c r="K301" s="56"/>
      <c r="L301" s="55"/>
      <c r="M301" s="53"/>
      <c r="N301" s="53"/>
      <c r="O301" s="53"/>
      <c r="P301" s="56"/>
      <c r="Q301" s="73"/>
      <c r="R301" s="70"/>
      <c r="S301" s="71"/>
      <c r="T301" s="71"/>
      <c r="U301" s="66"/>
      <c r="V301" s="12" t="s">
        <v>322</v>
      </c>
      <c r="W301" s="55" t="s">
        <v>326</v>
      </c>
      <c r="X301" s="14">
        <v>2</v>
      </c>
      <c r="Z301" s="55"/>
    </row>
    <row r="302" spans="1:26" x14ac:dyDescent="0.2">
      <c r="A302" s="53"/>
      <c r="B302" s="54"/>
      <c r="C302" s="72" t="s">
        <v>44</v>
      </c>
      <c r="D302" s="53"/>
      <c r="E302" s="56"/>
      <c r="F302" s="58"/>
      <c r="G302" s="58"/>
      <c r="H302" s="68"/>
      <c r="I302" s="80"/>
      <c r="J302" s="55"/>
      <c r="K302" s="56"/>
      <c r="L302" s="55"/>
      <c r="M302" s="53"/>
      <c r="N302" s="53"/>
      <c r="O302" s="53"/>
      <c r="P302" s="56"/>
      <c r="Q302" s="73"/>
      <c r="R302" s="70"/>
      <c r="S302" s="71"/>
      <c r="T302" s="71"/>
      <c r="U302" s="66"/>
      <c r="V302" s="12" t="s">
        <v>322</v>
      </c>
      <c r="W302" s="55" t="s">
        <v>327</v>
      </c>
      <c r="X302" s="14">
        <v>3</v>
      </c>
      <c r="Z302" s="55"/>
    </row>
    <row r="303" spans="1:26" x14ac:dyDescent="0.2">
      <c r="A303" s="53"/>
      <c r="B303" s="54"/>
      <c r="C303" s="72" t="s">
        <v>44</v>
      </c>
      <c r="D303" s="53"/>
      <c r="E303" s="56"/>
      <c r="F303" s="58"/>
      <c r="G303" s="58"/>
      <c r="H303" s="68"/>
      <c r="I303" s="80"/>
      <c r="J303" s="55"/>
      <c r="K303" s="56"/>
      <c r="L303" s="55"/>
      <c r="M303" s="53"/>
      <c r="N303" s="53"/>
      <c r="O303" s="53"/>
      <c r="P303" s="56"/>
      <c r="Q303" s="73"/>
      <c r="R303" s="70"/>
      <c r="S303" s="71"/>
      <c r="T303" s="71"/>
      <c r="U303" s="66"/>
      <c r="V303" s="12" t="s">
        <v>322</v>
      </c>
      <c r="W303" s="55" t="s">
        <v>328</v>
      </c>
      <c r="X303" s="14">
        <v>4</v>
      </c>
      <c r="Z303" s="55"/>
    </row>
    <row r="304" spans="1:26" x14ac:dyDescent="0.2">
      <c r="A304" s="53"/>
      <c r="B304" s="54"/>
      <c r="C304" s="72" t="s">
        <v>44</v>
      </c>
      <c r="D304" s="53"/>
      <c r="E304" s="56"/>
      <c r="F304" s="58"/>
      <c r="G304" s="58"/>
      <c r="H304" s="68"/>
      <c r="I304" s="80"/>
      <c r="J304" s="55"/>
      <c r="K304" s="56"/>
      <c r="L304" s="55"/>
      <c r="M304" s="53"/>
      <c r="N304" s="53"/>
      <c r="O304" s="53"/>
      <c r="P304" s="56"/>
      <c r="Q304" s="73"/>
      <c r="R304" s="70"/>
      <c r="S304" s="71"/>
      <c r="T304" s="71"/>
      <c r="U304" s="66"/>
      <c r="V304" s="12" t="s">
        <v>322</v>
      </c>
      <c r="W304" s="55" t="s">
        <v>329</v>
      </c>
      <c r="X304" s="14">
        <v>5</v>
      </c>
      <c r="Z304" s="55"/>
    </row>
    <row r="305" spans="1:27" x14ac:dyDescent="0.2">
      <c r="A305" s="53"/>
      <c r="B305" s="54"/>
      <c r="C305" s="72" t="s">
        <v>44</v>
      </c>
      <c r="D305" s="53"/>
      <c r="E305" s="56"/>
      <c r="F305" s="58"/>
      <c r="G305" s="58"/>
      <c r="H305" s="68"/>
      <c r="I305" s="80"/>
      <c r="J305" s="55"/>
      <c r="K305" s="56"/>
      <c r="L305" s="55"/>
      <c r="M305" s="53"/>
      <c r="N305" s="53"/>
      <c r="O305" s="53"/>
      <c r="P305" s="56"/>
      <c r="Q305" s="73"/>
      <c r="R305" s="70"/>
      <c r="S305" s="71"/>
      <c r="T305" s="71"/>
      <c r="U305" s="66"/>
      <c r="V305" s="12" t="s">
        <v>322</v>
      </c>
      <c r="W305" s="55" t="s">
        <v>330</v>
      </c>
      <c r="X305" s="14">
        <v>6</v>
      </c>
      <c r="Z305" s="55"/>
    </row>
    <row r="306" spans="1:27" x14ac:dyDescent="0.2">
      <c r="A306" s="53"/>
      <c r="B306" s="54"/>
      <c r="C306" s="72" t="s">
        <v>44</v>
      </c>
      <c r="D306" s="53"/>
      <c r="E306" s="56"/>
      <c r="F306" s="58"/>
      <c r="G306" s="58"/>
      <c r="H306" s="68"/>
      <c r="I306" s="80"/>
      <c r="J306" s="55"/>
      <c r="K306" s="56"/>
      <c r="L306" s="55"/>
      <c r="M306" s="53"/>
      <c r="N306" s="53"/>
      <c r="O306" s="53"/>
      <c r="P306" s="56"/>
      <c r="Q306" s="73"/>
      <c r="R306" s="70"/>
      <c r="S306" s="71"/>
      <c r="T306" s="71"/>
      <c r="U306" s="66"/>
      <c r="V306" s="12" t="s">
        <v>322</v>
      </c>
      <c r="W306" s="55" t="s">
        <v>331</v>
      </c>
      <c r="X306" s="14">
        <v>7</v>
      </c>
      <c r="Z306" s="55"/>
    </row>
    <row r="307" spans="1:27" x14ac:dyDescent="0.2">
      <c r="A307" s="53"/>
      <c r="B307" s="54"/>
      <c r="C307" s="72" t="s">
        <v>44</v>
      </c>
      <c r="D307" s="53"/>
      <c r="E307" s="56"/>
      <c r="F307" s="58"/>
      <c r="G307" s="58"/>
      <c r="H307" s="68"/>
      <c r="I307" s="80"/>
      <c r="J307" s="55"/>
      <c r="K307" s="56"/>
      <c r="L307" s="55"/>
      <c r="M307" s="53"/>
      <c r="N307" s="53"/>
      <c r="O307" s="53"/>
      <c r="P307" s="56"/>
      <c r="Q307" s="73"/>
      <c r="R307" s="70"/>
      <c r="S307" s="71"/>
      <c r="T307" s="71"/>
      <c r="U307" s="66"/>
      <c r="V307" s="12" t="s">
        <v>322</v>
      </c>
      <c r="W307" s="55" t="s">
        <v>332</v>
      </c>
      <c r="X307" s="14">
        <v>8</v>
      </c>
      <c r="Z307" s="55"/>
    </row>
    <row r="308" spans="1:27" x14ac:dyDescent="0.2">
      <c r="A308" s="53"/>
      <c r="B308" s="54"/>
      <c r="C308" s="72" t="s">
        <v>44</v>
      </c>
      <c r="D308" s="53"/>
      <c r="E308" s="56"/>
      <c r="F308" s="58"/>
      <c r="G308" s="58"/>
      <c r="H308" s="68"/>
      <c r="I308" s="80"/>
      <c r="J308" s="55"/>
      <c r="K308" s="56"/>
      <c r="L308" s="55"/>
      <c r="M308" s="53"/>
      <c r="N308" s="53"/>
      <c r="O308" s="53"/>
      <c r="P308" s="56"/>
      <c r="Q308" s="73"/>
      <c r="R308" s="70"/>
      <c r="S308" s="71"/>
      <c r="T308" s="71"/>
      <c r="U308" s="66"/>
      <c r="V308" s="12" t="s">
        <v>322</v>
      </c>
      <c r="W308" s="55" t="s">
        <v>333</v>
      </c>
      <c r="X308" s="14">
        <v>240</v>
      </c>
      <c r="Z308" s="55"/>
    </row>
    <row r="309" spans="1:27" x14ac:dyDescent="0.2">
      <c r="A309" s="53"/>
      <c r="B309" s="54"/>
      <c r="C309" s="72" t="s">
        <v>44</v>
      </c>
      <c r="D309" s="53"/>
      <c r="E309" s="56"/>
      <c r="F309" s="58"/>
      <c r="G309" s="58"/>
      <c r="H309" s="68"/>
      <c r="I309" s="80"/>
      <c r="J309" s="55"/>
      <c r="K309" s="56"/>
      <c r="L309" s="55"/>
      <c r="M309" s="53"/>
      <c r="N309" s="53"/>
      <c r="O309" s="53"/>
      <c r="P309" s="56"/>
      <c r="Q309" s="73"/>
      <c r="R309" s="70"/>
      <c r="S309" s="71"/>
      <c r="T309" s="71"/>
      <c r="U309" s="66"/>
      <c r="V309" s="12" t="s">
        <v>322</v>
      </c>
      <c r="W309" s="55" t="s">
        <v>334</v>
      </c>
      <c r="X309" s="14">
        <v>255</v>
      </c>
      <c r="Z309" s="55"/>
    </row>
    <row r="310" spans="1:27" x14ac:dyDescent="0.2">
      <c r="A310" s="53"/>
      <c r="B310" s="54"/>
      <c r="C310" s="55"/>
      <c r="D310" s="53"/>
      <c r="E310" s="56"/>
      <c r="F310" s="56"/>
      <c r="G310" s="58"/>
      <c r="H310" s="68"/>
      <c r="I310" s="75"/>
      <c r="J310" s="83"/>
      <c r="K310" s="84"/>
      <c r="L310" s="55"/>
      <c r="M310" s="53">
        <f>$D$5</f>
        <v>24</v>
      </c>
      <c r="N310" s="53">
        <f>$D$4</f>
        <v>5</v>
      </c>
      <c r="O310" s="53" t="str">
        <f>IF(A310&lt;&gt;"",M310*2^9+A310,"")</f>
        <v/>
      </c>
      <c r="P310" s="56" t="str">
        <f>IF(A310&lt;&gt;"","0x" &amp;DEC2HEX( O310,4),"")</f>
        <v/>
      </c>
      <c r="Q310" s="73"/>
      <c r="R310" s="70"/>
      <c r="S310" s="71"/>
      <c r="T310" s="71"/>
      <c r="U310" s="66"/>
      <c r="W310" s="55"/>
      <c r="Z310" s="55"/>
    </row>
    <row r="311" spans="1:27" x14ac:dyDescent="0.2">
      <c r="A311" s="53">
        <v>494</v>
      </c>
      <c r="B311" s="54"/>
      <c r="C311" s="55" t="str">
        <f>"GD_ID_"&amp;$D$3&amp;"_ErrorManagement"</f>
        <v>GD_ID_SCT_ErrorManagement</v>
      </c>
      <c r="D311" s="85" t="s">
        <v>55</v>
      </c>
      <c r="E311" s="78" t="s">
        <v>130</v>
      </c>
      <c r="F311" s="85">
        <v>0</v>
      </c>
      <c r="G311" s="86">
        <v>255</v>
      </c>
      <c r="H311" s="87"/>
      <c r="I311" s="78"/>
      <c r="J311" s="74"/>
      <c r="K311" s="88" t="s">
        <v>335</v>
      </c>
      <c r="L311" s="89" t="s">
        <v>336</v>
      </c>
      <c r="M311" s="53">
        <f>$D$5</f>
        <v>24</v>
      </c>
      <c r="N311" s="53">
        <f>$D$4</f>
        <v>5</v>
      </c>
      <c r="O311" s="53">
        <f>IF(A311&lt;&gt;"",M311*2^9+A311,"")</f>
        <v>12782</v>
      </c>
      <c r="P311" s="56" t="str">
        <f>IF(A311&lt;&gt;"","0x" &amp;DEC2HEX( O311,4),"")</f>
        <v>0x31EE</v>
      </c>
      <c r="Q311" s="73" t="s">
        <v>337</v>
      </c>
      <c r="R311" s="70"/>
      <c r="S311" s="71"/>
      <c r="T311" s="71"/>
      <c r="U311" s="66"/>
      <c r="W311" s="55"/>
      <c r="Z311" s="55"/>
    </row>
    <row r="312" spans="1:27" x14ac:dyDescent="0.2">
      <c r="A312" s="53"/>
      <c r="B312" s="90"/>
      <c r="C312" s="55"/>
      <c r="D312" s="53"/>
      <c r="E312" s="56"/>
      <c r="F312" s="56"/>
      <c r="G312" s="58"/>
      <c r="H312" s="68"/>
      <c r="I312" s="91"/>
      <c r="J312" s="55"/>
      <c r="K312" s="56"/>
      <c r="L312" s="55"/>
      <c r="M312" s="53">
        <f>$D$5</f>
        <v>24</v>
      </c>
      <c r="N312" s="53">
        <f>$D$4</f>
        <v>5</v>
      </c>
      <c r="O312" s="53" t="str">
        <f>IF(A312&lt;&gt;"",M312*2^9+A312,"")</f>
        <v/>
      </c>
      <c r="P312" s="56" t="str">
        <f>IF(A312&lt;&gt;"","0x" &amp;DEC2HEX( O312,4),"")</f>
        <v/>
      </c>
      <c r="Q312" s="73"/>
      <c r="R312" s="70"/>
      <c r="S312" s="71"/>
      <c r="T312" s="71"/>
      <c r="U312" s="66"/>
      <c r="W312" s="55"/>
      <c r="Z312" s="55"/>
    </row>
    <row r="313" spans="1:27" x14ac:dyDescent="0.2">
      <c r="A313" s="92">
        <v>511</v>
      </c>
      <c r="B313" s="93"/>
      <c r="C313" s="94" t="str">
        <f>"GD_ID_"&amp;$D$3&amp;"_LifeMessage"</f>
        <v>GD_ID_SCT_LifeMessage</v>
      </c>
      <c r="D313" s="95" t="s">
        <v>42</v>
      </c>
      <c r="E313" s="96" t="s">
        <v>39</v>
      </c>
      <c r="F313" s="97">
        <v>0</v>
      </c>
      <c r="G313" s="97">
        <v>65535</v>
      </c>
      <c r="H313" s="97"/>
      <c r="I313" s="97">
        <v>1</v>
      </c>
      <c r="J313" s="95" t="s">
        <v>338</v>
      </c>
      <c r="K313" s="98" t="s">
        <v>339</v>
      </c>
      <c r="L313" s="94" t="s">
        <v>340</v>
      </c>
      <c r="M313" s="99">
        <f>$D$5</f>
        <v>24</v>
      </c>
      <c r="N313" s="99">
        <f>$D$4</f>
        <v>5</v>
      </c>
      <c r="O313" s="99">
        <f xml:space="preserve"> (M313*512+A313)</f>
        <v>12799</v>
      </c>
      <c r="P313" s="92" t="str">
        <f>IF(A313&lt;&gt;"","0x" &amp;DEC2HEX( O313,4),"")</f>
        <v>0x31FF</v>
      </c>
      <c r="Q313" s="100"/>
      <c r="R313" s="101" t="s">
        <v>341</v>
      </c>
      <c r="S313" s="102"/>
      <c r="T313" s="102"/>
      <c r="U313" s="103"/>
      <c r="V313" s="104"/>
      <c r="W313" s="94"/>
      <c r="X313" s="105"/>
      <c r="Y313" s="106"/>
      <c r="Z313" s="94"/>
      <c r="AA313" s="106"/>
    </row>
    <row r="314" spans="1:27" x14ac:dyDescent="0.2">
      <c r="A314" s="107" t="s">
        <v>342</v>
      </c>
      <c r="B314" s="90"/>
      <c r="Q314" s="73"/>
      <c r="R314" s="70"/>
      <c r="S314" s="18"/>
      <c r="T314" s="18"/>
      <c r="U314" s="18"/>
    </row>
    <row r="315" spans="1:27" x14ac:dyDescent="0.2">
      <c r="B315" s="90"/>
      <c r="Q315" s="73"/>
      <c r="R315" s="70"/>
      <c r="S315" s="18"/>
      <c r="T315" s="18"/>
      <c r="U315" s="18"/>
    </row>
    <row r="316" spans="1:27" x14ac:dyDescent="0.2">
      <c r="A316" s="109" t="s">
        <v>343</v>
      </c>
      <c r="B316" s="90"/>
      <c r="G316" s="109"/>
      <c r="H316" s="109"/>
      <c r="J316" s="107"/>
      <c r="Q316" s="73"/>
      <c r="R316" s="70"/>
      <c r="S316" s="18"/>
      <c r="T316" s="18"/>
      <c r="U316" s="18"/>
    </row>
    <row r="317" spans="1:27" x14ac:dyDescent="0.2">
      <c r="A317" s="110"/>
      <c r="B317" s="90"/>
      <c r="C317" s="111" t="s">
        <v>344</v>
      </c>
      <c r="J317" s="108"/>
      <c r="Q317" s="73"/>
      <c r="R317" s="70"/>
      <c r="S317" s="18"/>
      <c r="T317" s="18"/>
      <c r="U317" s="18"/>
    </row>
    <row r="318" spans="1:27" x14ac:dyDescent="0.2">
      <c r="B318" s="90"/>
      <c r="C318" s="111" t="s">
        <v>345</v>
      </c>
      <c r="J318" s="108"/>
      <c r="Q318" s="73"/>
      <c r="R318" s="70"/>
      <c r="S318" s="18"/>
      <c r="T318" s="18"/>
      <c r="U318" s="18"/>
    </row>
    <row r="319" spans="1:27" x14ac:dyDescent="0.2">
      <c r="B319" s="90"/>
      <c r="C319" t="s">
        <v>346</v>
      </c>
      <c r="J319" s="108"/>
      <c r="Q319" s="73"/>
      <c r="R319" s="70"/>
      <c r="S319" s="18"/>
      <c r="T319" s="18"/>
      <c r="U319" s="18"/>
    </row>
    <row r="320" spans="1:27" x14ac:dyDescent="0.2">
      <c r="B320" s="90"/>
      <c r="J320" s="108"/>
      <c r="Q320" s="73"/>
      <c r="R320" s="18"/>
      <c r="S320" s="18"/>
      <c r="T320" s="18"/>
      <c r="U320" s="18"/>
    </row>
    <row r="321" spans="1:21" x14ac:dyDescent="0.2">
      <c r="B321" s="90"/>
      <c r="D321"/>
      <c r="E321"/>
      <c r="Q321" s="73"/>
      <c r="R321" s="18"/>
      <c r="S321" s="18"/>
      <c r="T321" s="18"/>
      <c r="U321" s="18"/>
    </row>
    <row r="322" spans="1:21" x14ac:dyDescent="0.2">
      <c r="B322" s="90"/>
      <c r="Q322" s="73"/>
      <c r="R322" s="18"/>
      <c r="S322" s="18"/>
      <c r="T322" s="18"/>
      <c r="U322" s="18"/>
    </row>
    <row r="323" spans="1:21" x14ac:dyDescent="0.2">
      <c r="A323" s="109"/>
      <c r="B323" s="90"/>
      <c r="Q323" s="73"/>
      <c r="R323" s="18"/>
      <c r="S323" s="18"/>
      <c r="T323" s="18"/>
      <c r="U323" s="18"/>
    </row>
    <row r="324" spans="1:21" x14ac:dyDescent="0.2">
      <c r="B324" s="90"/>
      <c r="Q324" s="73"/>
      <c r="R324" s="18"/>
      <c r="S324" s="18"/>
      <c r="T324" s="18"/>
      <c r="U324" s="18"/>
    </row>
    <row r="325" spans="1:21" x14ac:dyDescent="0.2">
      <c r="A325" s="109"/>
      <c r="B325" s="90"/>
      <c r="Q325" s="73"/>
      <c r="R325" s="18"/>
      <c r="S325" s="18"/>
      <c r="T325" s="18"/>
      <c r="U325" s="18"/>
    </row>
    <row r="326" spans="1:21" x14ac:dyDescent="0.2">
      <c r="B326" s="90"/>
      <c r="Q326" s="73"/>
      <c r="R326" s="18"/>
      <c r="S326" s="18"/>
      <c r="T326" s="18"/>
      <c r="U326" s="18"/>
    </row>
    <row r="327" spans="1:21" x14ac:dyDescent="0.2">
      <c r="B327" s="90"/>
      <c r="Q327" s="73"/>
      <c r="R327" s="18"/>
      <c r="S327" s="18"/>
      <c r="T327" s="18"/>
      <c r="U327" s="18"/>
    </row>
    <row r="328" spans="1:21" x14ac:dyDescent="0.2">
      <c r="B328" s="90"/>
      <c r="Q328" s="73"/>
      <c r="R328" s="18"/>
      <c r="S328" s="18"/>
      <c r="T328" s="18"/>
      <c r="U328" s="18"/>
    </row>
    <row r="329" spans="1:21" x14ac:dyDescent="0.2">
      <c r="B329" s="90"/>
      <c r="Q329" s="73"/>
      <c r="R329" s="18"/>
      <c r="S329" s="18"/>
      <c r="T329" s="18"/>
      <c r="U329" s="18"/>
    </row>
    <row r="330" spans="1:21" x14ac:dyDescent="0.2">
      <c r="B330" s="90"/>
      <c r="Q330" s="73"/>
      <c r="R330" s="112"/>
      <c r="S330" s="112"/>
      <c r="T330" s="112"/>
      <c r="U330" s="112"/>
    </row>
    <row r="331" spans="1:21" x14ac:dyDescent="0.2">
      <c r="B331" s="90"/>
      <c r="Q331" s="73"/>
      <c r="R331" s="18"/>
      <c r="S331" s="18"/>
      <c r="T331" s="18"/>
      <c r="U331" s="18"/>
    </row>
    <row r="332" spans="1:21" x14ac:dyDescent="0.2">
      <c r="B332" s="90"/>
      <c r="Q332" s="73"/>
      <c r="R332" s="18"/>
      <c r="S332" s="18"/>
      <c r="T332" s="18"/>
      <c r="U332" s="18"/>
    </row>
    <row r="333" spans="1:21" x14ac:dyDescent="0.2">
      <c r="B333" s="90"/>
      <c r="Q333" s="73"/>
      <c r="R333" s="18"/>
      <c r="S333" s="18"/>
      <c r="T333" s="18"/>
      <c r="U333" s="18"/>
    </row>
    <row r="334" spans="1:21" x14ac:dyDescent="0.2">
      <c r="B334" s="90"/>
      <c r="Q334" s="73"/>
      <c r="R334" s="18"/>
      <c r="S334" s="18"/>
      <c r="T334" s="18"/>
      <c r="U334" s="18"/>
    </row>
    <row r="335" spans="1:21" x14ac:dyDescent="0.2">
      <c r="B335" s="90"/>
      <c r="Q335" s="73"/>
      <c r="R335" s="18"/>
      <c r="S335" s="18"/>
      <c r="T335" s="18"/>
      <c r="U335" s="18"/>
    </row>
    <row r="336" spans="1:21" x14ac:dyDescent="0.2">
      <c r="B336" s="90"/>
      <c r="Q336" s="73"/>
      <c r="R336" s="18"/>
      <c r="S336" s="18"/>
      <c r="T336" s="18"/>
      <c r="U336" s="18"/>
    </row>
    <row r="337" spans="1:21" x14ac:dyDescent="0.2">
      <c r="B337" s="90"/>
      <c r="Q337" s="73"/>
      <c r="R337" s="18"/>
      <c r="S337" s="18"/>
      <c r="T337" s="18"/>
      <c r="U337" s="18"/>
    </row>
    <row r="338" spans="1:21" x14ac:dyDescent="0.2">
      <c r="B338" s="90"/>
      <c r="Q338" s="73"/>
      <c r="R338" s="18"/>
      <c r="S338" s="18"/>
      <c r="T338" s="18"/>
      <c r="U338" s="18"/>
    </row>
    <row r="339" spans="1:21" x14ac:dyDescent="0.2">
      <c r="B339" s="90"/>
      <c r="Q339" s="73"/>
      <c r="R339" s="18"/>
      <c r="S339" s="18"/>
      <c r="T339" s="18"/>
      <c r="U339" s="18"/>
    </row>
    <row r="340" spans="1:21" x14ac:dyDescent="0.2">
      <c r="B340" s="90"/>
      <c r="Q340" s="73"/>
      <c r="R340" s="18"/>
      <c r="S340" s="18"/>
      <c r="T340" s="18"/>
      <c r="U340" s="18"/>
    </row>
    <row r="341" spans="1:21" x14ac:dyDescent="0.2">
      <c r="A341" s="109"/>
      <c r="B341" s="90"/>
      <c r="Q341" s="73"/>
      <c r="R341" s="18"/>
      <c r="S341" s="18"/>
      <c r="T341" s="18"/>
      <c r="U341" s="18"/>
    </row>
    <row r="342" spans="1:21" x14ac:dyDescent="0.2">
      <c r="B342" s="90"/>
      <c r="C342" s="108"/>
      <c r="D342" s="108"/>
      <c r="Q342" s="73"/>
      <c r="R342" s="18"/>
      <c r="S342" s="18"/>
      <c r="T342" s="18"/>
      <c r="U342" s="18"/>
    </row>
    <row r="343" spans="1:21" x14ac:dyDescent="0.2">
      <c r="B343" s="90"/>
      <c r="C343" s="108"/>
      <c r="D343" s="108"/>
      <c r="Q343" s="73"/>
      <c r="R343" s="18"/>
      <c r="S343" s="18"/>
      <c r="T343" s="18"/>
      <c r="U343" s="18"/>
    </row>
    <row r="344" spans="1:21" x14ac:dyDescent="0.2">
      <c r="B344" s="90"/>
      <c r="C344" s="108"/>
      <c r="D344" s="108"/>
      <c r="Q344" s="73"/>
      <c r="R344" s="18"/>
      <c r="S344" s="18"/>
      <c r="T344" s="18"/>
      <c r="U344" s="18"/>
    </row>
    <row r="345" spans="1:21" x14ac:dyDescent="0.2">
      <c r="B345" s="90"/>
      <c r="C345" s="108"/>
      <c r="D345" s="108"/>
      <c r="Q345" s="73"/>
      <c r="R345" s="18"/>
      <c r="S345" s="18"/>
      <c r="T345" s="18"/>
      <c r="U345" s="18"/>
    </row>
    <row r="346" spans="1:21" x14ac:dyDescent="0.2">
      <c r="B346" s="90"/>
      <c r="C346" s="108"/>
      <c r="D346" s="108"/>
      <c r="Q346" s="73"/>
      <c r="R346" s="18"/>
      <c r="S346" s="18"/>
      <c r="T346" s="18"/>
      <c r="U346" s="18"/>
    </row>
    <row r="347" spans="1:21" x14ac:dyDescent="0.2">
      <c r="B347" s="90"/>
      <c r="C347" s="108"/>
      <c r="D347" s="108"/>
      <c r="Q347" s="73"/>
      <c r="R347" s="18"/>
      <c r="S347" s="18"/>
      <c r="T347" s="18"/>
      <c r="U347" s="18"/>
    </row>
    <row r="348" spans="1:21" x14ac:dyDescent="0.2">
      <c r="B348" s="90"/>
      <c r="Q348" s="73"/>
      <c r="R348" s="18"/>
      <c r="S348" s="18"/>
      <c r="T348" s="18"/>
      <c r="U348" s="18"/>
    </row>
    <row r="349" spans="1:21" x14ac:dyDescent="0.2">
      <c r="B349" s="90"/>
      <c r="Q349" s="73"/>
      <c r="R349" s="18"/>
      <c r="S349" s="18"/>
      <c r="T349" s="18"/>
      <c r="U349" s="18"/>
    </row>
    <row r="350" spans="1:21" x14ac:dyDescent="0.2">
      <c r="A350" s="109"/>
      <c r="B350" s="90"/>
      <c r="Q350" s="73"/>
      <c r="R350" s="18"/>
      <c r="S350" s="18"/>
      <c r="T350" s="18"/>
      <c r="U350" s="18"/>
    </row>
    <row r="351" spans="1:21" x14ac:dyDescent="0.2">
      <c r="B351" s="90"/>
      <c r="D351" s="108"/>
      <c r="Q351" s="73"/>
      <c r="R351" s="18"/>
      <c r="S351" s="18"/>
      <c r="T351" s="18"/>
      <c r="U351" s="18"/>
    </row>
    <row r="352" spans="1:21" x14ac:dyDescent="0.2">
      <c r="B352" s="90"/>
      <c r="D352" s="108"/>
      <c r="Q352" s="73"/>
      <c r="R352" s="18"/>
      <c r="S352" s="18"/>
      <c r="T352" s="18"/>
      <c r="U352" s="18"/>
    </row>
    <row r="353" spans="2:21" x14ac:dyDescent="0.2">
      <c r="B353" s="90"/>
      <c r="D353" s="108"/>
      <c r="Q353" s="73"/>
      <c r="R353" s="18"/>
      <c r="S353" s="18"/>
      <c r="T353" s="18"/>
      <c r="U353" s="18"/>
    </row>
    <row r="354" spans="2:21" x14ac:dyDescent="0.2">
      <c r="B354" s="90"/>
      <c r="Q354" s="73"/>
      <c r="R354" s="18"/>
      <c r="S354" s="18"/>
      <c r="T354" s="18"/>
      <c r="U354" s="18"/>
    </row>
    <row r="355" spans="2:21" x14ac:dyDescent="0.2">
      <c r="B355" s="90"/>
      <c r="Q355" s="73"/>
      <c r="R355" s="18"/>
      <c r="S355" s="18"/>
      <c r="T355" s="18"/>
      <c r="U355" s="18"/>
    </row>
    <row r="356" spans="2:21" x14ac:dyDescent="0.2">
      <c r="B356" s="90"/>
      <c r="Q356" s="73"/>
      <c r="R356" s="18"/>
      <c r="S356" s="18"/>
      <c r="T356" s="18"/>
      <c r="U356" s="18"/>
    </row>
    <row r="357" spans="2:21" x14ac:dyDescent="0.2">
      <c r="B357" s="90"/>
      <c r="Q357" s="73"/>
      <c r="R357" s="18"/>
      <c r="S357" s="18"/>
      <c r="T357" s="18"/>
      <c r="U357" s="18"/>
    </row>
    <row r="358" spans="2:21" x14ac:dyDescent="0.2">
      <c r="B358" s="90"/>
      <c r="Q358" s="73"/>
      <c r="R358" s="18"/>
      <c r="S358" s="18"/>
      <c r="T358" s="18"/>
      <c r="U358" s="18"/>
    </row>
    <row r="359" spans="2:21" x14ac:dyDescent="0.2">
      <c r="B359" s="90"/>
      <c r="Q359" s="73"/>
      <c r="R359" s="18"/>
      <c r="S359" s="18"/>
      <c r="T359" s="18"/>
      <c r="U359" s="18"/>
    </row>
    <row r="360" spans="2:21" x14ac:dyDescent="0.2">
      <c r="B360" s="90"/>
      <c r="Q360" s="73"/>
      <c r="R360" s="18"/>
      <c r="S360" s="18"/>
      <c r="T360" s="18"/>
      <c r="U360" s="18"/>
    </row>
    <row r="361" spans="2:21" x14ac:dyDescent="0.2">
      <c r="B361" s="90"/>
      <c r="Q361" s="73"/>
      <c r="R361" s="18"/>
      <c r="S361" s="18"/>
      <c r="T361" s="18"/>
      <c r="U361" s="18"/>
    </row>
    <row r="362" spans="2:21" x14ac:dyDescent="0.2">
      <c r="B362" s="90"/>
      <c r="Q362" s="73"/>
      <c r="R362" s="18"/>
      <c r="S362" s="18"/>
      <c r="T362" s="18"/>
      <c r="U362" s="18"/>
    </row>
    <row r="363" spans="2:21" x14ac:dyDescent="0.2">
      <c r="B363" s="90"/>
      <c r="Q363" s="73"/>
      <c r="R363" s="18"/>
      <c r="S363" s="18"/>
      <c r="T363" s="18"/>
      <c r="U363" s="18"/>
    </row>
    <row r="364" spans="2:21" x14ac:dyDescent="0.2">
      <c r="B364" s="90"/>
      <c r="Q364" s="73"/>
      <c r="R364" s="18"/>
      <c r="S364" s="18"/>
      <c r="T364" s="18"/>
      <c r="U364" s="18"/>
    </row>
    <row r="365" spans="2:21" x14ac:dyDescent="0.2">
      <c r="B365" s="90"/>
      <c r="Q365" s="73"/>
      <c r="R365" s="18"/>
      <c r="S365" s="18"/>
      <c r="T365" s="18"/>
      <c r="U365" s="18"/>
    </row>
    <row r="366" spans="2:21" x14ac:dyDescent="0.2">
      <c r="B366" s="90"/>
      <c r="Q366" s="73"/>
      <c r="R366" s="18"/>
      <c r="S366" s="18"/>
      <c r="T366" s="18"/>
      <c r="U366" s="18"/>
    </row>
    <row r="367" spans="2:21" x14ac:dyDescent="0.2">
      <c r="B367" s="90"/>
      <c r="Q367" s="73"/>
      <c r="R367" s="18"/>
      <c r="S367" s="18"/>
      <c r="T367" s="18"/>
      <c r="U367" s="18"/>
    </row>
    <row r="368" spans="2:21" x14ac:dyDescent="0.2">
      <c r="B368" s="90"/>
      <c r="Q368" s="73"/>
      <c r="R368" s="18"/>
      <c r="S368" s="18"/>
      <c r="T368" s="18"/>
      <c r="U368" s="18"/>
    </row>
    <row r="369" spans="2:21" x14ac:dyDescent="0.2">
      <c r="B369" s="90"/>
      <c r="Q369" s="73"/>
      <c r="R369" s="18"/>
      <c r="S369" s="18"/>
      <c r="T369" s="18"/>
      <c r="U369" s="18"/>
    </row>
    <row r="370" spans="2:21" x14ac:dyDescent="0.2">
      <c r="B370" s="90"/>
      <c r="Q370" s="73"/>
      <c r="R370" s="18"/>
      <c r="S370" s="18"/>
      <c r="T370" s="18"/>
      <c r="U370" s="18"/>
    </row>
    <row r="371" spans="2:21" x14ac:dyDescent="0.2">
      <c r="B371" s="90"/>
      <c r="Q371" s="73"/>
      <c r="R371" s="18"/>
      <c r="S371" s="18"/>
      <c r="T371" s="18"/>
      <c r="U371" s="18"/>
    </row>
    <row r="372" spans="2:21" x14ac:dyDescent="0.2">
      <c r="B372" s="90"/>
      <c r="Q372" s="73"/>
      <c r="R372" s="18"/>
      <c r="S372" s="18"/>
      <c r="T372" s="18"/>
      <c r="U372" s="18"/>
    </row>
    <row r="373" spans="2:21" x14ac:dyDescent="0.2">
      <c r="B373" s="90"/>
      <c r="Q373" s="73"/>
      <c r="R373" s="18"/>
      <c r="S373" s="18"/>
      <c r="T373" s="18"/>
      <c r="U373" s="18"/>
    </row>
    <row r="374" spans="2:21" x14ac:dyDescent="0.2">
      <c r="B374" s="90"/>
      <c r="Q374" s="73"/>
      <c r="R374" s="18"/>
      <c r="S374" s="18"/>
      <c r="T374" s="18"/>
      <c r="U374" s="18"/>
    </row>
    <row r="375" spans="2:21" x14ac:dyDescent="0.2">
      <c r="B375" s="90"/>
      <c r="Q375" s="73"/>
      <c r="R375" s="18"/>
      <c r="S375" s="18"/>
      <c r="T375" s="18"/>
      <c r="U375" s="18"/>
    </row>
    <row r="376" spans="2:21" x14ac:dyDescent="0.2">
      <c r="B376" s="90"/>
      <c r="Q376" s="73"/>
      <c r="R376" s="18"/>
      <c r="S376" s="18"/>
      <c r="T376" s="18"/>
      <c r="U376" s="18"/>
    </row>
    <row r="377" spans="2:21" x14ac:dyDescent="0.2">
      <c r="B377" s="90"/>
      <c r="Q377" s="73"/>
      <c r="R377" s="18"/>
      <c r="S377" s="18"/>
      <c r="T377" s="18"/>
      <c r="U377" s="18"/>
    </row>
    <row r="378" spans="2:21" x14ac:dyDescent="0.2">
      <c r="B378" s="90"/>
      <c r="Q378" s="73"/>
      <c r="R378" s="18"/>
      <c r="S378" s="18"/>
      <c r="T378" s="18"/>
      <c r="U378" s="18"/>
    </row>
    <row r="379" spans="2:21" x14ac:dyDescent="0.2">
      <c r="B379" s="90"/>
      <c r="Q379" s="73"/>
      <c r="R379" s="18"/>
      <c r="S379" s="18"/>
      <c r="T379" s="18"/>
      <c r="U379" s="18"/>
    </row>
    <row r="380" spans="2:21" x14ac:dyDescent="0.2">
      <c r="B380" s="90"/>
      <c r="Q380" s="73"/>
      <c r="R380" s="18"/>
      <c r="S380" s="18"/>
      <c r="T380" s="18"/>
      <c r="U380" s="18"/>
    </row>
    <row r="381" spans="2:21" x14ac:dyDescent="0.2">
      <c r="B381" s="90"/>
      <c r="Q381" s="73"/>
      <c r="R381" s="18"/>
      <c r="S381" s="18"/>
      <c r="T381" s="18"/>
      <c r="U381" s="18"/>
    </row>
    <row r="382" spans="2:21" x14ac:dyDescent="0.2">
      <c r="B382" s="90"/>
      <c r="Q382" s="73"/>
      <c r="R382" s="18"/>
      <c r="S382" s="18"/>
      <c r="T382" s="18"/>
      <c r="U382" s="18"/>
    </row>
    <row r="383" spans="2:21" x14ac:dyDescent="0.2">
      <c r="B383" s="90"/>
      <c r="Q383" s="73"/>
      <c r="R383" s="18"/>
      <c r="S383" s="18"/>
      <c r="T383" s="18"/>
      <c r="U383" s="18"/>
    </row>
    <row r="384" spans="2:21" x14ac:dyDescent="0.2">
      <c r="B384" s="90"/>
      <c r="Q384" s="73"/>
      <c r="R384" s="18"/>
      <c r="S384" s="18"/>
      <c r="T384" s="18"/>
      <c r="U384" s="18"/>
    </row>
    <row r="385" spans="2:21" x14ac:dyDescent="0.2">
      <c r="B385" s="90"/>
      <c r="Q385" s="73"/>
      <c r="R385" s="18"/>
      <c r="S385" s="18"/>
      <c r="T385" s="18"/>
      <c r="U385" s="18"/>
    </row>
    <row r="386" spans="2:21" x14ac:dyDescent="0.2">
      <c r="B386" s="90"/>
      <c r="Q386" s="73"/>
      <c r="R386" s="18"/>
      <c r="S386" s="18"/>
      <c r="T386" s="18"/>
      <c r="U386" s="18"/>
    </row>
    <row r="387" spans="2:21" x14ac:dyDescent="0.2">
      <c r="B387" s="90"/>
      <c r="Q387" s="73"/>
      <c r="R387" s="18"/>
      <c r="S387" s="18"/>
      <c r="T387" s="18"/>
      <c r="U387" s="18"/>
    </row>
    <row r="388" spans="2:21" x14ac:dyDescent="0.2">
      <c r="B388" s="90"/>
      <c r="Q388" s="73"/>
      <c r="R388" s="18"/>
      <c r="S388" s="18"/>
      <c r="T388" s="18"/>
      <c r="U388" s="18"/>
    </row>
    <row r="389" spans="2:21" x14ac:dyDescent="0.2">
      <c r="B389" s="90"/>
      <c r="Q389" s="73"/>
      <c r="R389" s="18"/>
      <c r="S389" s="18"/>
      <c r="T389" s="18"/>
      <c r="U389" s="18"/>
    </row>
    <row r="390" spans="2:21" x14ac:dyDescent="0.2">
      <c r="B390" s="90"/>
      <c r="Q390" s="73"/>
      <c r="R390" s="18"/>
      <c r="S390" s="18"/>
      <c r="T390" s="18"/>
      <c r="U390" s="18"/>
    </row>
    <row r="391" spans="2:21" x14ac:dyDescent="0.2">
      <c r="B391" s="90"/>
      <c r="Q391" s="73"/>
      <c r="R391" s="18"/>
      <c r="S391" s="18"/>
      <c r="T391" s="18"/>
      <c r="U391" s="18"/>
    </row>
    <row r="392" spans="2:21" x14ac:dyDescent="0.2">
      <c r="B392" s="90"/>
      <c r="Q392" s="73"/>
      <c r="R392" s="18"/>
      <c r="S392" s="18"/>
      <c r="T392" s="18"/>
      <c r="U392" s="18"/>
    </row>
    <row r="393" spans="2:21" x14ac:dyDescent="0.2">
      <c r="B393" s="90"/>
      <c r="Q393" s="73"/>
      <c r="R393" s="18"/>
      <c r="S393" s="18"/>
      <c r="T393" s="18"/>
      <c r="U393" s="18"/>
    </row>
    <row r="394" spans="2:21" x14ac:dyDescent="0.2">
      <c r="B394" s="90"/>
      <c r="Q394" s="73"/>
      <c r="R394" s="18"/>
      <c r="S394" s="18"/>
      <c r="T394" s="18"/>
      <c r="U394" s="18"/>
    </row>
    <row r="395" spans="2:21" x14ac:dyDescent="0.2">
      <c r="B395" s="90"/>
      <c r="Q395" s="73"/>
      <c r="R395" s="18"/>
      <c r="S395" s="18"/>
      <c r="T395" s="18"/>
      <c r="U395" s="18"/>
    </row>
    <row r="396" spans="2:21" x14ac:dyDescent="0.2">
      <c r="B396" s="90"/>
      <c r="Q396" s="73"/>
      <c r="R396" s="18"/>
      <c r="S396" s="18"/>
      <c r="T396" s="18"/>
      <c r="U396" s="18"/>
    </row>
    <row r="397" spans="2:21" x14ac:dyDescent="0.2">
      <c r="B397" s="90"/>
      <c r="Q397" s="73"/>
      <c r="R397" s="18"/>
      <c r="S397" s="18"/>
      <c r="T397" s="18"/>
      <c r="U397" s="18"/>
    </row>
    <row r="398" spans="2:21" x14ac:dyDescent="0.2">
      <c r="B398" s="90"/>
      <c r="Q398" s="73"/>
      <c r="R398" s="18"/>
      <c r="S398" s="18"/>
      <c r="T398" s="18"/>
      <c r="U398" s="18"/>
    </row>
    <row r="399" spans="2:21" x14ac:dyDescent="0.2">
      <c r="B399" s="90"/>
      <c r="Q399" s="73"/>
      <c r="R399" s="18"/>
      <c r="S399" s="18"/>
      <c r="T399" s="18"/>
      <c r="U399" s="18"/>
    </row>
    <row r="400" spans="2:21" x14ac:dyDescent="0.2">
      <c r="B400" s="90"/>
      <c r="Q400" s="73"/>
      <c r="R400" s="18"/>
      <c r="S400" s="18"/>
      <c r="T400" s="18"/>
      <c r="U400" s="18"/>
    </row>
    <row r="401" spans="2:21" x14ac:dyDescent="0.2">
      <c r="B401" s="90"/>
      <c r="Q401" s="73"/>
      <c r="R401" s="18"/>
      <c r="S401" s="18"/>
      <c r="T401" s="18"/>
      <c r="U401" s="18"/>
    </row>
    <row r="402" spans="2:21" x14ac:dyDescent="0.2">
      <c r="B402" s="90"/>
      <c r="Q402" s="73"/>
      <c r="R402" s="18"/>
      <c r="S402" s="18"/>
      <c r="T402" s="18"/>
      <c r="U402" s="18"/>
    </row>
    <row r="403" spans="2:21" x14ac:dyDescent="0.2">
      <c r="B403" s="90"/>
      <c r="Q403" s="73"/>
      <c r="R403" s="18"/>
      <c r="S403" s="18"/>
      <c r="T403" s="18"/>
      <c r="U403" s="18"/>
    </row>
    <row r="404" spans="2:21" x14ac:dyDescent="0.2">
      <c r="B404" s="90"/>
      <c r="Q404" s="73"/>
      <c r="R404" s="18"/>
      <c r="S404" s="18"/>
      <c r="T404" s="18"/>
      <c r="U404" s="18"/>
    </row>
    <row r="405" spans="2:21" x14ac:dyDescent="0.2">
      <c r="B405" s="90"/>
      <c r="Q405" s="73"/>
      <c r="R405" s="18"/>
      <c r="S405" s="18"/>
      <c r="T405" s="18"/>
      <c r="U405" s="18"/>
    </row>
    <row r="406" spans="2:21" x14ac:dyDescent="0.2">
      <c r="B406" s="90"/>
      <c r="Q406" s="73"/>
      <c r="R406" s="18"/>
      <c r="S406" s="18"/>
      <c r="T406" s="18"/>
      <c r="U406" s="18"/>
    </row>
    <row r="407" spans="2:21" x14ac:dyDescent="0.2">
      <c r="B407" s="90"/>
      <c r="Q407" s="73"/>
      <c r="R407" s="18"/>
      <c r="S407" s="18"/>
      <c r="T407" s="18"/>
      <c r="U407" s="18"/>
    </row>
    <row r="408" spans="2:21" x14ac:dyDescent="0.2">
      <c r="B408" s="90"/>
      <c r="Q408" s="73"/>
      <c r="R408" s="18"/>
      <c r="S408" s="18"/>
      <c r="T408" s="18"/>
      <c r="U408" s="18"/>
    </row>
    <row r="409" spans="2:21" x14ac:dyDescent="0.2">
      <c r="B409" s="90"/>
      <c r="Q409" s="73"/>
      <c r="R409" s="18"/>
      <c r="S409" s="18"/>
      <c r="T409" s="18"/>
      <c r="U409" s="18"/>
    </row>
    <row r="410" spans="2:21" x14ac:dyDescent="0.2">
      <c r="B410" s="90"/>
      <c r="Q410" s="73"/>
      <c r="R410" s="18"/>
      <c r="S410" s="18"/>
      <c r="T410" s="18"/>
      <c r="U410" s="18"/>
    </row>
    <row r="411" spans="2:21" x14ac:dyDescent="0.2">
      <c r="B411" s="90"/>
      <c r="Q411" s="73"/>
      <c r="R411" s="18"/>
      <c r="S411" s="18"/>
      <c r="T411" s="18"/>
      <c r="U411" s="18"/>
    </row>
    <row r="412" spans="2:21" x14ac:dyDescent="0.2">
      <c r="B412" s="90"/>
      <c r="Q412" s="73"/>
      <c r="R412" s="18"/>
      <c r="S412" s="18"/>
      <c r="T412" s="18"/>
      <c r="U412" s="18"/>
    </row>
    <row r="413" spans="2:21" x14ac:dyDescent="0.2">
      <c r="B413" s="113"/>
      <c r="Q413" s="73"/>
      <c r="R413" s="18"/>
      <c r="S413" s="18"/>
      <c r="T413" s="18"/>
      <c r="U413" s="18"/>
    </row>
    <row r="414" spans="2:21" x14ac:dyDescent="0.2">
      <c r="B414" s="113"/>
      <c r="Q414" s="73"/>
      <c r="R414" s="18"/>
      <c r="S414" s="18"/>
      <c r="T414" s="18"/>
      <c r="U414" s="18"/>
    </row>
    <row r="415" spans="2:21" x14ac:dyDescent="0.2">
      <c r="B415" s="90"/>
      <c r="Q415" s="73"/>
      <c r="R415" s="18"/>
      <c r="S415" s="18"/>
      <c r="T415" s="18"/>
      <c r="U415" s="18"/>
    </row>
    <row r="416" spans="2:21" x14ac:dyDescent="0.2">
      <c r="B416" s="90"/>
      <c r="Q416" s="73"/>
      <c r="R416" s="18"/>
      <c r="S416" s="18"/>
      <c r="T416" s="18"/>
      <c r="U416" s="18"/>
    </row>
    <row r="417" spans="2:21" x14ac:dyDescent="0.2">
      <c r="B417" s="90"/>
      <c r="Q417" s="73"/>
      <c r="R417" s="18"/>
      <c r="S417" s="18"/>
      <c r="T417" s="18"/>
      <c r="U417" s="18"/>
    </row>
    <row r="418" spans="2:21" x14ac:dyDescent="0.2">
      <c r="B418" s="90"/>
      <c r="Q418" s="73"/>
      <c r="R418" s="18"/>
      <c r="S418" s="18"/>
      <c r="T418" s="18"/>
      <c r="U418" s="18"/>
    </row>
    <row r="419" spans="2:21" x14ac:dyDescent="0.2">
      <c r="B419" s="90"/>
      <c r="Q419" s="73"/>
      <c r="R419" s="18"/>
      <c r="S419" s="18"/>
      <c r="T419" s="18"/>
      <c r="U419" s="18"/>
    </row>
    <row r="420" spans="2:21" x14ac:dyDescent="0.2">
      <c r="B420" s="90"/>
      <c r="Q420" s="73"/>
      <c r="R420" s="18"/>
      <c r="S420" s="18"/>
      <c r="T420" s="18"/>
      <c r="U420" s="18"/>
    </row>
    <row r="421" spans="2:21" x14ac:dyDescent="0.2">
      <c r="B421" s="90"/>
      <c r="Q421" s="73"/>
      <c r="R421" s="18"/>
      <c r="S421" s="18"/>
      <c r="T421" s="18"/>
      <c r="U421" s="18"/>
    </row>
    <row r="422" spans="2:21" x14ac:dyDescent="0.2">
      <c r="B422" s="90"/>
      <c r="Q422" s="73"/>
      <c r="R422" s="18"/>
      <c r="S422" s="18"/>
      <c r="T422" s="18"/>
      <c r="U422" s="18"/>
    </row>
    <row r="423" spans="2:21" x14ac:dyDescent="0.2">
      <c r="B423" s="90"/>
      <c r="Q423" s="73"/>
      <c r="R423" s="18"/>
      <c r="S423" s="18"/>
      <c r="T423" s="18"/>
      <c r="U423" s="18"/>
    </row>
    <row r="424" spans="2:21" x14ac:dyDescent="0.2">
      <c r="B424" s="90"/>
      <c r="Q424" s="73"/>
      <c r="R424" s="18"/>
      <c r="S424" s="18"/>
      <c r="T424" s="18"/>
      <c r="U424" s="18"/>
    </row>
    <row r="425" spans="2:21" x14ac:dyDescent="0.2">
      <c r="B425" s="90"/>
      <c r="Q425" s="73"/>
      <c r="R425" s="18"/>
      <c r="S425" s="18"/>
      <c r="T425" s="18"/>
      <c r="U425" s="18"/>
    </row>
    <row r="426" spans="2:21" x14ac:dyDescent="0.2">
      <c r="B426" s="90"/>
      <c r="Q426" s="73"/>
      <c r="R426" s="18"/>
      <c r="S426" s="18"/>
      <c r="T426" s="18"/>
      <c r="U426" s="18"/>
    </row>
    <row r="427" spans="2:21" x14ac:dyDescent="0.2">
      <c r="B427" s="90"/>
      <c r="Q427" s="73"/>
      <c r="R427" s="18"/>
      <c r="S427" s="18"/>
      <c r="T427" s="18"/>
      <c r="U427" s="18"/>
    </row>
    <row r="428" spans="2:21" x14ac:dyDescent="0.2">
      <c r="B428" s="90"/>
      <c r="Q428" s="73"/>
      <c r="R428" s="18"/>
      <c r="S428" s="18"/>
      <c r="T428" s="18"/>
      <c r="U428" s="18"/>
    </row>
    <row r="429" spans="2:21" x14ac:dyDescent="0.2">
      <c r="B429" s="90"/>
      <c r="Q429" s="73"/>
      <c r="R429" s="18"/>
      <c r="S429" s="18"/>
      <c r="T429" s="18"/>
      <c r="U429" s="18"/>
    </row>
    <row r="430" spans="2:21" x14ac:dyDescent="0.2">
      <c r="B430" s="90"/>
      <c r="Q430" s="73"/>
      <c r="R430" s="18"/>
      <c r="S430" s="18"/>
      <c r="T430" s="18"/>
      <c r="U430" s="18"/>
    </row>
    <row r="431" spans="2:21" x14ac:dyDescent="0.2">
      <c r="B431" s="90"/>
      <c r="Q431" s="73"/>
      <c r="R431" s="18"/>
      <c r="S431" s="18"/>
      <c r="T431" s="18"/>
      <c r="U431" s="18"/>
    </row>
    <row r="432" spans="2:21" x14ac:dyDescent="0.2">
      <c r="B432" s="90"/>
      <c r="Q432" s="73"/>
      <c r="R432" s="18"/>
      <c r="S432" s="18"/>
      <c r="T432" s="18"/>
      <c r="U432" s="18"/>
    </row>
    <row r="433" spans="2:21" x14ac:dyDescent="0.2">
      <c r="B433" s="90"/>
      <c r="Q433" s="73"/>
      <c r="R433" s="18"/>
      <c r="S433" s="18"/>
      <c r="T433" s="18"/>
      <c r="U433" s="18"/>
    </row>
    <row r="434" spans="2:21" x14ac:dyDescent="0.2">
      <c r="B434" s="90"/>
      <c r="Q434" s="73"/>
      <c r="R434" s="18"/>
      <c r="S434" s="18"/>
      <c r="T434" s="18"/>
      <c r="U434" s="18"/>
    </row>
    <row r="435" spans="2:21" x14ac:dyDescent="0.2">
      <c r="B435" s="90"/>
      <c r="Q435" s="73"/>
      <c r="R435" s="18"/>
      <c r="S435" s="18"/>
      <c r="T435" s="18"/>
      <c r="U435" s="18"/>
    </row>
    <row r="436" spans="2:21" x14ac:dyDescent="0.2">
      <c r="B436" s="90"/>
      <c r="Q436" s="73"/>
      <c r="R436" s="18"/>
      <c r="S436" s="18"/>
      <c r="T436" s="18"/>
      <c r="U436" s="18"/>
    </row>
    <row r="437" spans="2:21" x14ac:dyDescent="0.2">
      <c r="B437" s="90"/>
      <c r="Q437" s="73"/>
      <c r="R437" s="18"/>
      <c r="S437" s="18"/>
      <c r="T437" s="18"/>
      <c r="U437" s="18"/>
    </row>
    <row r="438" spans="2:21" x14ac:dyDescent="0.2">
      <c r="B438" s="90"/>
      <c r="Q438" s="73"/>
      <c r="R438" s="18"/>
      <c r="S438" s="18"/>
      <c r="T438" s="18"/>
      <c r="U438" s="18"/>
    </row>
    <row r="439" spans="2:21" x14ac:dyDescent="0.2">
      <c r="B439" s="90"/>
      <c r="Q439" s="73"/>
      <c r="R439" s="18"/>
      <c r="S439" s="18"/>
      <c r="T439" s="18"/>
      <c r="U439" s="18"/>
    </row>
    <row r="440" spans="2:21" x14ac:dyDescent="0.2">
      <c r="B440" s="90"/>
      <c r="Q440" s="73"/>
      <c r="R440" s="18"/>
      <c r="S440" s="18"/>
      <c r="T440" s="18"/>
      <c r="U440" s="18"/>
    </row>
    <row r="441" spans="2:21" x14ac:dyDescent="0.2">
      <c r="B441" s="90"/>
      <c r="Q441" s="73"/>
      <c r="R441" s="18"/>
      <c r="S441" s="18"/>
      <c r="T441" s="18"/>
      <c r="U441" s="18"/>
    </row>
    <row r="442" spans="2:21" x14ac:dyDescent="0.2">
      <c r="B442" s="90"/>
      <c r="Q442" s="73"/>
      <c r="R442" s="18"/>
      <c r="S442" s="18"/>
      <c r="T442" s="18"/>
      <c r="U442" s="18"/>
    </row>
    <row r="443" spans="2:21" x14ac:dyDescent="0.2">
      <c r="B443" s="90"/>
      <c r="Q443" s="73"/>
      <c r="R443" s="18"/>
      <c r="S443" s="18"/>
      <c r="T443" s="18"/>
      <c r="U443" s="18"/>
    </row>
    <row r="444" spans="2:21" x14ac:dyDescent="0.2">
      <c r="B444" s="90"/>
      <c r="Q444" s="73"/>
      <c r="R444" s="18"/>
      <c r="S444" s="18"/>
      <c r="T444" s="18"/>
      <c r="U444" s="18"/>
    </row>
    <row r="445" spans="2:21" x14ac:dyDescent="0.2">
      <c r="B445" s="90"/>
      <c r="Q445" s="73"/>
      <c r="R445" s="18"/>
      <c r="S445" s="18"/>
      <c r="T445" s="18"/>
      <c r="U445" s="18"/>
    </row>
    <row r="446" spans="2:21" x14ac:dyDescent="0.2">
      <c r="B446" s="90"/>
      <c r="Q446" s="73"/>
      <c r="R446" s="18"/>
      <c r="S446" s="18"/>
      <c r="T446" s="18"/>
      <c r="U446" s="18"/>
    </row>
    <row r="447" spans="2:21" x14ac:dyDescent="0.2">
      <c r="B447" s="90"/>
      <c r="Q447" s="73"/>
      <c r="R447" s="18"/>
      <c r="S447" s="18"/>
      <c r="T447" s="18"/>
      <c r="U447" s="18"/>
    </row>
    <row r="448" spans="2:21" x14ac:dyDescent="0.2">
      <c r="B448" s="90"/>
      <c r="Q448" s="73"/>
      <c r="R448" s="18"/>
      <c r="S448" s="18"/>
      <c r="T448" s="18"/>
      <c r="U448" s="18"/>
    </row>
    <row r="449" spans="2:21" x14ac:dyDescent="0.2">
      <c r="B449" s="90"/>
      <c r="Q449" s="73"/>
      <c r="R449" s="18"/>
      <c r="S449" s="18"/>
      <c r="T449" s="18"/>
      <c r="U449" s="18"/>
    </row>
    <row r="450" spans="2:21" x14ac:dyDescent="0.2">
      <c r="B450" s="90"/>
      <c r="Q450" s="73"/>
      <c r="R450" s="18"/>
      <c r="S450" s="18"/>
      <c r="T450" s="18"/>
      <c r="U450" s="18"/>
    </row>
    <row r="451" spans="2:21" x14ac:dyDescent="0.2">
      <c r="B451" s="90"/>
      <c r="Q451" s="73"/>
      <c r="R451" s="18"/>
      <c r="S451" s="18"/>
      <c r="T451" s="18"/>
      <c r="U451" s="18"/>
    </row>
    <row r="452" spans="2:21" x14ac:dyDescent="0.2">
      <c r="Q452" s="73"/>
      <c r="R452" s="18"/>
      <c r="S452" s="18"/>
      <c r="T452" s="18"/>
      <c r="U452" s="18"/>
    </row>
    <row r="453" spans="2:21" x14ac:dyDescent="0.2">
      <c r="B453" s="115"/>
      <c r="Q453" s="73"/>
      <c r="R453" s="18"/>
      <c r="S453" s="18"/>
      <c r="T453" s="18"/>
      <c r="U453" s="18"/>
    </row>
    <row r="454" spans="2:21" x14ac:dyDescent="0.2">
      <c r="B454" s="115"/>
      <c r="Q454" s="73"/>
      <c r="R454" s="18"/>
      <c r="S454" s="18"/>
      <c r="T454" s="18"/>
      <c r="U454" s="18"/>
    </row>
    <row r="455" spans="2:21" x14ac:dyDescent="0.2">
      <c r="B455" s="115"/>
      <c r="Q455" s="73"/>
      <c r="R455" s="18"/>
      <c r="S455" s="18"/>
      <c r="T455" s="18"/>
      <c r="U455" s="18"/>
    </row>
    <row r="456" spans="2:21" x14ac:dyDescent="0.2">
      <c r="B456" s="115"/>
      <c r="Q456" s="73"/>
      <c r="R456" s="18"/>
      <c r="S456" s="18"/>
      <c r="T456" s="18"/>
      <c r="U456" s="18"/>
    </row>
    <row r="457" spans="2:21" x14ac:dyDescent="0.2">
      <c r="B457" s="115"/>
      <c r="Q457" s="73"/>
      <c r="R457" s="18"/>
      <c r="S457" s="18"/>
      <c r="T457" s="18"/>
      <c r="U457" s="18"/>
    </row>
    <row r="458" spans="2:21" x14ac:dyDescent="0.2">
      <c r="B458" s="115"/>
      <c r="Q458" s="73"/>
      <c r="R458" s="18"/>
      <c r="S458" s="18"/>
      <c r="T458" s="18"/>
      <c r="U458" s="18"/>
    </row>
    <row r="459" spans="2:21" x14ac:dyDescent="0.2">
      <c r="B459" s="115"/>
      <c r="Q459" s="73"/>
      <c r="R459" s="18"/>
      <c r="S459" s="18"/>
      <c r="T459" s="18"/>
      <c r="U459" s="18"/>
    </row>
    <row r="460" spans="2:21" x14ac:dyDescent="0.2">
      <c r="B460" s="115"/>
      <c r="Q460" s="73"/>
      <c r="R460" s="18"/>
      <c r="S460" s="18"/>
      <c r="T460" s="18"/>
      <c r="U460" s="18"/>
    </row>
    <row r="461" spans="2:21" x14ac:dyDescent="0.2">
      <c r="B461" s="115"/>
      <c r="Q461" s="73"/>
      <c r="R461" s="18"/>
      <c r="S461" s="18"/>
      <c r="T461" s="18"/>
      <c r="U461" s="18"/>
    </row>
    <row r="462" spans="2:21" x14ac:dyDescent="0.2">
      <c r="B462" s="115"/>
      <c r="Q462" s="73"/>
      <c r="R462" s="18"/>
      <c r="S462" s="18"/>
      <c r="T462" s="18"/>
      <c r="U462" s="18"/>
    </row>
    <row r="463" spans="2:21" x14ac:dyDescent="0.2">
      <c r="B463" s="115"/>
      <c r="Q463" s="73"/>
      <c r="R463" s="18"/>
      <c r="S463" s="18"/>
      <c r="T463" s="18"/>
      <c r="U463" s="18"/>
    </row>
    <row r="464" spans="2:21" x14ac:dyDescent="0.2">
      <c r="B464" s="115"/>
      <c r="Q464" s="73"/>
      <c r="R464" s="18"/>
      <c r="S464" s="18"/>
      <c r="T464" s="18"/>
      <c r="U464" s="18"/>
    </row>
    <row r="465" spans="2:21" x14ac:dyDescent="0.2">
      <c r="B465" s="115"/>
      <c r="Q465" s="73"/>
      <c r="R465" s="18"/>
      <c r="S465" s="18"/>
      <c r="T465" s="18"/>
      <c r="U465" s="18"/>
    </row>
    <row r="466" spans="2:21" x14ac:dyDescent="0.2">
      <c r="B466" s="115"/>
      <c r="Q466" s="73"/>
      <c r="R466" s="18"/>
      <c r="S466" s="18"/>
      <c r="T466" s="18"/>
      <c r="U466" s="18"/>
    </row>
    <row r="467" spans="2:21" x14ac:dyDescent="0.2">
      <c r="B467" s="115"/>
      <c r="Q467" s="73"/>
      <c r="R467" s="18"/>
      <c r="S467" s="18"/>
      <c r="T467" s="18"/>
      <c r="U467" s="18"/>
    </row>
    <row r="468" spans="2:21" x14ac:dyDescent="0.2">
      <c r="B468" s="115"/>
      <c r="Q468" s="73"/>
      <c r="R468" s="18"/>
      <c r="S468" s="18"/>
      <c r="T468" s="18"/>
      <c r="U468" s="18"/>
    </row>
    <row r="469" spans="2:21" x14ac:dyDescent="0.2">
      <c r="B469" s="115"/>
      <c r="Q469" s="73"/>
      <c r="R469" s="18"/>
      <c r="S469" s="18"/>
      <c r="T469" s="18"/>
      <c r="U469" s="18"/>
    </row>
    <row r="470" spans="2:21" x14ac:dyDescent="0.2">
      <c r="B470" s="115"/>
      <c r="Q470" s="73"/>
      <c r="R470" s="18"/>
      <c r="S470" s="18"/>
      <c r="T470" s="18"/>
      <c r="U470" s="18"/>
    </row>
    <row r="471" spans="2:21" x14ac:dyDescent="0.2">
      <c r="B471" s="115"/>
      <c r="Q471" s="73"/>
      <c r="R471" s="18"/>
      <c r="S471" s="18"/>
      <c r="T471" s="18"/>
      <c r="U471" s="18"/>
    </row>
    <row r="472" spans="2:21" x14ac:dyDescent="0.2">
      <c r="B472" s="115"/>
      <c r="Q472" s="73"/>
      <c r="R472" s="18"/>
      <c r="S472" s="18"/>
      <c r="T472" s="18"/>
      <c r="U472" s="18"/>
    </row>
    <row r="473" spans="2:21" x14ac:dyDescent="0.2">
      <c r="B473" s="115"/>
      <c r="Q473" s="73"/>
      <c r="R473" s="18"/>
      <c r="S473" s="18"/>
      <c r="T473" s="18"/>
      <c r="U473" s="18"/>
    </row>
    <row r="474" spans="2:21" x14ac:dyDescent="0.2">
      <c r="B474" s="115"/>
      <c r="Q474" s="73"/>
      <c r="R474" s="18"/>
      <c r="S474" s="18"/>
      <c r="T474" s="18"/>
      <c r="U474" s="18"/>
    </row>
    <row r="475" spans="2:21" x14ac:dyDescent="0.2">
      <c r="B475" s="115"/>
      <c r="Q475" s="73"/>
      <c r="R475" s="18"/>
      <c r="S475" s="18"/>
      <c r="T475" s="18"/>
      <c r="U475" s="18"/>
    </row>
    <row r="476" spans="2:21" x14ac:dyDescent="0.2">
      <c r="B476" s="115"/>
      <c r="Q476" s="73"/>
      <c r="R476" s="18"/>
      <c r="S476" s="18"/>
      <c r="T476" s="18"/>
      <c r="U476" s="18"/>
    </row>
    <row r="477" spans="2:21" x14ac:dyDescent="0.2">
      <c r="B477" s="115"/>
      <c r="Q477" s="73"/>
      <c r="R477" s="18"/>
      <c r="S477" s="18"/>
      <c r="T477" s="18"/>
      <c r="U477" s="18"/>
    </row>
    <row r="478" spans="2:21" x14ac:dyDescent="0.2">
      <c r="B478" s="115"/>
      <c r="Q478" s="73"/>
      <c r="R478" s="18"/>
      <c r="S478" s="18"/>
      <c r="T478" s="18"/>
      <c r="U478" s="18"/>
    </row>
    <row r="479" spans="2:21" x14ac:dyDescent="0.2">
      <c r="B479" s="115"/>
      <c r="Q479" s="73"/>
      <c r="R479" s="18"/>
      <c r="S479" s="18"/>
      <c r="T479" s="18"/>
      <c r="U479" s="18"/>
    </row>
    <row r="480" spans="2:21" x14ac:dyDescent="0.2">
      <c r="B480" s="115"/>
      <c r="Q480" s="73"/>
      <c r="R480" s="18"/>
      <c r="S480" s="18"/>
      <c r="T480" s="18"/>
      <c r="U480" s="18"/>
    </row>
    <row r="481" spans="2:21" x14ac:dyDescent="0.2">
      <c r="B481" s="115"/>
      <c r="Q481" s="73"/>
      <c r="R481" s="18"/>
      <c r="S481" s="18"/>
      <c r="T481" s="18"/>
      <c r="U481" s="18"/>
    </row>
    <row r="482" spans="2:21" x14ac:dyDescent="0.2">
      <c r="B482" s="115"/>
      <c r="Q482" s="73"/>
      <c r="R482" s="18"/>
      <c r="S482" s="18"/>
      <c r="T482" s="18"/>
      <c r="U482" s="18"/>
    </row>
    <row r="483" spans="2:21" x14ac:dyDescent="0.2">
      <c r="B483" s="115"/>
      <c r="Q483" s="73"/>
      <c r="R483" s="18"/>
      <c r="S483" s="18"/>
      <c r="T483" s="18"/>
      <c r="U483" s="18"/>
    </row>
    <row r="484" spans="2:21" x14ac:dyDescent="0.2">
      <c r="B484" s="115"/>
      <c r="Q484" s="73"/>
      <c r="R484" s="18"/>
      <c r="S484" s="18"/>
      <c r="T484" s="18"/>
      <c r="U484" s="18"/>
    </row>
    <row r="485" spans="2:21" x14ac:dyDescent="0.2">
      <c r="Q485" s="73"/>
      <c r="R485" s="18"/>
      <c r="S485" s="18"/>
      <c r="T485" s="18"/>
      <c r="U485" s="18"/>
    </row>
    <row r="486" spans="2:21" x14ac:dyDescent="0.2">
      <c r="B486" s="115"/>
      <c r="Q486" s="73"/>
      <c r="R486" s="18"/>
      <c r="S486" s="18"/>
      <c r="T486" s="18"/>
      <c r="U486" s="18"/>
    </row>
    <row r="487" spans="2:21" x14ac:dyDescent="0.2">
      <c r="B487" s="115"/>
      <c r="Q487" s="73"/>
      <c r="R487" s="18"/>
      <c r="S487" s="18"/>
      <c r="T487" s="18"/>
      <c r="U487" s="18"/>
    </row>
    <row r="488" spans="2:21" x14ac:dyDescent="0.2">
      <c r="B488" s="115"/>
      <c r="Q488" s="73"/>
      <c r="R488" s="18"/>
      <c r="S488" s="18"/>
      <c r="T488" s="18"/>
      <c r="U488" s="18"/>
    </row>
    <row r="489" spans="2:21" x14ac:dyDescent="0.2">
      <c r="B489" s="115"/>
      <c r="Q489" s="73"/>
      <c r="R489" s="18"/>
      <c r="S489" s="18"/>
      <c r="T489" s="18"/>
      <c r="U489" s="18"/>
    </row>
    <row r="490" spans="2:21" x14ac:dyDescent="0.2">
      <c r="B490" s="115"/>
      <c r="Q490" s="73"/>
      <c r="R490" s="18"/>
      <c r="S490" s="18"/>
      <c r="T490" s="18"/>
      <c r="U490" s="18"/>
    </row>
    <row r="491" spans="2:21" x14ac:dyDescent="0.2">
      <c r="B491" s="115"/>
      <c r="Q491" s="73"/>
      <c r="R491" s="18"/>
      <c r="S491" s="18"/>
      <c r="T491" s="18"/>
      <c r="U491" s="18"/>
    </row>
    <row r="492" spans="2:21" x14ac:dyDescent="0.2">
      <c r="B492" s="115"/>
      <c r="Q492" s="73"/>
      <c r="R492" s="18"/>
      <c r="S492" s="18"/>
      <c r="T492" s="18"/>
      <c r="U492" s="18"/>
    </row>
    <row r="493" spans="2:21" x14ac:dyDescent="0.2">
      <c r="B493" s="115"/>
      <c r="Q493" s="73"/>
      <c r="R493" s="18"/>
      <c r="S493" s="18"/>
      <c r="T493" s="18"/>
      <c r="U493" s="18"/>
    </row>
    <row r="494" spans="2:21" x14ac:dyDescent="0.2">
      <c r="B494" s="115"/>
      <c r="Q494" s="73"/>
      <c r="R494" s="18"/>
      <c r="S494" s="18"/>
      <c r="T494" s="18"/>
      <c r="U494" s="18"/>
    </row>
    <row r="495" spans="2:21" x14ac:dyDescent="0.2">
      <c r="B495" s="115"/>
      <c r="Q495" s="73"/>
      <c r="R495" s="18"/>
      <c r="S495" s="18"/>
      <c r="T495" s="18"/>
      <c r="U495" s="18"/>
    </row>
    <row r="496" spans="2:21" x14ac:dyDescent="0.2">
      <c r="B496" s="115"/>
      <c r="Q496" s="73"/>
      <c r="R496" s="18"/>
      <c r="S496" s="18"/>
      <c r="T496" s="18"/>
      <c r="U496" s="18"/>
    </row>
    <row r="497" spans="2:21" x14ac:dyDescent="0.2">
      <c r="B497" s="115"/>
      <c r="Q497" s="73"/>
      <c r="R497" s="18"/>
      <c r="S497" s="18"/>
      <c r="T497" s="18"/>
      <c r="U497" s="18"/>
    </row>
    <row r="498" spans="2:21" x14ac:dyDescent="0.2">
      <c r="B498" s="115"/>
      <c r="Q498" s="73"/>
      <c r="R498" s="18"/>
      <c r="S498" s="18"/>
      <c r="T498" s="18"/>
      <c r="U498" s="18"/>
    </row>
    <row r="499" spans="2:21" x14ac:dyDescent="0.2">
      <c r="B499" s="115"/>
      <c r="Q499" s="73"/>
      <c r="R499" s="18"/>
      <c r="S499" s="18"/>
      <c r="T499" s="18"/>
      <c r="U499" s="18"/>
    </row>
    <row r="500" spans="2:21" x14ac:dyDescent="0.2">
      <c r="B500" s="115"/>
      <c r="Q500" s="73"/>
      <c r="R500" s="18"/>
      <c r="S500" s="18"/>
      <c r="T500" s="18"/>
      <c r="U500" s="18"/>
    </row>
    <row r="501" spans="2:21" x14ac:dyDescent="0.2">
      <c r="B501" s="115"/>
      <c r="Q501" s="73"/>
      <c r="R501" s="18"/>
      <c r="S501" s="18"/>
      <c r="T501" s="18"/>
      <c r="U501" s="18"/>
    </row>
    <row r="502" spans="2:21" x14ac:dyDescent="0.2">
      <c r="B502" s="115"/>
      <c r="Q502" s="73"/>
      <c r="R502" s="18"/>
      <c r="S502" s="18"/>
      <c r="T502" s="18"/>
      <c r="U502" s="18"/>
    </row>
    <row r="503" spans="2:21" x14ac:dyDescent="0.2">
      <c r="B503" s="115"/>
      <c r="Q503" s="73"/>
      <c r="R503" s="18"/>
      <c r="S503" s="18"/>
      <c r="T503" s="18"/>
      <c r="U503" s="18"/>
    </row>
    <row r="504" spans="2:21" x14ac:dyDescent="0.2">
      <c r="B504" s="115"/>
      <c r="Q504" s="73"/>
      <c r="R504" s="18"/>
      <c r="S504" s="18"/>
      <c r="T504" s="18"/>
      <c r="U504" s="18"/>
    </row>
    <row r="505" spans="2:21" x14ac:dyDescent="0.2">
      <c r="Q505" s="73"/>
      <c r="R505" s="18"/>
      <c r="S505" s="18"/>
      <c r="T505" s="18"/>
      <c r="U505" s="18"/>
    </row>
    <row r="506" spans="2:21" x14ac:dyDescent="0.2">
      <c r="Q506" s="73"/>
      <c r="R506" s="18"/>
      <c r="S506" s="18"/>
      <c r="T506" s="18"/>
      <c r="U506" s="18"/>
    </row>
    <row r="507" spans="2:21" x14ac:dyDescent="0.2">
      <c r="B507" s="115"/>
      <c r="Q507" s="73"/>
      <c r="R507" s="18"/>
      <c r="S507" s="18"/>
      <c r="T507" s="18"/>
      <c r="U507" s="18"/>
    </row>
    <row r="508" spans="2:21" x14ac:dyDescent="0.2">
      <c r="B508" s="115"/>
      <c r="Q508" s="73"/>
      <c r="R508" s="18"/>
      <c r="S508" s="18"/>
      <c r="T508" s="18"/>
      <c r="U508" s="18"/>
    </row>
    <row r="509" spans="2:21" x14ac:dyDescent="0.2">
      <c r="B509" s="115"/>
      <c r="Q509" s="73"/>
      <c r="R509" s="18"/>
      <c r="S509" s="18"/>
      <c r="T509" s="18"/>
      <c r="U509" s="18"/>
    </row>
    <row r="510" spans="2:21" x14ac:dyDescent="0.2">
      <c r="B510" s="115"/>
      <c r="Q510" s="73"/>
      <c r="R510" s="18"/>
      <c r="S510" s="18"/>
      <c r="T510" s="18"/>
      <c r="U510" s="18"/>
    </row>
    <row r="511" spans="2:21" x14ac:dyDescent="0.2">
      <c r="B511" s="115"/>
      <c r="Q511" s="73"/>
      <c r="R511" s="18"/>
      <c r="S511" s="18"/>
      <c r="T511" s="18"/>
      <c r="U511" s="18"/>
    </row>
    <row r="512" spans="2:21" x14ac:dyDescent="0.2">
      <c r="B512" s="115"/>
      <c r="Q512" s="73"/>
      <c r="R512" s="18"/>
      <c r="S512" s="18"/>
      <c r="T512" s="18"/>
      <c r="U512" s="18"/>
    </row>
    <row r="513" spans="2:21" x14ac:dyDescent="0.2">
      <c r="B513" s="115"/>
      <c r="Q513" s="73"/>
      <c r="R513" s="18"/>
      <c r="S513" s="18"/>
      <c r="T513" s="18"/>
      <c r="U513" s="18"/>
    </row>
    <row r="514" spans="2:21" x14ac:dyDescent="0.2">
      <c r="Q514" s="73"/>
      <c r="R514" s="18"/>
      <c r="S514" s="18"/>
      <c r="T514" s="18"/>
      <c r="U514" s="18"/>
    </row>
    <row r="515" spans="2:21" x14ac:dyDescent="0.2">
      <c r="Q515" s="73"/>
      <c r="R515" s="18"/>
      <c r="S515" s="18"/>
      <c r="T515" s="18"/>
      <c r="U515" s="18"/>
    </row>
    <row r="516" spans="2:21" x14ac:dyDescent="0.2">
      <c r="B516" s="115"/>
      <c r="Q516" s="73"/>
      <c r="R516" s="18"/>
      <c r="S516" s="18"/>
      <c r="T516" s="18"/>
      <c r="U516" s="18"/>
    </row>
    <row r="517" spans="2:21" x14ac:dyDescent="0.2">
      <c r="B517" s="115"/>
      <c r="Q517" s="73"/>
      <c r="R517" s="18"/>
      <c r="S517" s="18"/>
      <c r="T517" s="18"/>
      <c r="U517" s="18"/>
    </row>
    <row r="518" spans="2:21" x14ac:dyDescent="0.2">
      <c r="B518" s="115"/>
      <c r="Q518" s="73"/>
      <c r="R518" s="18"/>
      <c r="S518" s="18"/>
      <c r="T518" s="18"/>
      <c r="U518" s="18"/>
    </row>
    <row r="519" spans="2:21" x14ac:dyDescent="0.2">
      <c r="B519" s="115"/>
      <c r="Q519" s="73"/>
      <c r="R519" s="18"/>
      <c r="S519" s="18"/>
      <c r="T519" s="18"/>
      <c r="U519" s="18"/>
    </row>
    <row r="520" spans="2:21" x14ac:dyDescent="0.2">
      <c r="B520" s="115"/>
      <c r="Q520" s="73"/>
      <c r="R520" s="18"/>
      <c r="S520" s="18"/>
      <c r="T520" s="18"/>
      <c r="U520" s="18"/>
    </row>
    <row r="521" spans="2:21" x14ac:dyDescent="0.2">
      <c r="B521" s="115"/>
      <c r="Q521" s="73"/>
      <c r="R521" s="18"/>
      <c r="S521" s="18"/>
      <c r="T521" s="18"/>
      <c r="U521" s="18"/>
    </row>
    <row r="522" spans="2:21" x14ac:dyDescent="0.2">
      <c r="B522" s="115"/>
      <c r="Q522" s="73"/>
      <c r="R522" s="18"/>
      <c r="S522" s="18"/>
      <c r="T522" s="18"/>
      <c r="U522" s="18"/>
    </row>
    <row r="523" spans="2:21" x14ac:dyDescent="0.2">
      <c r="B523" s="115"/>
      <c r="Q523" s="73"/>
      <c r="R523" s="18"/>
      <c r="S523" s="18"/>
      <c r="T523" s="18"/>
      <c r="U523" s="18"/>
    </row>
    <row r="524" spans="2:21" x14ac:dyDescent="0.2">
      <c r="B524" s="115"/>
      <c r="Q524" s="73"/>
      <c r="R524" s="18"/>
      <c r="S524" s="18"/>
      <c r="T524" s="18"/>
      <c r="U524" s="18"/>
    </row>
    <row r="525" spans="2:21" x14ac:dyDescent="0.2">
      <c r="B525" s="115"/>
      <c r="Q525" s="73"/>
      <c r="R525" s="18"/>
      <c r="S525" s="18"/>
      <c r="T525" s="18"/>
      <c r="U525" s="18"/>
    </row>
    <row r="526" spans="2:21" x14ac:dyDescent="0.2">
      <c r="B526" s="115"/>
      <c r="Q526" s="73"/>
      <c r="R526" s="18"/>
      <c r="S526" s="18"/>
      <c r="T526" s="18"/>
      <c r="U526" s="18"/>
    </row>
    <row r="527" spans="2:21" x14ac:dyDescent="0.2">
      <c r="Q527" s="73"/>
      <c r="R527" s="18"/>
      <c r="S527" s="18"/>
      <c r="T527" s="18"/>
      <c r="U527" s="18"/>
    </row>
    <row r="528" spans="2:21" x14ac:dyDescent="0.2">
      <c r="Q528" s="73"/>
      <c r="R528" s="18"/>
      <c r="S528" s="18"/>
      <c r="T528" s="18"/>
      <c r="U528" s="18"/>
    </row>
    <row r="529" spans="2:21" x14ac:dyDescent="0.2">
      <c r="B529" s="115"/>
      <c r="Q529" s="73"/>
      <c r="R529" s="18"/>
      <c r="S529" s="18"/>
      <c r="T529" s="18"/>
      <c r="U529" s="18"/>
    </row>
    <row r="530" spans="2:21" x14ac:dyDescent="0.2">
      <c r="B530" s="115"/>
    </row>
    <row r="531" spans="2:21" x14ac:dyDescent="0.2">
      <c r="B531" s="115"/>
    </row>
    <row r="532" spans="2:21" x14ac:dyDescent="0.2">
      <c r="B532" s="115"/>
    </row>
    <row r="533" spans="2:21" x14ac:dyDescent="0.2">
      <c r="B533" s="115"/>
    </row>
    <row r="534" spans="2:21" x14ac:dyDescent="0.2">
      <c r="B534" s="115"/>
    </row>
    <row r="535" spans="2:21" x14ac:dyDescent="0.2">
      <c r="B535" s="115"/>
    </row>
    <row r="538" spans="2:21" x14ac:dyDescent="0.2">
      <c r="B538" s="115"/>
    </row>
    <row r="539" spans="2:21" x14ac:dyDescent="0.2">
      <c r="B539" s="115"/>
    </row>
    <row r="540" spans="2:21" x14ac:dyDescent="0.2">
      <c r="B540" s="115"/>
    </row>
    <row r="541" spans="2:21" x14ac:dyDescent="0.2">
      <c r="B541" s="115"/>
    </row>
    <row r="542" spans="2:21" x14ac:dyDescent="0.2">
      <c r="B542" s="115"/>
    </row>
    <row r="543" spans="2:21" x14ac:dyDescent="0.2">
      <c r="B543" s="115"/>
    </row>
    <row r="544" spans="2:21" x14ac:dyDescent="0.2">
      <c r="B544" s="115"/>
    </row>
    <row r="545" spans="2:2" x14ac:dyDescent="0.2">
      <c r="B545" s="113"/>
    </row>
    <row r="546" spans="2:2" x14ac:dyDescent="0.2">
      <c r="B546" s="113"/>
    </row>
    <row r="547" spans="2:2" x14ac:dyDescent="0.2">
      <c r="B547" s="113"/>
    </row>
    <row r="548" spans="2:2" x14ac:dyDescent="0.2">
      <c r="B548" s="113"/>
    </row>
    <row r="549" spans="2:2" x14ac:dyDescent="0.2">
      <c r="B549" s="113"/>
    </row>
    <row r="550" spans="2:2" x14ac:dyDescent="0.2">
      <c r="B550" s="113"/>
    </row>
    <row r="551" spans="2:2" x14ac:dyDescent="0.2">
      <c r="B551" s="113"/>
    </row>
    <row r="552" spans="2:2" x14ac:dyDescent="0.2">
      <c r="B552" s="113"/>
    </row>
    <row r="553" spans="2:2" x14ac:dyDescent="0.2">
      <c r="B553" s="113"/>
    </row>
    <row r="554" spans="2:2" x14ac:dyDescent="0.2">
      <c r="B554" s="113"/>
    </row>
    <row r="555" spans="2:2" x14ac:dyDescent="0.2">
      <c r="B555" s="113"/>
    </row>
    <row r="556" spans="2:2" x14ac:dyDescent="0.2">
      <c r="B556" s="113"/>
    </row>
    <row r="557" spans="2:2" x14ac:dyDescent="0.2">
      <c r="B557" s="116"/>
    </row>
    <row r="558" spans="2:2" ht="13.5" thickBot="1" x14ac:dyDescent="0.25">
      <c r="B558" s="116"/>
    </row>
    <row r="559" spans="2:2" ht="13.5" thickBot="1" x14ac:dyDescent="0.25">
      <c r="B559" s="117"/>
    </row>
    <row r="562" spans="2:2" x14ac:dyDescent="0.2">
      <c r="B562" s="118"/>
    </row>
    <row r="563" spans="2:2" x14ac:dyDescent="0.2">
      <c r="B563" s="119"/>
    </row>
    <row r="569" spans="2:2" x14ac:dyDescent="0.2">
      <c r="B569" s="118"/>
    </row>
    <row r="571" spans="2:2" x14ac:dyDescent="0.2">
      <c r="B571" s="118"/>
    </row>
    <row r="587" spans="2:2" x14ac:dyDescent="0.2">
      <c r="B587" s="118"/>
    </row>
    <row r="596" spans="2:2" x14ac:dyDescent="0.2">
      <c r="B596" s="118"/>
    </row>
  </sheetData>
  <mergeCells count="10">
    <mergeCell ref="O8:P8"/>
    <mergeCell ref="Q8:Q9"/>
    <mergeCell ref="A1:M1"/>
    <mergeCell ref="A8:A9"/>
    <mergeCell ref="C8:C9"/>
    <mergeCell ref="D8:D9"/>
    <mergeCell ref="F8:G8"/>
    <mergeCell ref="K8:K9"/>
    <mergeCell ref="L8:L9"/>
    <mergeCell ref="M8:N8"/>
  </mergeCells>
  <pageMargins left="0.75" right="0.75" top="1" bottom="1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2" r:id="rId4" name="btnGenerate">
          <controlPr defaultSize="0" autoLine="0" autoPict="0" r:id="rId5">
            <anchor moveWithCells="1" sizeWithCells="1">
              <from>
                <xdr:col>4</xdr:col>
                <xdr:colOff>542925</xdr:colOff>
                <xdr:row>2</xdr:row>
                <xdr:rowOff>57150</xdr:rowOff>
              </from>
              <to>
                <xdr:col>7</xdr:col>
                <xdr:colOff>409575</xdr:colOff>
                <xdr:row>3</xdr:row>
                <xdr:rowOff>200025</xdr:rowOff>
              </to>
            </anchor>
          </controlPr>
        </control>
      </mc:Choice>
      <mc:Fallback>
        <control shapeId="1032" r:id="rId4" name="btnGener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SCT</vt:lpstr>
    </vt:vector>
  </TitlesOfParts>
  <Company>AGCO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Vineet Singh</cp:lastModifiedBy>
  <dcterms:created xsi:type="dcterms:W3CDTF">2016-04-19T15:57:41Z</dcterms:created>
  <dcterms:modified xsi:type="dcterms:W3CDTF">2019-12-12T09:08:13Z</dcterms:modified>
</cp:coreProperties>
</file>