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Chassis_Development\RGCH2\ExternalLinks\Parts_Store\Chassis\Chassis_Functions\Control_Logic\High_Clearance\Doc\"/>
    </mc:Choice>
  </mc:AlternateContent>
  <bookViews>
    <workbookView xWindow="0" yWindow="36" windowWidth="22980" windowHeight="11640"/>
  </bookViews>
  <sheets>
    <sheet name="HC" sheetId="4" r:id="rId1"/>
  </sheets>
  <functionGroups builtInGroupCount="18"/>
  <externalReferences>
    <externalReference r:id="rId2"/>
    <externalReference r:id="rId3"/>
    <externalReference r:id="rId4"/>
  </externalReferences>
  <definedNames>
    <definedName name="App._1">#REF!</definedName>
    <definedName name="App._11">#REF!</definedName>
    <definedName name="App._12">#REF!</definedName>
    <definedName name="App._13">#REF!</definedName>
    <definedName name="App._14">#REF!</definedName>
    <definedName name="App._15">#REF!</definedName>
    <definedName name="App._16">#REF!</definedName>
    <definedName name="App._17">#REF!</definedName>
    <definedName name="App._18">#REF!</definedName>
    <definedName name="App._19">#REF!</definedName>
    <definedName name="App._2">#REF!</definedName>
    <definedName name="App._20">#REF!</definedName>
    <definedName name="App._21">#REF!</definedName>
    <definedName name="App._22">#REF!</definedName>
    <definedName name="App._23">#REF!</definedName>
    <definedName name="App._24">#REF!</definedName>
    <definedName name="App._25">#REF!</definedName>
    <definedName name="App._26">#REF!</definedName>
    <definedName name="App._27">#REF!</definedName>
    <definedName name="App._28">#REF!</definedName>
    <definedName name="App._29">#REF!</definedName>
    <definedName name="App._30">#REF!</definedName>
    <definedName name="App._5">#REF!</definedName>
    <definedName name="App._7">#REF!</definedName>
    <definedName name="App._8">#REF!</definedName>
    <definedName name="EBT_Anmerkung_1">#REF!</definedName>
    <definedName name="EBT_Anmerkung_2">#REF!</definedName>
    <definedName name="EHL_ANMERKUNG_1">#REF!</definedName>
    <definedName name="EHL_ANMERKUNG_2">#REF!</definedName>
    <definedName name="EMM_ANMERKUNG_1">#REF!</definedName>
    <definedName name="EXT_FILE_NAME" localSheetId="0">'[1]Routing-Data TG3'!#REF!</definedName>
    <definedName name="KHR_ANMERKUNG_1">[2]GD_ID!$A$70:$F$81</definedName>
    <definedName name="KHR_ANMERKUNG_2">[2]GD_ID!$A$83:$F$87</definedName>
    <definedName name="KHR_ANMERKUNG_3">[2]GD_ID!$A$89:$G$100</definedName>
    <definedName name="KHR_ANMERKUNG_4">[2]GD_ID!$A$102:$F$116</definedName>
    <definedName name="Machine_List" localSheetId="0">'[1]Routing-Data TG3'!$P$23:$P$54</definedName>
    <definedName name="Machine_List">'[3]Routing-Data RG3'!$P$23:$P$54</definedName>
    <definedName name="Machine_Select" localSheetId="0">'[1]Routing-Data TG3'!$P$30</definedName>
    <definedName name="Machine_Select">'[3]Routing-Data RG3'!$P$30</definedName>
    <definedName name="MFA_Anmerkung_1">#REF!</definedName>
    <definedName name="MFA_Anmerkung_10">#REF!</definedName>
    <definedName name="MFA_Anmerkung_11">#REF!</definedName>
    <definedName name="MFA_Anmerkung_2">#REF!</definedName>
    <definedName name="MFA_Anmerkung_3">#REF!</definedName>
    <definedName name="MFA_Anmerkung_4">#REF!</definedName>
    <definedName name="MFA_Anmerkung_5">#REF!</definedName>
    <definedName name="MFA_Anmerkung_6">#REF!</definedName>
    <definedName name="MFA_Anmerkung_7">#REF!</definedName>
    <definedName name="MFA_Anmerkung_8">#REF!</definedName>
    <definedName name="MFA_Anmerkung_9">#REF!</definedName>
  </definedNames>
  <calcPr calcId="152511"/>
</workbook>
</file>

<file path=xl/calcChain.xml><?xml version="1.0" encoding="utf-8"?>
<calcChain xmlns="http://schemas.openxmlformats.org/spreadsheetml/2006/main">
  <c r="N133" i="4" l="1"/>
  <c r="M133" i="4"/>
  <c r="O133" i="4" s="1"/>
  <c r="P133" i="4" s="1"/>
  <c r="N131" i="4"/>
  <c r="M131" i="4"/>
  <c r="O131" i="4" s="1"/>
  <c r="P131" i="4" s="1"/>
  <c r="N129" i="4"/>
  <c r="M129" i="4"/>
  <c r="O129" i="4" s="1"/>
  <c r="P129" i="4" s="1"/>
  <c r="N127" i="4"/>
  <c r="M127" i="4"/>
  <c r="O127" i="4" s="1"/>
  <c r="P127" i="4" s="1"/>
  <c r="N80" i="4" l="1"/>
  <c r="M80" i="4"/>
  <c r="O80" i="4" s="1"/>
  <c r="P80" i="4" s="1"/>
  <c r="N79" i="4"/>
  <c r="M79" i="4"/>
  <c r="O79" i="4" s="1"/>
  <c r="P79" i="4" s="1"/>
  <c r="N78" i="4"/>
  <c r="M78" i="4"/>
  <c r="O78" i="4" s="1"/>
  <c r="P78" i="4" s="1"/>
  <c r="N77" i="4"/>
  <c r="M77" i="4"/>
  <c r="O77" i="4" s="1"/>
  <c r="P77" i="4" s="1"/>
  <c r="N126" i="4" l="1"/>
  <c r="M126" i="4"/>
  <c r="O126" i="4" s="1"/>
  <c r="P126" i="4" s="1"/>
  <c r="N125" i="4"/>
  <c r="M125" i="4"/>
  <c r="O125" i="4" s="1"/>
  <c r="P125" i="4" s="1"/>
  <c r="N124" i="4"/>
  <c r="M124" i="4"/>
  <c r="O124" i="4" s="1"/>
  <c r="P124" i="4" s="1"/>
  <c r="N123" i="4"/>
  <c r="M123" i="4"/>
  <c r="O123" i="4" s="1"/>
  <c r="P123" i="4" s="1"/>
  <c r="N122" i="4"/>
  <c r="M122" i="4"/>
  <c r="O122" i="4" s="1"/>
  <c r="P122" i="4" s="1"/>
  <c r="N121" i="4"/>
  <c r="M121" i="4"/>
  <c r="O121" i="4" s="1"/>
  <c r="P121" i="4" s="1"/>
  <c r="N120" i="4"/>
  <c r="M120" i="4"/>
  <c r="O120" i="4" s="1"/>
  <c r="P120" i="4" s="1"/>
  <c r="N119" i="4"/>
  <c r="M119" i="4"/>
  <c r="O119" i="4" s="1"/>
  <c r="P119" i="4" s="1"/>
  <c r="M115" i="4"/>
  <c r="O115" i="4" s="1"/>
  <c r="P115" i="4" s="1"/>
  <c r="N115" i="4"/>
  <c r="M116" i="4"/>
  <c r="O116" i="4" s="1"/>
  <c r="P116" i="4" s="1"/>
  <c r="N116" i="4"/>
  <c r="M117" i="4"/>
  <c r="O117" i="4" s="1"/>
  <c r="P117" i="4" s="1"/>
  <c r="N117" i="4"/>
  <c r="M118" i="4"/>
  <c r="O118" i="4" s="1"/>
  <c r="P118" i="4" s="1"/>
  <c r="N118" i="4"/>
  <c r="O114" i="4" l="1"/>
  <c r="P114" i="4" s="1"/>
  <c r="N114" i="4"/>
  <c r="M114" i="4"/>
  <c r="P113" i="4"/>
  <c r="O113" i="4"/>
  <c r="N112" i="4"/>
  <c r="M112" i="4"/>
  <c r="O112" i="4" s="1"/>
  <c r="P112" i="4" s="1"/>
  <c r="P111" i="4" l="1"/>
  <c r="O111" i="4"/>
  <c r="N110" i="4"/>
  <c r="M110" i="4"/>
  <c r="O110" i="4" s="1"/>
  <c r="P110" i="4" s="1"/>
  <c r="P109" i="4"/>
  <c r="O109" i="4"/>
  <c r="P108" i="4"/>
  <c r="O108" i="4"/>
  <c r="P107" i="4"/>
  <c r="O107" i="4"/>
  <c r="N106" i="4"/>
  <c r="M106" i="4"/>
  <c r="O106" i="4" s="1"/>
  <c r="P106" i="4" s="1"/>
  <c r="P105" i="4"/>
  <c r="O105" i="4"/>
  <c r="P104" i="4"/>
  <c r="O104" i="4"/>
  <c r="P103" i="4"/>
  <c r="O103" i="4"/>
  <c r="N102" i="4"/>
  <c r="M102" i="4"/>
  <c r="O102" i="4" s="1"/>
  <c r="P102" i="4" s="1"/>
  <c r="P101" i="4"/>
  <c r="O101" i="4"/>
  <c r="P100" i="4"/>
  <c r="O100" i="4"/>
  <c r="P99" i="4"/>
  <c r="O99" i="4"/>
  <c r="N98" i="4"/>
  <c r="M98" i="4"/>
  <c r="O98" i="4" s="1"/>
  <c r="P98" i="4" s="1"/>
  <c r="P91" i="4"/>
  <c r="O91" i="4"/>
  <c r="P90" i="4"/>
  <c r="O90" i="4"/>
  <c r="P89" i="4"/>
  <c r="O89" i="4"/>
  <c r="P88" i="4"/>
  <c r="O88" i="4"/>
  <c r="P87" i="4"/>
  <c r="O87" i="4"/>
  <c r="P86" i="4"/>
  <c r="O86" i="4"/>
  <c r="N85" i="4"/>
  <c r="M85" i="4"/>
  <c r="O85" i="4" s="1"/>
  <c r="P85" i="4" s="1"/>
  <c r="P84" i="4"/>
  <c r="O84" i="4"/>
  <c r="N83" i="4"/>
  <c r="M83" i="4"/>
  <c r="O83" i="4" s="1"/>
  <c r="P83" i="4" s="1"/>
  <c r="N81" i="4"/>
  <c r="M81" i="4"/>
  <c r="O81" i="4" s="1"/>
  <c r="P81" i="4" s="1"/>
  <c r="N76" i="4"/>
  <c r="M76" i="4"/>
  <c r="O76" i="4" s="1"/>
  <c r="P76" i="4" s="1"/>
  <c r="N75" i="4"/>
  <c r="M75" i="4"/>
  <c r="O75" i="4" s="1"/>
  <c r="P75" i="4" s="1"/>
  <c r="N74" i="4"/>
  <c r="M74" i="4"/>
  <c r="O74" i="4" s="1"/>
  <c r="P74" i="4" s="1"/>
  <c r="N68" i="4" l="1"/>
  <c r="M68" i="4"/>
  <c r="O68" i="4" s="1"/>
  <c r="P68" i="4" s="1"/>
  <c r="N67" i="4"/>
  <c r="M67" i="4"/>
  <c r="O67" i="4" s="1"/>
  <c r="P67" i="4" s="1"/>
  <c r="N66" i="4"/>
  <c r="M66" i="4"/>
  <c r="O66" i="4" s="1"/>
  <c r="P66" i="4" s="1"/>
  <c r="N65" i="4"/>
  <c r="M65" i="4"/>
  <c r="O65" i="4" s="1"/>
  <c r="P65" i="4" s="1"/>
  <c r="N63" i="4" l="1"/>
  <c r="M63" i="4"/>
  <c r="O63" i="4" s="1"/>
  <c r="P63" i="4" s="1"/>
  <c r="N61" i="4"/>
  <c r="M61" i="4"/>
  <c r="O61" i="4" s="1"/>
  <c r="P61" i="4" s="1"/>
  <c r="N59" i="4"/>
  <c r="M59" i="4"/>
  <c r="O59" i="4" s="1"/>
  <c r="P59" i="4" s="1"/>
  <c r="N57" i="4"/>
  <c r="M57" i="4"/>
  <c r="O57" i="4" s="1"/>
  <c r="P57" i="4" s="1"/>
  <c r="N56" i="4"/>
  <c r="M56" i="4"/>
  <c r="O56" i="4" s="1"/>
  <c r="P56" i="4" s="1"/>
  <c r="N55" i="4"/>
  <c r="M55" i="4"/>
  <c r="O55" i="4" s="1"/>
  <c r="P55" i="4" s="1"/>
  <c r="N54" i="4"/>
  <c r="M54" i="4"/>
  <c r="O54" i="4" s="1"/>
  <c r="P54" i="4" s="1"/>
  <c r="P52" i="4"/>
  <c r="O52" i="4"/>
  <c r="P51" i="4"/>
  <c r="O51" i="4"/>
  <c r="P50" i="4"/>
  <c r="O50" i="4"/>
  <c r="P49" i="4"/>
  <c r="O49" i="4"/>
  <c r="P48" i="4"/>
  <c r="O48" i="4"/>
  <c r="P47" i="4"/>
  <c r="O47" i="4"/>
  <c r="N46" i="4"/>
  <c r="M46" i="4"/>
  <c r="O46" i="4" s="1"/>
  <c r="P46" i="4" s="1"/>
  <c r="P45" i="4"/>
  <c r="O45" i="4"/>
  <c r="P44" i="4"/>
  <c r="O44" i="4"/>
  <c r="P43" i="4"/>
  <c r="O43" i="4"/>
  <c r="P42" i="4"/>
  <c r="O42" i="4"/>
  <c r="P41" i="4"/>
  <c r="O41" i="4"/>
  <c r="P40" i="4"/>
  <c r="O40" i="4"/>
  <c r="N39" i="4"/>
  <c r="M39" i="4"/>
  <c r="O39" i="4" s="1"/>
  <c r="P39" i="4" s="1"/>
  <c r="P38" i="4"/>
  <c r="O38" i="4"/>
  <c r="P37" i="4"/>
  <c r="O37" i="4"/>
  <c r="P36" i="4"/>
  <c r="O36" i="4"/>
  <c r="P35" i="4"/>
  <c r="O35" i="4"/>
  <c r="P34" i="4"/>
  <c r="O34" i="4"/>
  <c r="P33" i="4"/>
  <c r="O33" i="4"/>
  <c r="N32" i="4"/>
  <c r="M32" i="4"/>
  <c r="O32" i="4" s="1"/>
  <c r="P32" i="4" s="1"/>
  <c r="N73" i="4"/>
  <c r="M73" i="4"/>
  <c r="O73" i="4" s="1"/>
  <c r="P73" i="4" s="1"/>
  <c r="P72" i="4"/>
  <c r="O72" i="4"/>
  <c r="P71" i="4"/>
  <c r="O71" i="4"/>
  <c r="P70" i="4"/>
  <c r="O70" i="4"/>
  <c r="N69" i="4"/>
  <c r="M69" i="4"/>
  <c r="O69" i="4" s="1"/>
  <c r="P69" i="4" s="1"/>
  <c r="P64" i="4"/>
  <c r="O64" i="4"/>
  <c r="N53" i="4"/>
  <c r="M53" i="4"/>
  <c r="O53" i="4" s="1"/>
  <c r="P53" i="4" s="1"/>
  <c r="P31" i="4"/>
  <c r="O31" i="4"/>
  <c r="P30" i="4"/>
  <c r="O30" i="4"/>
  <c r="P29" i="4"/>
  <c r="O29" i="4"/>
  <c r="P28" i="4"/>
  <c r="O28" i="4"/>
  <c r="P27" i="4"/>
  <c r="O27" i="4"/>
  <c r="P26" i="4"/>
  <c r="O26" i="4"/>
  <c r="N25" i="4"/>
  <c r="M25" i="4"/>
  <c r="O25" i="4" s="1"/>
  <c r="P25" i="4" s="1"/>
  <c r="N94" i="4"/>
  <c r="M94" i="4"/>
  <c r="O94" i="4" s="1"/>
  <c r="P94" i="4" s="1"/>
  <c r="P93" i="4"/>
  <c r="O93" i="4"/>
  <c r="P92" i="4"/>
  <c r="O92" i="4"/>
  <c r="P82" i="4"/>
  <c r="O82" i="4"/>
  <c r="P97" i="4"/>
  <c r="O97" i="4"/>
  <c r="P96" i="4"/>
  <c r="O96" i="4"/>
  <c r="P95" i="4"/>
  <c r="O95" i="4"/>
  <c r="C140" i="4" l="1"/>
  <c r="P139" i="4"/>
  <c r="O139" i="4"/>
  <c r="C138" i="4"/>
  <c r="P137" i="4"/>
  <c r="O137" i="4"/>
  <c r="P136" i="4"/>
  <c r="O136" i="4"/>
  <c r="P135" i="4"/>
  <c r="O135" i="4"/>
  <c r="P134" i="4"/>
  <c r="O134" i="4"/>
  <c r="P24" i="4"/>
  <c r="O24" i="4"/>
  <c r="P23" i="4"/>
  <c r="O23" i="4"/>
  <c r="P22" i="4"/>
  <c r="O22" i="4"/>
  <c r="P21" i="4"/>
  <c r="O21" i="4"/>
  <c r="P20" i="4"/>
  <c r="O20" i="4"/>
  <c r="P19" i="4"/>
  <c r="O19" i="4"/>
  <c r="P17" i="4"/>
  <c r="O17" i="4"/>
  <c r="P16" i="4"/>
  <c r="O16" i="4"/>
  <c r="P15" i="4"/>
  <c r="O15" i="4"/>
  <c r="P14" i="4"/>
  <c r="O14" i="4"/>
  <c r="P13" i="4"/>
  <c r="O13" i="4"/>
  <c r="P12" i="4"/>
  <c r="O12" i="4"/>
  <c r="M139" i="4"/>
  <c r="N137" i="4"/>
  <c r="M136" i="4" l="1"/>
  <c r="M138" i="4"/>
  <c r="O138" i="4" s="1"/>
  <c r="P138" i="4" s="1"/>
  <c r="M134" i="4"/>
  <c r="N139" i="4"/>
  <c r="M18" i="4"/>
  <c r="O18" i="4" s="1"/>
  <c r="P18" i="4" s="1"/>
  <c r="N18" i="4"/>
  <c r="N134" i="4"/>
  <c r="N136" i="4"/>
  <c r="M140" i="4"/>
  <c r="O140" i="4" s="1"/>
  <c r="P140" i="4" s="1"/>
  <c r="N140" i="4"/>
  <c r="M11" i="4"/>
  <c r="O11" i="4" s="1"/>
  <c r="P11" i="4" s="1"/>
  <c r="M135" i="4"/>
  <c r="M137" i="4"/>
  <c r="N138" i="4"/>
  <c r="N11" i="4"/>
  <c r="N135" i="4"/>
</calcChain>
</file>

<file path=xl/comments1.xml><?xml version="1.0" encoding="utf-8"?>
<comments xmlns="http://schemas.openxmlformats.org/spreadsheetml/2006/main">
  <authors>
    <author>AGCO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ECU Logical Node Name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short name for ECU logical name</t>
        </r>
      </text>
    </comment>
    <comment ref="A138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14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  <comment ref="C14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Life Message with the format shown</t>
        </r>
      </text>
    </comment>
  </commentList>
</comments>
</file>

<file path=xl/sharedStrings.xml><?xml version="1.0" encoding="utf-8"?>
<sst xmlns="http://schemas.openxmlformats.org/spreadsheetml/2006/main" count="583" uniqueCount="166">
  <si>
    <t>Logical name:</t>
  </si>
  <si>
    <t>Physical Node:</t>
  </si>
  <si>
    <t>Logical Node:</t>
  </si>
  <si>
    <t>Index
0 - 511</t>
  </si>
  <si>
    <t>Status</t>
  </si>
  <si>
    <t>Variable Name
Begin with GD_ID_XXX_</t>
  </si>
  <si>
    <t>Access
R, W, R/W</t>
  </si>
  <si>
    <t>Data - Min/Max</t>
  </si>
  <si>
    <t>Offset</t>
  </si>
  <si>
    <t>Scaling</t>
  </si>
  <si>
    <t>Unit</t>
  </si>
  <si>
    <t>Data
Dimension</t>
  </si>
  <si>
    <t>Description</t>
  </si>
  <si>
    <t>Subscriber Number</t>
  </si>
  <si>
    <t>Globaler Index</t>
  </si>
  <si>
    <t>NT01 Reference</t>
  </si>
  <si>
    <t>Used by EDT</t>
  </si>
  <si>
    <t>Nodes to Respond to Variable</t>
  </si>
  <si>
    <t>Nodes to Request Variable</t>
  </si>
  <si>
    <t>Nodes to Immediate Write Variable</t>
  </si>
  <si>
    <t>Value Table Name For 16 Bit Value</t>
  </si>
  <si>
    <t>Value Text Description</t>
  </si>
  <si>
    <t>Value</t>
  </si>
  <si>
    <t>Bit Table Name For 1 Bit Status</t>
  </si>
  <si>
    <t>Bit Value Description</t>
  </si>
  <si>
    <t>Bit Value</t>
  </si>
  <si>
    <t>(P/I/R)</t>
  </si>
  <si>
    <t>DB5 - Bit7</t>
  </si>
  <si>
    <t xml:space="preserve">MIN </t>
  </si>
  <si>
    <t>Max</t>
  </si>
  <si>
    <t>Factor</t>
  </si>
  <si>
    <t>Logical Node</t>
  </si>
  <si>
    <t>Phy Node</t>
  </si>
  <si>
    <t>Dec</t>
  </si>
  <si>
    <t>Hex</t>
  </si>
  <si>
    <t>---</t>
  </si>
  <si>
    <t>W</t>
  </si>
  <si>
    <t>1/0</t>
  </si>
  <si>
    <t>Error Code</t>
  </si>
  <si>
    <t>Return path for fault management (acknowledgment)</t>
  </si>
  <si>
    <t>R</t>
  </si>
  <si>
    <t>[ms]</t>
  </si>
  <si>
    <t>mSec</t>
  </si>
  <si>
    <t>End</t>
  </si>
  <si>
    <t>Anl. 1:</t>
  </si>
  <si>
    <t>0 = OFF</t>
  </si>
  <si>
    <t>1 = ON</t>
  </si>
  <si>
    <t>2 = Flashing</t>
  </si>
  <si>
    <t>HC</t>
  </si>
  <si>
    <t>High Clearance Module</t>
  </si>
  <si>
    <t>GD_ID_HC_TARGET_STATE</t>
  </si>
  <si>
    <t>enum</t>
  </si>
  <si>
    <t>Down</t>
  </si>
  <si>
    <t>Up</t>
  </si>
  <si>
    <t>MovingUp</t>
  </si>
  <si>
    <t>MovingDown</t>
  </si>
  <si>
    <t>Calibrating</t>
  </si>
  <si>
    <t>Error</t>
  </si>
  <si>
    <t>Unknown</t>
  </si>
  <si>
    <t>XXXXXXXXXXXXXXXXX</t>
  </si>
  <si>
    <t>GD_ID_HC_MACHINE_STATE</t>
  </si>
  <si>
    <t>GD_ID_HC_LEG_STATE_FRONTLEFT</t>
  </si>
  <si>
    <t>GD_ID_HC_LEG_STATE_FRONTRIGHT</t>
  </si>
  <si>
    <t>GD_ID_HC_LEG_STATE_REARLEFT</t>
  </si>
  <si>
    <t>GD_ID_HC_LEG_STATE_REARRIGHT</t>
  </si>
  <si>
    <t>Enabled</t>
  </si>
  <si>
    <t>Disabled</t>
  </si>
  <si>
    <t>Deactive</t>
  </si>
  <si>
    <t>Active</t>
  </si>
  <si>
    <t>Data, Target state for control. Status, Control is enabled</t>
  </si>
  <si>
    <t>mm</t>
  </si>
  <si>
    <t>Target clearance height for leg</t>
  </si>
  <si>
    <t>GD_ID_ACTUAL_CLEARANCE_FL</t>
  </si>
  <si>
    <t>GD_ID_ACTUAL_CLEARANCE_FR</t>
  </si>
  <si>
    <t>GD_ID_ACTUAL_CLEARANCE_RL</t>
  </si>
  <si>
    <t>GD_ID_ACTUAL_CLEARANCE_RR</t>
  </si>
  <si>
    <t>Life message</t>
  </si>
  <si>
    <t>Data, Actual state of machine. Status, Control is active</t>
  </si>
  <si>
    <t>Actual state of leg</t>
  </si>
  <si>
    <t>Data, Actual clearance height for leg. Status, Leg control is enabled</t>
  </si>
  <si>
    <t>GD_ID_OKAY_TO_TRANSITION</t>
  </si>
  <si>
    <t>Indicates if settings are sutible for raising and lowering</t>
  </si>
  <si>
    <t>NotOkay</t>
  </si>
  <si>
    <t>RaiseOK</t>
  </si>
  <si>
    <t>LowerOK</t>
  </si>
  <si>
    <t>BothOK</t>
  </si>
  <si>
    <t>%</t>
  </si>
  <si>
    <t>Command to extend ladder</t>
  </si>
  <si>
    <t>GD_ID_HC_TARGET_CLEARANCE_FL</t>
  </si>
  <si>
    <t>GD_ID_HC_TARGET_CLEARANCE_FR</t>
  </si>
  <si>
    <t>GD_ID_HC_TARGET_CLEARANCE_RL</t>
  </si>
  <si>
    <t>GD_ID_HC_TARGET_CLEARANCE_RR</t>
  </si>
  <si>
    <t>GD_ID_HC_ACTUAL_CLEARANCE_FL</t>
  </si>
  <si>
    <t>GD_ID_HC_ACTUAL_CLEARANCE_FR</t>
  </si>
  <si>
    <t>GD_ID_HC_ACTUAL_CLEARANCE_RL</t>
  </si>
  <si>
    <t>GD_ID_HC_ACTUAL_CLEARANCE_RR</t>
  </si>
  <si>
    <t>GD_ID_HC_OKAY_TO_TRANSITION</t>
  </si>
  <si>
    <t>GD_ID_HC_LADDER_EXTEND</t>
  </si>
  <si>
    <t>Retract</t>
  </si>
  <si>
    <t>Extend</t>
  </si>
  <si>
    <t>bitfield</t>
  </si>
  <si>
    <t>GD_ID_HC_REQUEST_CCO_OFF</t>
  </si>
  <si>
    <t>Request to kill enable for hydrualic power</t>
  </si>
  <si>
    <t>False</t>
  </si>
  <si>
    <t>True</t>
  </si>
  <si>
    <t>GD_ID_HC_USER_WARNINGS</t>
  </si>
  <si>
    <t>TrackWidth</t>
  </si>
  <si>
    <t>Speed</t>
  </si>
  <si>
    <t>Guide</t>
  </si>
  <si>
    <t>WAS</t>
  </si>
  <si>
    <t>FWS</t>
  </si>
  <si>
    <t>RoadMode</t>
  </si>
  <si>
    <t>CAL</t>
  </si>
  <si>
    <t>ParkBrake</t>
  </si>
  <si>
    <t>Normal</t>
  </si>
  <si>
    <t>Induicates which warning(s) is preventing movement</t>
  </si>
  <si>
    <t>GD_ID_HC_MOVEMENT_ERROR_FL</t>
  </si>
  <si>
    <t>Movement</t>
  </si>
  <si>
    <t>CcoOff</t>
  </si>
  <si>
    <t>NoMovement</t>
  </si>
  <si>
    <t>Indicates if a movement error happened on a leg</t>
  </si>
  <si>
    <t>GD_ID_HC_MOVEMENT_ERROR_FR</t>
  </si>
  <si>
    <t>GD_ID_HC_MOVEMENT_ERROR_RL</t>
  </si>
  <si>
    <t>GD_ID_HC_MOVEMENT_ERROR_RR</t>
  </si>
  <si>
    <t>GD_ID_HC_MANUAL_OVERRIDE</t>
  </si>
  <si>
    <t>R/W</t>
  </si>
  <si>
    <t>Data - R/W, See definition Doc. Status - R, Manual override active</t>
  </si>
  <si>
    <t>GD_ID_HC_CAL_STATE</t>
  </si>
  <si>
    <t>Data, See definition Doc. Status, Calibration overriding control</t>
  </si>
  <si>
    <t>GD_ID_HC_CAL_CMD</t>
  </si>
  <si>
    <t>Data, See definition Doc.</t>
  </si>
  <si>
    <t>DIAGNOSE</t>
  </si>
  <si>
    <t>GD_ID_HC_SENSOR_RAW_FL</t>
  </si>
  <si>
    <t>GD_ID_HC_SENSOR_RAW_FR</t>
  </si>
  <si>
    <t>GD_ID_HC_SENSOR_RAW_RL</t>
  </si>
  <si>
    <t>GD_ID_HC_SENSOR_RAW_RR</t>
  </si>
  <si>
    <t>mA</t>
  </si>
  <si>
    <t>Height cylinder position sensor current</t>
  </si>
  <si>
    <t>Cylinder coil current</t>
  </si>
  <si>
    <t>Dutycycle pct for cylinder</t>
  </si>
  <si>
    <t>GD_ID_HC_CYLINDER_PWM_EXTEND_FL</t>
  </si>
  <si>
    <t>GD_ID_HC_CYLINDER_PWM_EXTEND_FR</t>
  </si>
  <si>
    <t>GD_ID_HC_CYLINDER_PWM_EXTEND_RL</t>
  </si>
  <si>
    <t>GD_ID_HC_CYLINDER_PWM_EXTEND_RR</t>
  </si>
  <si>
    <t>GD_ID_HC_CYLINDER_PWM_RETRCT_FL</t>
  </si>
  <si>
    <t>GD_ID_HC_CYLINDER_PWM_RETRCT_FR</t>
  </si>
  <si>
    <t>GD_ID_HC_CYLINDER_PWM_RETRCT_RL</t>
  </si>
  <si>
    <t>GD_ID_HC_CYLINDER_PWM_RETRCT_RR</t>
  </si>
  <si>
    <t>GD_ID_HC_COIL_RAW_EXTEND_FL</t>
  </si>
  <si>
    <t>GD_ID_HC_COIL_RAW_RETRCT_FL</t>
  </si>
  <si>
    <t>GD_ID_HC_COIL_RAW_EXTEND_FR</t>
  </si>
  <si>
    <t>GD_ID_HC_COIL_RAW_RETRCT_FR</t>
  </si>
  <si>
    <t>GD_ID_HC_COIL_RAW_EXTEND_RL</t>
  </si>
  <si>
    <t>GD_ID_HC_COIL_RAW_RETRCT_RL</t>
  </si>
  <si>
    <t>GD_ID_HC_COIL_RAW_EXTEND_RR</t>
  </si>
  <si>
    <t>GD_ID_HC_COIL_RAW_RETRCT_RR</t>
  </si>
  <si>
    <t>GD_ID_HC_STROKE_LEGNTH_RAW_FL</t>
  </si>
  <si>
    <t>GD_ID_HC_STROKE_LEGNTH_RAW_FR</t>
  </si>
  <si>
    <t>GD_ID_HC_STROKE_LEGNTH_RAW_RL</t>
  </si>
  <si>
    <t>GD_ID_HC_STROKE_LEGNTH_RAW_RR</t>
  </si>
  <si>
    <t>GD_ID_HC_STROKE_LEGNTH_FILTER_FL</t>
  </si>
  <si>
    <t>GD_ID_HC_STROKE_LEGNTH_FILTER_FR</t>
  </si>
  <si>
    <t>GD_ID_HC_STROKE_LEGNTH_FILTER_RL</t>
  </si>
  <si>
    <t>GD_ID_HC_STROKE_LEGNTH_FILTER_RR</t>
  </si>
  <si>
    <t>Raw length cylinder is extended</t>
  </si>
  <si>
    <t>Value: Filtered length cylinder is extended. Status: Filter enabled or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</si>
</sst>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&quot;DM&quot;_-;\-* #,##0.00\ &quot;DM&quot;_-;_-* &quot;-&quot;??\ &quot;DM&quot;_-;_-@_-"/>
    <numFmt numFmtId="165" formatCode="_-* #,##0.00\ [$€]_-;\-* #,##0.00\ [$€]_-;_-* &quot;-&quot;??\ [$€]_-;_-@_-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  <charset val="204"/>
    </font>
    <font>
      <b/>
      <sz val="11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  <charset val="204"/>
    </font>
    <font>
      <sz val="10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1"/>
      <color indexed="20"/>
      <name val="Calibri"/>
      <family val="2"/>
    </font>
    <font>
      <b/>
      <i/>
      <sz val="16"/>
      <name val="Courier New"/>
      <family val="3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39">
    <xf numFmtId="0" fontId="0" fillId="0" borderId="0"/>
    <xf numFmtId="164" fontId="3" fillId="0" borderId="0" applyFont="0" applyFill="0" applyBorder="0" applyAlignment="0" applyProtection="0"/>
    <xf numFmtId="0" fontId="2" fillId="0" borderId="0"/>
    <xf numFmtId="0" fontId="6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6" borderId="0" applyNumberFormat="0" applyBorder="0" applyAlignment="0" applyProtection="0"/>
    <xf numFmtId="0" fontId="14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20" borderId="0" applyNumberFormat="0" applyBorder="0" applyAlignment="0" applyProtection="0"/>
    <xf numFmtId="0" fontId="16" fillId="21" borderId="15" applyNumberFormat="0" applyAlignment="0" applyProtection="0"/>
    <xf numFmtId="0" fontId="17" fillId="21" borderId="16" applyNumberForma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8" fillId="8" borderId="16" applyNumberFormat="0" applyAlignment="0" applyProtection="0"/>
    <xf numFmtId="0" fontId="19" fillId="0" borderId="17" applyNumberFormat="0" applyFill="0" applyAlignment="0" applyProtection="0"/>
    <xf numFmtId="0" fontId="20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0" fontId="21" fillId="5" borderId="0" applyNumberFormat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22" borderId="18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5" fillId="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26" fillId="0" borderId="0" applyNumberFormat="0" applyFill="0" applyBorder="0" applyProtection="0">
      <alignment horizontal="center"/>
    </xf>
    <xf numFmtId="0" fontId="27" fillId="0" borderId="19" applyNumberFormat="0" applyFill="0" applyAlignment="0" applyProtection="0"/>
    <xf numFmtId="0" fontId="28" fillId="0" borderId="20" applyNumberFormat="0" applyFill="0" applyAlignment="0" applyProtection="0"/>
    <xf numFmtId="0" fontId="29" fillId="0" borderId="21" applyNumberFormat="0" applyFill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center"/>
    </xf>
    <xf numFmtId="0" fontId="30" fillId="0" borderId="0" applyNumberFormat="0" applyFill="0" applyBorder="0" applyAlignment="0" applyProtection="0"/>
    <xf numFmtId="0" fontId="31" fillId="0" borderId="22" applyNumberFormat="0" applyFill="0" applyAlignment="0" applyProtection="0"/>
    <xf numFmtId="0" fontId="32" fillId="0" borderId="0" applyNumberFormat="0" applyFill="0" applyBorder="0" applyAlignment="0" applyProtection="0"/>
    <xf numFmtId="0" fontId="33" fillId="23" borderId="23" applyNumberFormat="0" applyAlignment="0" applyProtection="0"/>
    <xf numFmtId="164" fontId="2" fillId="0" borderId="0" applyFont="0" applyFill="0" applyBorder="0" applyAlignment="0" applyProtection="0"/>
  </cellStyleXfs>
  <cellXfs count="102">
    <xf numFmtId="0" fontId="0" fillId="0" borderId="0" xfId="0"/>
    <xf numFmtId="0" fontId="2" fillId="0" borderId="0" xfId="2"/>
    <xf numFmtId="0" fontId="2" fillId="0" borderId="1" xfId="2" applyBorder="1"/>
    <xf numFmtId="0" fontId="2" fillId="0" borderId="2" xfId="2" applyBorder="1"/>
    <xf numFmtId="0" fontId="2" fillId="0" borderId="3" xfId="2" applyBorder="1"/>
    <xf numFmtId="0" fontId="5" fillId="0" borderId="0" xfId="2" applyFont="1" applyFill="1" applyAlignment="1">
      <alignment horizontal="centerContinuous"/>
    </xf>
    <xf numFmtId="0" fontId="5" fillId="0" borderId="0" xfId="3" applyFont="1" applyFill="1" applyAlignment="1">
      <alignment horizontal="centerContinuous"/>
    </xf>
    <xf numFmtId="0" fontId="7" fillId="0" borderId="0" xfId="2" applyFont="1" applyAlignment="1">
      <alignment horizontal="center"/>
    </xf>
    <xf numFmtId="0" fontId="7" fillId="0" borderId="0" xfId="2" applyFont="1" applyFill="1" applyAlignment="1">
      <alignment horizontal="center"/>
    </xf>
    <xf numFmtId="0" fontId="3" fillId="0" borderId="0" xfId="2" applyFont="1" applyFill="1" applyAlignment="1">
      <alignment horizontal="centerContinuous"/>
    </xf>
    <xf numFmtId="0" fontId="2" fillId="0" borderId="0" xfId="2" applyFill="1" applyAlignment="1">
      <alignment horizontal="centerContinuous"/>
    </xf>
    <xf numFmtId="0" fontId="2" fillId="0" borderId="0" xfId="2" applyFill="1"/>
    <xf numFmtId="0" fontId="2" fillId="0" borderId="4" xfId="2" applyBorder="1"/>
    <xf numFmtId="0" fontId="2" fillId="0" borderId="0" xfId="2" applyBorder="1"/>
    <xf numFmtId="0" fontId="2" fillId="0" borderId="5" xfId="2" applyBorder="1"/>
    <xf numFmtId="0" fontId="5" fillId="0" borderId="0" xfId="2" applyFont="1" applyFill="1" applyAlignment="1">
      <alignment horizontal="center"/>
    </xf>
    <xf numFmtId="0" fontId="3" fillId="0" borderId="0" xfId="2" applyFont="1" applyFill="1" applyAlignment="1">
      <alignment horizontal="center"/>
    </xf>
    <xf numFmtId="0" fontId="8" fillId="0" borderId="0" xfId="2" applyFont="1" applyFill="1" applyAlignment="1">
      <alignment horizontal="centerContinuous"/>
    </xf>
    <xf numFmtId="0" fontId="8" fillId="0" borderId="0" xfId="2" applyFont="1" applyFill="1" applyAlignment="1">
      <alignment horizontal="center"/>
    </xf>
    <xf numFmtId="0" fontId="6" fillId="0" borderId="0" xfId="3" applyFill="1"/>
    <xf numFmtId="0" fontId="10" fillId="0" borderId="0" xfId="5" applyFont="1" applyBorder="1" applyAlignment="1">
      <alignment horizontal="center" vertical="top" wrapText="1"/>
    </xf>
    <xf numFmtId="0" fontId="9" fillId="0" borderId="0" xfId="4" applyFont="1" applyBorder="1" applyAlignment="1">
      <alignment horizontal="center" vertical="top"/>
    </xf>
    <xf numFmtId="0" fontId="9" fillId="0" borderId="0" xfId="4" applyFont="1" applyBorder="1" applyAlignment="1">
      <alignment horizontal="center" vertical="center" wrapText="1"/>
    </xf>
    <xf numFmtId="0" fontId="9" fillId="0" borderId="5" xfId="4" applyFont="1" applyBorder="1" applyAlignment="1">
      <alignment horizontal="center" vertical="center" wrapText="1"/>
    </xf>
    <xf numFmtId="0" fontId="8" fillId="2" borderId="4" xfId="2" applyFont="1" applyFill="1" applyBorder="1" applyAlignment="1">
      <alignment horizontal="center" vertical="top" wrapText="1"/>
    </xf>
    <xf numFmtId="49" fontId="8" fillId="2" borderId="0" xfId="2" applyNumberFormat="1" applyFont="1" applyFill="1" applyBorder="1" applyAlignment="1">
      <alignment horizontal="center" vertical="top" wrapText="1"/>
    </xf>
    <xf numFmtId="0" fontId="8" fillId="2" borderId="5" xfId="2" applyFont="1" applyFill="1" applyBorder="1" applyAlignment="1">
      <alignment horizontal="center" vertical="center"/>
    </xf>
    <xf numFmtId="49" fontId="8" fillId="2" borderId="0" xfId="2" applyNumberFormat="1" applyFont="1" applyFill="1" applyBorder="1" applyAlignment="1">
      <alignment horizontal="center" vertical="center" wrapText="1"/>
    </xf>
    <xf numFmtId="49" fontId="8" fillId="2" borderId="0" xfId="2" applyNumberFormat="1" applyFont="1" applyFill="1" applyBorder="1" applyAlignment="1">
      <alignment horizontal="center" vertical="center"/>
    </xf>
    <xf numFmtId="0" fontId="10" fillId="0" borderId="0" xfId="5" applyFont="1" applyBorder="1" applyAlignment="1">
      <alignment horizontal="center" vertical="top"/>
    </xf>
    <xf numFmtId="0" fontId="3" fillId="0" borderId="0" xfId="4" applyFont="1" applyBorder="1" applyAlignment="1">
      <alignment horizontal="center" vertical="top"/>
    </xf>
    <xf numFmtId="0" fontId="8" fillId="0" borderId="0" xfId="4" applyFont="1" applyBorder="1" applyAlignment="1">
      <alignment horizontal="center" vertical="top"/>
    </xf>
    <xf numFmtId="0" fontId="3" fillId="0" borderId="4" xfId="4" applyBorder="1" applyAlignment="1">
      <alignment vertical="top"/>
    </xf>
    <xf numFmtId="0" fontId="3" fillId="0" borderId="0" xfId="4" applyBorder="1" applyAlignment="1">
      <alignment vertical="top"/>
    </xf>
    <xf numFmtId="0" fontId="3" fillId="0" borderId="5" xfId="4" applyBorder="1" applyAlignment="1">
      <alignment vertical="top"/>
    </xf>
    <xf numFmtId="0" fontId="2" fillId="0" borderId="0" xfId="2" applyBorder="1" applyAlignment="1">
      <alignment horizontal="left"/>
    </xf>
    <xf numFmtId="0" fontId="2" fillId="0" borderId="0" xfId="2" applyBorder="1" applyAlignment="1">
      <alignment horizontal="center"/>
    </xf>
    <xf numFmtId="0" fontId="2" fillId="0" borderId="6" xfId="2" applyBorder="1"/>
    <xf numFmtId="0" fontId="6" fillId="0" borderId="6" xfId="3" applyFont="1" applyBorder="1" applyAlignment="1">
      <alignment wrapText="1"/>
    </xf>
    <xf numFmtId="0" fontId="2" fillId="0" borderId="6" xfId="2" applyBorder="1" applyAlignment="1">
      <alignment horizontal="center"/>
    </xf>
    <xf numFmtId="0" fontId="9" fillId="0" borderId="6" xfId="2" applyFont="1" applyBorder="1" applyAlignment="1">
      <alignment horizontal="center"/>
    </xf>
    <xf numFmtId="0" fontId="2" fillId="0" borderId="6" xfId="2" applyBorder="1" applyAlignment="1">
      <alignment wrapText="1"/>
    </xf>
    <xf numFmtId="0" fontId="9" fillId="0" borderId="6" xfId="2" applyFont="1" applyBorder="1"/>
    <xf numFmtId="0" fontId="3" fillId="0" borderId="7" xfId="2" applyFont="1" applyBorder="1" applyAlignment="1">
      <alignment horizontal="left" vertical="top"/>
    </xf>
    <xf numFmtId="0" fontId="3" fillId="0" borderId="6" xfId="2" applyFont="1" applyBorder="1" applyAlignment="1">
      <alignment horizontal="left" vertical="top"/>
    </xf>
    <xf numFmtId="0" fontId="3" fillId="0" borderId="8" xfId="2" applyFont="1" applyBorder="1" applyAlignment="1">
      <alignment horizontal="left" vertical="top"/>
    </xf>
    <xf numFmtId="0" fontId="2" fillId="0" borderId="6" xfId="2" applyBorder="1" applyAlignment="1">
      <alignment horizontal="left"/>
    </xf>
    <xf numFmtId="0" fontId="2" fillId="0" borderId="9" xfId="2" applyBorder="1" applyAlignment="1">
      <alignment horizontal="center"/>
    </xf>
    <xf numFmtId="0" fontId="6" fillId="0" borderId="10" xfId="3" applyFont="1" applyBorder="1" applyAlignment="1">
      <alignment horizontal="center"/>
    </xf>
    <xf numFmtId="0" fontId="2" fillId="0" borderId="11" xfId="2" applyBorder="1"/>
    <xf numFmtId="0" fontId="3" fillId="0" borderId="11" xfId="2" quotePrefix="1" applyFont="1" applyBorder="1" applyAlignment="1">
      <alignment horizontal="center"/>
    </xf>
    <xf numFmtId="0" fontId="2" fillId="0" borderId="11" xfId="2" applyBorder="1" applyAlignment="1">
      <alignment horizontal="center" wrapText="1"/>
    </xf>
    <xf numFmtId="0" fontId="2" fillId="0" borderId="9" xfId="2" applyBorder="1" applyAlignment="1">
      <alignment horizontal="center" wrapText="1"/>
    </xf>
    <xf numFmtId="0" fontId="2" fillId="0" borderId="9" xfId="2" applyFill="1" applyBorder="1" applyAlignment="1">
      <alignment horizontal="left"/>
    </xf>
    <xf numFmtId="0" fontId="2" fillId="0" borderId="9" xfId="2" applyBorder="1"/>
    <xf numFmtId="0" fontId="2" fillId="0" borderId="11" xfId="2" applyBorder="1" applyAlignment="1">
      <alignment horizontal="center"/>
    </xf>
    <xf numFmtId="0" fontId="3" fillId="0" borderId="12" xfId="2" applyFont="1" applyBorder="1" applyAlignment="1">
      <alignment horizontal="center"/>
    </xf>
    <xf numFmtId="0" fontId="3" fillId="0" borderId="11" xfId="2" applyFont="1" applyBorder="1" applyAlignment="1">
      <alignment horizontal="center"/>
    </xf>
    <xf numFmtId="0" fontId="3" fillId="0" borderId="0" xfId="2" applyFont="1" applyBorder="1" applyAlignment="1">
      <alignment horizontal="center"/>
    </xf>
    <xf numFmtId="0" fontId="2" fillId="0" borderId="0" xfId="2" applyAlignment="1">
      <alignment horizontal="left"/>
    </xf>
    <xf numFmtId="0" fontId="2" fillId="0" borderId="0" xfId="2" applyAlignment="1">
      <alignment horizontal="left" wrapText="1"/>
    </xf>
    <xf numFmtId="0" fontId="11" fillId="0" borderId="0" xfId="2" applyFont="1" applyAlignment="1">
      <alignment horizontal="left" wrapText="1"/>
    </xf>
    <xf numFmtId="0" fontId="11" fillId="0" borderId="0" xfId="2" applyFont="1" applyAlignment="1">
      <alignment wrapText="1"/>
    </xf>
    <xf numFmtId="0" fontId="2" fillId="0" borderId="11" xfId="2" applyFill="1" applyBorder="1"/>
    <xf numFmtId="0" fontId="2" fillId="0" borderId="11" xfId="2" applyFill="1" applyBorder="1" applyAlignment="1">
      <alignment horizontal="center"/>
    </xf>
    <xf numFmtId="0" fontId="3" fillId="0" borderId="9" xfId="6" applyFont="1" applyBorder="1" applyAlignment="1">
      <alignment horizontal="center" vertical="top"/>
    </xf>
    <xf numFmtId="0" fontId="3" fillId="0" borderId="11" xfId="6" applyFont="1" applyBorder="1" applyAlignment="1">
      <alignment horizontal="center" vertical="top"/>
    </xf>
    <xf numFmtId="0" fontId="3" fillId="0" borderId="11" xfId="2" applyFont="1" applyFill="1" applyBorder="1" applyAlignment="1">
      <alignment horizontal="center"/>
    </xf>
    <xf numFmtId="0" fontId="3" fillId="0" borderId="11" xfId="2" applyFont="1" applyBorder="1"/>
    <xf numFmtId="0" fontId="3" fillId="0" borderId="11" xfId="6" applyFont="1" applyBorder="1" applyAlignment="1">
      <alignment horizontal="left" vertical="top"/>
    </xf>
    <xf numFmtId="0" fontId="3" fillId="0" borderId="9" xfId="6" applyFont="1" applyBorder="1" applyAlignment="1">
      <alignment vertical="top"/>
    </xf>
    <xf numFmtId="0" fontId="6" fillId="0" borderId="0" xfId="3" applyFont="1" applyBorder="1" applyAlignment="1">
      <alignment horizontal="center"/>
    </xf>
    <xf numFmtId="0" fontId="2" fillId="0" borderId="13" xfId="2" applyBorder="1" applyAlignment="1">
      <alignment horizontal="center"/>
    </xf>
    <xf numFmtId="0" fontId="6" fillId="0" borderId="13" xfId="3" applyFont="1" applyBorder="1" applyAlignment="1">
      <alignment horizontal="center"/>
    </xf>
    <xf numFmtId="0" fontId="2" fillId="0" borderId="13" xfId="2" applyBorder="1"/>
    <xf numFmtId="0" fontId="3" fillId="0" borderId="13" xfId="4" applyFont="1" applyBorder="1" applyAlignment="1">
      <alignment horizontal="center" vertical="top"/>
    </xf>
    <xf numFmtId="0" fontId="3" fillId="0" borderId="13" xfId="4" quotePrefix="1" applyBorder="1" applyAlignment="1">
      <alignment horizontal="center" vertical="top"/>
    </xf>
    <xf numFmtId="0" fontId="3" fillId="0" borderId="13" xfId="7" applyBorder="1" applyAlignment="1">
      <alignment horizontal="center" vertical="top"/>
    </xf>
    <xf numFmtId="0" fontId="3" fillId="0" borderId="13" xfId="7" applyFont="1" applyBorder="1" applyAlignment="1">
      <alignment horizontal="center" vertical="top"/>
    </xf>
    <xf numFmtId="0" fontId="3" fillId="0" borderId="13" xfId="2" applyFont="1" applyBorder="1" applyAlignment="1">
      <alignment horizontal="center"/>
    </xf>
    <xf numFmtId="0" fontId="2" fillId="0" borderId="0" xfId="2" applyAlignment="1">
      <alignment horizont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left"/>
    </xf>
    <xf numFmtId="0" fontId="2" fillId="0" borderId="0" xfId="2" applyAlignment="1">
      <alignment wrapText="1"/>
    </xf>
    <xf numFmtId="0" fontId="6" fillId="0" borderId="0" xfId="3" applyBorder="1" applyAlignment="1">
      <alignment horizontal="center"/>
    </xf>
    <xf numFmtId="0" fontId="6" fillId="0" borderId="0" xfId="3" applyAlignment="1">
      <alignment horizontal="center"/>
    </xf>
    <xf numFmtId="0" fontId="6" fillId="0" borderId="0" xfId="3" applyFont="1" applyAlignment="1">
      <alignment horizontal="center"/>
    </xf>
    <xf numFmtId="0" fontId="6" fillId="0" borderId="9" xfId="3" applyBorder="1" applyAlignment="1">
      <alignment horizontal="center"/>
    </xf>
    <xf numFmtId="0" fontId="6" fillId="0" borderId="14" xfId="3" applyBorder="1" applyAlignment="1">
      <alignment horizontal="center"/>
    </xf>
    <xf numFmtId="0" fontId="10" fillId="0" borderId="0" xfId="3" applyFont="1" applyAlignment="1">
      <alignment horizontal="center"/>
    </xf>
    <xf numFmtId="0" fontId="10" fillId="0" borderId="0" xfId="3" applyFont="1" applyAlignment="1">
      <alignment horizontal="left"/>
    </xf>
    <xf numFmtId="0" fontId="2" fillId="0" borderId="24" xfId="2" applyBorder="1" applyAlignment="1">
      <alignment horizontal="center" wrapText="1"/>
    </xf>
    <xf numFmtId="0" fontId="2" fillId="0" borderId="11" xfId="2" quotePrefix="1" applyBorder="1" applyAlignment="1">
      <alignment horizontal="center"/>
    </xf>
    <xf numFmtId="0" fontId="2" fillId="0" borderId="11" xfId="2" quotePrefix="1" applyFont="1" applyBorder="1" applyAlignment="1">
      <alignment horizontal="center"/>
    </xf>
    <xf numFmtId="0" fontId="2" fillId="0" borderId="0" xfId="2" quotePrefix="1"/>
    <xf numFmtId="0" fontId="9" fillId="0" borderId="0" xfId="4" applyFont="1" applyBorder="1" applyAlignment="1">
      <alignment horizontal="center" vertical="top"/>
    </xf>
    <xf numFmtId="164" fontId="4" fillId="0" borderId="0" xfId="1" applyFont="1" applyAlignment="1">
      <alignment horizontal="center"/>
    </xf>
    <xf numFmtId="164" fontId="3" fillId="0" borderId="0" xfId="1" applyAlignment="1">
      <alignment horizontal="center"/>
    </xf>
    <xf numFmtId="0" fontId="9" fillId="0" borderId="0" xfId="4" applyFont="1" applyBorder="1" applyAlignment="1">
      <alignment horizontal="center" vertical="top" wrapText="1"/>
    </xf>
    <xf numFmtId="0" fontId="8" fillId="0" borderId="0" xfId="4" applyFont="1" applyBorder="1" applyAlignment="1">
      <alignment vertical="top" wrapText="1"/>
    </xf>
    <xf numFmtId="0" fontId="8" fillId="0" borderId="0" xfId="4" applyFont="1" applyBorder="1" applyAlignment="1">
      <alignment vertical="top"/>
    </xf>
    <xf numFmtId="0" fontId="9" fillId="0" borderId="0" xfId="4" applyFont="1" applyBorder="1" applyAlignment="1">
      <alignment vertical="top"/>
    </xf>
  </cellXfs>
  <cellStyles count="239">
    <cellStyle name="20% - Akzent1" xfId="8"/>
    <cellStyle name="20% - Akzent2" xfId="9"/>
    <cellStyle name="20% - Akzent3" xfId="10"/>
    <cellStyle name="20% - Akzent4" xfId="11"/>
    <cellStyle name="20% - Akzent5" xfId="12"/>
    <cellStyle name="20% - Akzent6" xfId="13"/>
    <cellStyle name="40% - Akzent1" xfId="14"/>
    <cellStyle name="40% - Akzent2" xfId="15"/>
    <cellStyle name="40% - Akzent3" xfId="16"/>
    <cellStyle name="40% - Akzent4" xfId="17"/>
    <cellStyle name="40% - Akzent5" xfId="18"/>
    <cellStyle name="40% - Akzent6" xfId="19"/>
    <cellStyle name="60% - Akzent1" xfId="20"/>
    <cellStyle name="60% - Akzent2" xfId="21"/>
    <cellStyle name="60% - Akzent3" xfId="22"/>
    <cellStyle name="60% - Akzent4" xfId="23"/>
    <cellStyle name="60% - Akzent5" xfId="24"/>
    <cellStyle name="60% - Akzent6" xfId="25"/>
    <cellStyle name="Akzent1" xfId="26"/>
    <cellStyle name="Akzent2" xfId="27"/>
    <cellStyle name="Akzent3" xfId="28"/>
    <cellStyle name="Akzent4" xfId="29"/>
    <cellStyle name="Akzent5" xfId="30"/>
    <cellStyle name="Akzent6" xfId="31"/>
    <cellStyle name="Ausgabe" xfId="32"/>
    <cellStyle name="Berechnung" xfId="33"/>
    <cellStyle name="Currency 2" xfId="1"/>
    <cellStyle name="Currency 3" xfId="34"/>
    <cellStyle name="Currency 4" xfId="35"/>
    <cellStyle name="Currency 5" xfId="36"/>
    <cellStyle name="Currency 6" xfId="37"/>
    <cellStyle name="Currency 7" xfId="38"/>
    <cellStyle name="Currency 8" xfId="238"/>
    <cellStyle name="Eingabe" xfId="39"/>
    <cellStyle name="Ergebnis" xfId="40"/>
    <cellStyle name="Erklärender Text" xfId="41"/>
    <cellStyle name="Euro" xfId="42"/>
    <cellStyle name="Gut" xfId="43"/>
    <cellStyle name="Hyperlink 2" xfId="44"/>
    <cellStyle name="Hyperlink 3" xfId="45"/>
    <cellStyle name="Hyperlink 3 2" xfId="46"/>
    <cellStyle name="Hyperlink 3 3" xfId="47"/>
    <cellStyle name="Hyperlink 3 4" xfId="48"/>
    <cellStyle name="Normal" xfId="0" builtinId="0"/>
    <cellStyle name="Normal 10" xfId="49"/>
    <cellStyle name="Normal 10 2" xfId="50"/>
    <cellStyle name="Normal 10 2 2" xfId="51"/>
    <cellStyle name="Normal 10 2 2 2" xfId="52"/>
    <cellStyle name="Normal 10 2 2 2 2" xfId="53"/>
    <cellStyle name="Normal 10 2 2 2 2 2" xfId="54"/>
    <cellStyle name="Normal 10 2 2 2 3" xfId="55"/>
    <cellStyle name="Normal 10 2 2 3" xfId="56"/>
    <cellStyle name="Normal 10 2 2 3 2" xfId="57"/>
    <cellStyle name="Normal 10 2 2 4" xfId="58"/>
    <cellStyle name="Normal 10 2 2 4 2" xfId="59"/>
    <cellStyle name="Normal 10 2 2 5" xfId="60"/>
    <cellStyle name="Normal 10 2 3" xfId="61"/>
    <cellStyle name="Normal 10 2 3 2" xfId="62"/>
    <cellStyle name="Normal 10 2 3 2 2" xfId="63"/>
    <cellStyle name="Normal 10 2 3 3" xfId="64"/>
    <cellStyle name="Normal 10 2 4" xfId="65"/>
    <cellStyle name="Normal 10 2 4 2" xfId="66"/>
    <cellStyle name="Normal 10 2 5" xfId="67"/>
    <cellStyle name="Normal 10 2 5 2" xfId="68"/>
    <cellStyle name="Normal 10 2 6" xfId="69"/>
    <cellStyle name="Normal 10 3" xfId="70"/>
    <cellStyle name="Normal 10 3 2" xfId="71"/>
    <cellStyle name="Normal 10 3 2 2" xfId="72"/>
    <cellStyle name="Normal 10 3 2 2 2" xfId="73"/>
    <cellStyle name="Normal 10 3 2 3" xfId="74"/>
    <cellStyle name="Normal 10 3 3" xfId="75"/>
    <cellStyle name="Normal 10 3 3 2" xfId="76"/>
    <cellStyle name="Normal 10 3 4" xfId="77"/>
    <cellStyle name="Normal 10 3 4 2" xfId="78"/>
    <cellStyle name="Normal 10 3 5" xfId="79"/>
    <cellStyle name="Normal 10 4" xfId="80"/>
    <cellStyle name="Normal 10 4 2" xfId="81"/>
    <cellStyle name="Normal 10 4 2 2" xfId="82"/>
    <cellStyle name="Normal 10 4 3" xfId="83"/>
    <cellStyle name="Normal 10 5" xfId="84"/>
    <cellStyle name="Normal 10 5 2" xfId="85"/>
    <cellStyle name="Normal 10 6" xfId="86"/>
    <cellStyle name="Normal 10 6 2" xfId="87"/>
    <cellStyle name="Normal 10 7" xfId="88"/>
    <cellStyle name="Normal 11" xfId="89"/>
    <cellStyle name="Normal 11 2" xfId="90"/>
    <cellStyle name="Normal 12" xfId="91"/>
    <cellStyle name="Normal 2" xfId="2"/>
    <cellStyle name="Normal 2 2" xfId="3"/>
    <cellStyle name="Normal 2 2 2" xfId="92"/>
    <cellStyle name="Normal 2 2 2 2" xfId="93"/>
    <cellStyle name="Normal 2 3" xfId="94"/>
    <cellStyle name="Normal 2 3 2" xfId="95"/>
    <cellStyle name="Normal 2 3 2 2" xfId="96"/>
    <cellStyle name="Normal 2 3 3" xfId="97"/>
    <cellStyle name="Normal 2 3 3 2" xfId="98"/>
    <cellStyle name="Normal 2 3 4" xfId="99"/>
    <cellStyle name="Normal 2 3 5" xfId="100"/>
    <cellStyle name="Normal 3" xfId="101"/>
    <cellStyle name="Normal 3 2" xfId="102"/>
    <cellStyle name="Normal 3 2 2" xfId="103"/>
    <cellStyle name="Normal 3 2 2 2" xfId="104"/>
    <cellStyle name="Normal 3 2 2 2 2" xfId="105"/>
    <cellStyle name="Normal 3 2 2 2 2 2" xfId="106"/>
    <cellStyle name="Normal 3 2 2 2 3" xfId="107"/>
    <cellStyle name="Normal 3 2 2 3" xfId="108"/>
    <cellStyle name="Normal 3 2 2 3 2" xfId="109"/>
    <cellStyle name="Normal 3 2 2 4" xfId="110"/>
    <cellStyle name="Normal 3 2 2 4 2" xfId="111"/>
    <cellStyle name="Normal 3 2 2 5" xfId="112"/>
    <cellStyle name="Normal 3 2 3" xfId="113"/>
    <cellStyle name="Normal 3 2 3 2" xfId="114"/>
    <cellStyle name="Normal 3 2 3 2 2" xfId="115"/>
    <cellStyle name="Normal 3 2 3 3" xfId="116"/>
    <cellStyle name="Normal 3 2 4" xfId="117"/>
    <cellStyle name="Normal 3 2 4 2" xfId="118"/>
    <cellStyle name="Normal 3 2 5" xfId="119"/>
    <cellStyle name="Normal 3 2 5 2" xfId="120"/>
    <cellStyle name="Normal 3 2 6" xfId="121"/>
    <cellStyle name="Normal 3 3" xfId="122"/>
    <cellStyle name="Normal 3 3 2" xfId="123"/>
    <cellStyle name="Normal 3 3 2 2" xfId="124"/>
    <cellStyle name="Normal 3 3 2 2 2" xfId="125"/>
    <cellStyle name="Normal 3 3 2 3" xfId="126"/>
    <cellStyle name="Normal 3 3 3" xfId="127"/>
    <cellStyle name="Normal 3 3 3 2" xfId="128"/>
    <cellStyle name="Normal 3 3 4" xfId="129"/>
    <cellStyle name="Normal 3 3 4 2" xfId="130"/>
    <cellStyle name="Normal 3 3 5" xfId="131"/>
    <cellStyle name="Normal 3 4" xfId="132"/>
    <cellStyle name="Normal 3 4 2" xfId="133"/>
    <cellStyle name="Normal 3 4 2 2" xfId="134"/>
    <cellStyle name="Normal 3 4 2 2 2" xfId="135"/>
    <cellStyle name="Normal 3 4 2 3" xfId="136"/>
    <cellStyle name="Normal 3 4 3" xfId="137"/>
    <cellStyle name="Normal 3 4 3 2" xfId="138"/>
    <cellStyle name="Normal 3 4 4" xfId="139"/>
    <cellStyle name="Normal 3 4 4 2" xfId="140"/>
    <cellStyle name="Normal 3 4 5" xfId="141"/>
    <cellStyle name="Normal 3 4 6" xfId="142"/>
    <cellStyle name="Normal 3 5" xfId="143"/>
    <cellStyle name="Normal 3 5 2" xfId="144"/>
    <cellStyle name="Normal 3 5 2 2" xfId="145"/>
    <cellStyle name="Normal 3 5 2 2 2" xfId="146"/>
    <cellStyle name="Normal 3 5 2 3" xfId="147"/>
    <cellStyle name="Normal 3 5 3" xfId="148"/>
    <cellStyle name="Normal 3 5 3 2" xfId="149"/>
    <cellStyle name="Normal 3 5 4" xfId="150"/>
    <cellStyle name="Normal 3 5 4 2" xfId="151"/>
    <cellStyle name="Normal 3 5 5" xfId="152"/>
    <cellStyle name="Normal 3 6" xfId="153"/>
    <cellStyle name="Normal 3 6 2" xfId="154"/>
    <cellStyle name="Normal 3 6 2 2" xfId="155"/>
    <cellStyle name="Normal 3 6 3" xfId="156"/>
    <cellStyle name="Normal 3 7" xfId="157"/>
    <cellStyle name="Normal 3 7 2" xfId="158"/>
    <cellStyle name="Normal 3 8" xfId="159"/>
    <cellStyle name="Normal 3 8 2" xfId="160"/>
    <cellStyle name="Normal 3 9" xfId="161"/>
    <cellStyle name="Normal 4" xfId="162"/>
    <cellStyle name="Normal 4 2" xfId="163"/>
    <cellStyle name="Normal 5" xfId="164"/>
    <cellStyle name="Normal 5 2" xfId="165"/>
    <cellStyle name="Normal 5 2 2" xfId="166"/>
    <cellStyle name="Normal 5 2 2 2" xfId="167"/>
    <cellStyle name="Normal 5 2 2 2 2" xfId="168"/>
    <cellStyle name="Normal 5 2 2 3" xfId="169"/>
    <cellStyle name="Normal 5 2 2 3 2" xfId="170"/>
    <cellStyle name="Normal 5 2 2 4" xfId="171"/>
    <cellStyle name="Normal 5 2 3" xfId="172"/>
    <cellStyle name="Normal 5 2 3 2" xfId="173"/>
    <cellStyle name="Normal 5 2 4" xfId="174"/>
    <cellStyle name="Normal 5 2 4 2" xfId="175"/>
    <cellStyle name="Normal 5 2 5" xfId="176"/>
    <cellStyle name="Normal 5 3" xfId="177"/>
    <cellStyle name="Normal 5 3 2" xfId="178"/>
    <cellStyle name="Normal 5 3 2 2" xfId="179"/>
    <cellStyle name="Normal 5 3 3" xfId="180"/>
    <cellStyle name="Normal 5 3 3 2" xfId="181"/>
    <cellStyle name="Normal 5 3 4" xfId="182"/>
    <cellStyle name="Normal 5 4" xfId="183"/>
    <cellStyle name="Normal 5 4 2" xfId="184"/>
    <cellStyle name="Normal 5 5" xfId="185"/>
    <cellStyle name="Normal 5 5 2" xfId="186"/>
    <cellStyle name="Normal 5 6" xfId="187"/>
    <cellStyle name="Normal 5 7" xfId="188"/>
    <cellStyle name="Normal 6" xfId="189"/>
    <cellStyle name="Normal 6 2" xfId="190"/>
    <cellStyle name="Normal 7" xfId="191"/>
    <cellStyle name="Normal 7 2" xfId="192"/>
    <cellStyle name="Normal 7 2 2" xfId="193"/>
    <cellStyle name="Normal 7 2 2 2" xfId="194"/>
    <cellStyle name="Normal 7 2 3" xfId="195"/>
    <cellStyle name="Normal 7 2 3 2" xfId="196"/>
    <cellStyle name="Normal 7 2 4" xfId="197"/>
    <cellStyle name="Normal 7 3" xfId="198"/>
    <cellStyle name="Normal 7 3 2" xfId="199"/>
    <cellStyle name="Normal 7 4" xfId="200"/>
    <cellStyle name="Normal 7 4 2" xfId="201"/>
    <cellStyle name="Normal 7 5" xfId="202"/>
    <cellStyle name="Normal 7 6" xfId="203"/>
    <cellStyle name="Normal 8" xfId="204"/>
    <cellStyle name="Normal 8 2" xfId="205"/>
    <cellStyle name="Normal 9" xfId="206"/>
    <cellStyle name="Normal 9 2" xfId="207"/>
    <cellStyle name="Normal 9 2 2" xfId="208"/>
    <cellStyle name="Normal 9 2 2 2" xfId="209"/>
    <cellStyle name="Normal 9 2 3" xfId="210"/>
    <cellStyle name="Normal 9 2 3 2" xfId="211"/>
    <cellStyle name="Normal 9 2 4" xfId="212"/>
    <cellStyle name="Normal 9 3" xfId="213"/>
    <cellStyle name="Normal 9 3 2" xfId="214"/>
    <cellStyle name="Normal 9 4" xfId="215"/>
    <cellStyle name="Normal 9 4 2" xfId="216"/>
    <cellStyle name="Normal 9 5" xfId="217"/>
    <cellStyle name="Normal 9 6" xfId="218"/>
    <cellStyle name="Notiz" xfId="219"/>
    <cellStyle name="Percent 2" xfId="220"/>
    <cellStyle name="Percent 2 2" xfId="221"/>
    <cellStyle name="Percent 2 2 2" xfId="222"/>
    <cellStyle name="Percent 2 3" xfId="223"/>
    <cellStyle name="Schlecht" xfId="224"/>
    <cellStyle name="Standard 2" xfId="225"/>
    <cellStyle name="Standard 2 2" xfId="226"/>
    <cellStyle name="Standard_EBT" xfId="227"/>
    <cellStyle name="Standard_khr 2" xfId="7"/>
    <cellStyle name="Standard_mfaERR" xfId="4"/>
    <cellStyle name="Standard_mfaERR 2" xfId="5"/>
    <cellStyle name="Standard_Variable_XT" xfId="6"/>
    <cellStyle name="Überschrift" xfId="228"/>
    <cellStyle name="Überschrift 1" xfId="229"/>
    <cellStyle name="Überschrift 2" xfId="230"/>
    <cellStyle name="Überschrift 3" xfId="231"/>
    <cellStyle name="Überschrift 4" xfId="232"/>
    <cellStyle name="Überschrift 5" xfId="233"/>
    <cellStyle name="Überschrift_AWB" xfId="234"/>
    <cellStyle name="Verknüpfte Zelle" xfId="235"/>
    <cellStyle name="Warnender Text" xfId="236"/>
    <cellStyle name="Zelle überprüfen" xfId="2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449580</xdr:colOff>
          <xdr:row>2</xdr:row>
          <xdr:rowOff>114300</xdr:rowOff>
        </xdr:from>
        <xdr:to>
          <xdr:col>7</xdr:col>
          <xdr:colOff>312420</xdr:colOff>
          <xdr:row>4</xdr:row>
          <xdr:rowOff>30480</xdr:rowOff>
        </xdr:to>
        <xdr:sp macro="" textlink="">
          <xdr:nvSpPr>
            <xdr:cNvPr id="1039" name="btnGenerate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JAX_Documentation/AED/Terragator/TG3/Software/GD/GD_Routing_TG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dsrvfil001\home1\PROJEKTE\DOC\KHR\kh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Dealership/GD_Bridge/RG3/GD_Routing_RG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Routing-Data TG3"/>
      <sheetName val="GDBridge"/>
      <sheetName val="PICTO"/>
      <sheetName val="EFC"/>
      <sheetName val="EMM"/>
      <sheetName val="MC"/>
      <sheetName val="INFO"/>
      <sheetName val="ML"/>
      <sheetName val="SBL"/>
      <sheetName val="SCT"/>
      <sheetName val="GW"/>
      <sheetName val="TI"/>
      <sheetName val="TG3"/>
      <sheetName val="WBZ"/>
      <sheetName val="CEAG"/>
      <sheetName val="DASH"/>
      <sheetName val="DIAGNOSE"/>
      <sheetName val="LCP"/>
      <sheetName val="MFA"/>
      <sheetName val="NT01"/>
      <sheetName val="ZE"/>
      <sheetName val="TELEMETRY"/>
      <sheetName val="template"/>
      <sheetName val="GD_Routing_TG3"/>
    </sheetNames>
    <sheetDataSet>
      <sheetData sheetId="0"/>
      <sheetData sheetId="1"/>
      <sheetData sheetId="2"/>
      <sheetData sheetId="3"/>
      <sheetData sheetId="4">
        <row r="23">
          <cell r="P23" t="str">
            <v>Select Machine Variant</v>
          </cell>
        </row>
        <row r="29">
          <cell r="P29" t="str">
            <v>Generate Data for:</v>
          </cell>
        </row>
        <row r="30">
          <cell r="P30" t="str">
            <v>TG3</v>
          </cell>
        </row>
        <row r="34">
          <cell r="P34" t="str">
            <v>Generate Source Code</v>
          </cell>
        </row>
        <row r="35">
          <cell r="P35" t="str">
            <v>NT01 XML File Name:</v>
          </cell>
        </row>
        <row r="36">
          <cell r="P36" t="str">
            <v>EDT XML File Name:</v>
          </cell>
        </row>
        <row r="37">
          <cell r="P37" t="str">
            <v>GD DBC File Name:</v>
          </cell>
        </row>
        <row r="38">
          <cell r="P38" t="str">
            <v>Simplified GD DBC File Name:</v>
          </cell>
        </row>
        <row r="53">
          <cell r="P53" t="str">
            <v>Machine Variants</v>
          </cell>
        </row>
        <row r="54">
          <cell r="P54" t="str">
            <v>TG3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EEPR_ADR"/>
      <sheetName val="GD_ID"/>
      <sheetName val="CALIB"/>
      <sheetName val="ERROR_CODE"/>
      <sheetName val="DIAG_MSG"/>
    </sheetNames>
    <sheetDataSet>
      <sheetData sheetId="0"/>
      <sheetData sheetId="1"/>
      <sheetData sheetId="2">
        <row r="70">
          <cell r="A70" t="str">
            <v>zu 1)</v>
          </cell>
          <cell r="B70" t="str">
            <v>Betriebsstatus</v>
          </cell>
          <cell r="D70" t="str">
            <v>DB5 - Bit7</v>
          </cell>
          <cell r="E70" t="str">
            <v>DB6 / DB7</v>
          </cell>
          <cell r="F70" t="str">
            <v>Bedeutung</v>
          </cell>
        </row>
        <row r="71">
          <cell r="D71" t="str">
            <v>---</v>
          </cell>
          <cell r="E71" t="str">
            <v>Bit 15</v>
          </cell>
          <cell r="F71" t="str">
            <v>Betätigung über Hecktaster</v>
          </cell>
        </row>
        <row r="72">
          <cell r="D72" t="str">
            <v>---</v>
          </cell>
          <cell r="E72" t="str">
            <v>Bit 14</v>
          </cell>
          <cell r="F72" t="str">
            <v>Starre Ackerschiene</v>
          </cell>
        </row>
        <row r="73">
          <cell r="D73" t="str">
            <v>---</v>
          </cell>
          <cell r="E73" t="str">
            <v>Bit 13</v>
          </cell>
          <cell r="F73" t="str">
            <v>Tastbetrieb/Automatik</v>
          </cell>
        </row>
        <row r="74">
          <cell r="D74" t="str">
            <v>---</v>
          </cell>
          <cell r="E74" t="str">
            <v>Bit 12</v>
          </cell>
          <cell r="F74" t="str">
            <v>Schnelleinzug</v>
          </cell>
        </row>
        <row r="75">
          <cell r="D75" t="str">
            <v>---</v>
          </cell>
          <cell r="E75" t="str">
            <v>Bit 11</v>
          </cell>
          <cell r="F75" t="str">
            <v>---</v>
          </cell>
        </row>
        <row r="76">
          <cell r="D76" t="str">
            <v>---</v>
          </cell>
          <cell r="E76" t="str">
            <v>Bit 10</v>
          </cell>
          <cell r="F76" t="str">
            <v>Entriegelungsstatus</v>
          </cell>
        </row>
        <row r="77">
          <cell r="D77" t="str">
            <v>---</v>
          </cell>
          <cell r="E77" t="str">
            <v>Bit 9/8</v>
          </cell>
          <cell r="F77" t="str">
            <v>Stellung Aushubhebel</v>
          </cell>
        </row>
        <row r="78">
          <cell r="D78" t="str">
            <v>---</v>
          </cell>
          <cell r="E78" t="str">
            <v>Bit 7</v>
          </cell>
          <cell r="F78" t="str">
            <v>Schwingungstilgung</v>
          </cell>
        </row>
        <row r="79">
          <cell r="D79" t="str">
            <v>---</v>
          </cell>
          <cell r="E79" t="str">
            <v>Bit 6/5</v>
          </cell>
          <cell r="F79" t="str">
            <v>Betriebsart</v>
          </cell>
        </row>
        <row r="80">
          <cell r="D80" t="str">
            <v>---</v>
          </cell>
          <cell r="E80" t="str">
            <v>Bit 4/3</v>
          </cell>
          <cell r="F80" t="str">
            <v>Funktionsstatus</v>
          </cell>
        </row>
        <row r="81">
          <cell r="D81" t="str">
            <v>---</v>
          </cell>
          <cell r="E81" t="str">
            <v>Bit 2/1/0</v>
          </cell>
          <cell r="F81" t="str">
            <v>Ventilstatus</v>
          </cell>
        </row>
        <row r="83">
          <cell r="A83" t="str">
            <v>zu 2)</v>
          </cell>
          <cell r="B83" t="str">
            <v>Stellung Aushubhebel</v>
          </cell>
          <cell r="D83" t="str">
            <v>DB5 - Bit7</v>
          </cell>
          <cell r="E83" t="str">
            <v>DB6 / DB7</v>
          </cell>
          <cell r="F83" t="str">
            <v>Bedeutung</v>
          </cell>
        </row>
        <row r="84">
          <cell r="D84" t="str">
            <v>---</v>
          </cell>
          <cell r="E84">
            <v>0</v>
          </cell>
          <cell r="F84" t="str">
            <v>STOP</v>
          </cell>
        </row>
        <row r="85">
          <cell r="D85" t="str">
            <v>---</v>
          </cell>
          <cell r="E85">
            <v>1</v>
          </cell>
          <cell r="F85" t="str">
            <v>Heben (UP)</v>
          </cell>
        </row>
        <row r="86">
          <cell r="D86" t="str">
            <v>---</v>
          </cell>
          <cell r="E86">
            <v>2</v>
          </cell>
          <cell r="F86" t="str">
            <v>Senken (DOWN)</v>
          </cell>
        </row>
        <row r="87">
          <cell r="D87" t="str">
            <v>---</v>
          </cell>
          <cell r="E87">
            <v>3</v>
          </cell>
          <cell r="F87" t="str">
            <v>Schnelleinzug (FASTDOWN)</v>
          </cell>
        </row>
        <row r="89">
          <cell r="A89" t="str">
            <v>zu 3)</v>
          </cell>
          <cell r="B89" t="str">
            <v>Aktivierung der Automatik</v>
          </cell>
          <cell r="D89" t="str">
            <v>DB5 - Bit7</v>
          </cell>
          <cell r="E89" t="str">
            <v>DB6</v>
          </cell>
          <cell r="F89" t="str">
            <v>Stellung des Schalters Tauschfunktion</v>
          </cell>
        </row>
        <row r="90">
          <cell r="D90" t="str">
            <v>---</v>
          </cell>
          <cell r="E90" t="str">
            <v>0x00</v>
          </cell>
          <cell r="F90" t="str">
            <v>Normalstellung</v>
          </cell>
        </row>
        <row r="91">
          <cell r="D91" t="str">
            <v>---</v>
          </cell>
          <cell r="E91" t="str">
            <v>0x01</v>
          </cell>
          <cell r="F91" t="str">
            <v>Tauschfunktion 1</v>
          </cell>
        </row>
        <row r="92">
          <cell r="D92" t="str">
            <v>---</v>
          </cell>
          <cell r="E92" t="str">
            <v>0x02</v>
          </cell>
          <cell r="F92" t="str">
            <v>Tauschfunktion 2</v>
          </cell>
        </row>
        <row r="93">
          <cell r="D93" t="str">
            <v>---</v>
          </cell>
          <cell r="E93" t="str">
            <v>0x03</v>
          </cell>
          <cell r="F93" t="str">
            <v>Tauschfunktion 3</v>
          </cell>
        </row>
        <row r="95">
          <cell r="D95" t="str">
            <v>DB5 - Bit7</v>
          </cell>
          <cell r="E95" t="str">
            <v>DB7</v>
          </cell>
          <cell r="F95" t="str">
            <v>Tasten auf denen die Heckkraftheberautomatik liegt</v>
          </cell>
        </row>
        <row r="96">
          <cell r="D96">
            <v>0</v>
          </cell>
          <cell r="E96" t="str">
            <v>0x00</v>
          </cell>
          <cell r="F96" t="str">
            <v>keine Tasten für Heckkraftheberautomatik</v>
          </cell>
        </row>
        <row r="97">
          <cell r="D97">
            <v>1</v>
          </cell>
          <cell r="E97" t="str">
            <v>0x01</v>
          </cell>
          <cell r="F97" t="str">
            <v>Ventiltasten rechts</v>
          </cell>
        </row>
        <row r="98">
          <cell r="D98">
            <v>1</v>
          </cell>
          <cell r="E98" t="str">
            <v>0x02</v>
          </cell>
          <cell r="F98" t="str">
            <v>Tasten "Kleblatt" senkrecht</v>
          </cell>
        </row>
        <row r="99">
          <cell r="D99">
            <v>1</v>
          </cell>
          <cell r="E99" t="str">
            <v>0x04</v>
          </cell>
          <cell r="F99" t="str">
            <v>Tasten "Kleblatt" waagrecht</v>
          </cell>
        </row>
        <row r="100">
          <cell r="D100">
            <v>1</v>
          </cell>
          <cell r="E100" t="str">
            <v>0x08</v>
          </cell>
          <cell r="F100" t="str">
            <v>Ventiltasten links</v>
          </cell>
        </row>
        <row r="102">
          <cell r="A102" t="str">
            <v>zu 4)</v>
          </cell>
          <cell r="B102" t="str">
            <v>Subzustand</v>
          </cell>
          <cell r="D102" t="str">
            <v>DB5 - Bit7</v>
          </cell>
          <cell r="E102" t="str">
            <v>DB6</v>
          </cell>
          <cell r="F102" t="str">
            <v>Bedeutung</v>
          </cell>
        </row>
        <row r="103">
          <cell r="D103" t="str">
            <v>---</v>
          </cell>
          <cell r="E103" t="str">
            <v>0x00</v>
          </cell>
          <cell r="F103" t="str">
            <v xml:space="preserve">DEAKTIV       </v>
          </cell>
        </row>
        <row r="104">
          <cell r="D104" t="str">
            <v>---</v>
          </cell>
          <cell r="E104" t="str">
            <v>0x01</v>
          </cell>
          <cell r="F104" t="str">
            <v xml:space="preserve">TI_INIT       </v>
          </cell>
        </row>
        <row r="105">
          <cell r="D105" t="str">
            <v>---</v>
          </cell>
          <cell r="E105" t="str">
            <v>0x02</v>
          </cell>
          <cell r="F105" t="str">
            <v>RECORD_STANDBY</v>
          </cell>
        </row>
        <row r="106">
          <cell r="D106" t="str">
            <v>---</v>
          </cell>
          <cell r="E106" t="str">
            <v>0x03</v>
          </cell>
          <cell r="F106" t="str">
            <v xml:space="preserve">RECORD_AKTIV  </v>
          </cell>
        </row>
        <row r="107">
          <cell r="D107" t="str">
            <v>---</v>
          </cell>
          <cell r="E107" t="str">
            <v>0x04</v>
          </cell>
          <cell r="F107" t="str">
            <v xml:space="preserve">PLAY_STANDBY  </v>
          </cell>
        </row>
        <row r="108">
          <cell r="D108" t="str">
            <v>---</v>
          </cell>
          <cell r="E108" t="str">
            <v>0x05</v>
          </cell>
          <cell r="F108" t="str">
            <v xml:space="preserve">PLAY_AKTIV    </v>
          </cell>
        </row>
        <row r="109">
          <cell r="D109" t="str">
            <v>---</v>
          </cell>
          <cell r="E109" t="str">
            <v>0x06</v>
          </cell>
          <cell r="F109" t="str">
            <v xml:space="preserve">CONFIG        </v>
          </cell>
        </row>
        <row r="110">
          <cell r="D110" t="str">
            <v>---</v>
          </cell>
          <cell r="E110" t="str">
            <v>0x07</v>
          </cell>
          <cell r="F110" t="str">
            <v xml:space="preserve">EDIT          </v>
          </cell>
        </row>
        <row r="111">
          <cell r="D111" t="str">
            <v>---</v>
          </cell>
          <cell r="E111" t="str">
            <v>0x08</v>
          </cell>
          <cell r="F111" t="str">
            <v xml:space="preserve">DATAXCHANGE   </v>
          </cell>
        </row>
        <row r="112">
          <cell r="D112" t="str">
            <v>---</v>
          </cell>
          <cell r="E112" t="str">
            <v>0xF0</v>
          </cell>
          <cell r="F112" t="str">
            <v xml:space="preserve">SAFESTATE     </v>
          </cell>
        </row>
        <row r="113">
          <cell r="D113" t="str">
            <v>---</v>
          </cell>
          <cell r="E113" t="str">
            <v>0xFF</v>
          </cell>
          <cell r="F113" t="str">
            <v>NO_SUBSTATEWXL</v>
          </cell>
        </row>
        <row r="115">
          <cell r="D115" t="str">
            <v>---</v>
          </cell>
          <cell r="E115" t="str">
            <v>DB7</v>
          </cell>
          <cell r="F115" t="str">
            <v>Bedeutung</v>
          </cell>
        </row>
        <row r="116">
          <cell r="D116" t="str">
            <v>---</v>
          </cell>
          <cell r="E116" t="str">
            <v>0x??</v>
          </cell>
          <cell r="F116" t="str">
            <v>Teilnehmernummer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Routing-Data RG3"/>
      <sheetName val="GDBridge"/>
      <sheetName val="PICTO"/>
      <sheetName val="NT01"/>
      <sheetName val="CEAG"/>
      <sheetName val="MFA"/>
      <sheetName val="DRIVE"/>
      <sheetName val="TI"/>
      <sheetName val="EFC"/>
      <sheetName val="TELEMETRY"/>
      <sheetName val="ZE"/>
      <sheetName val="INFO"/>
      <sheetName val="WBZ"/>
      <sheetName val="SBL"/>
      <sheetName val="SCT"/>
      <sheetName val="TA"/>
      <sheetName val="RG3"/>
      <sheetName val="EMM"/>
      <sheetName val="ES"/>
      <sheetName val="LCP"/>
      <sheetName val="4WS"/>
      <sheetName val="DPG"/>
      <sheetName val="DASH"/>
      <sheetName val="DIAGNOSE"/>
      <sheetName val="GW"/>
      <sheetName val="template"/>
      <sheetName val="Sheet2"/>
      <sheetName val="GD_Routing_RG3"/>
    </sheetNames>
    <sheetDataSet>
      <sheetData sheetId="0"/>
      <sheetData sheetId="1"/>
      <sheetData sheetId="2"/>
      <sheetData sheetId="3"/>
      <sheetData sheetId="4">
        <row r="6">
          <cell r="B6" t="str">
            <v>DASH</v>
          </cell>
        </row>
        <row r="23">
          <cell r="P23" t="str">
            <v>Select Machine Variant</v>
          </cell>
        </row>
        <row r="29">
          <cell r="P29" t="str">
            <v>Generate Data for:</v>
          </cell>
        </row>
        <row r="30">
          <cell r="P30" t="str">
            <v>RG3</v>
          </cell>
        </row>
        <row r="32">
          <cell r="P32" t="str">
            <v>Generate Source Code</v>
          </cell>
        </row>
        <row r="34">
          <cell r="P34" t="str">
            <v>EXT File Name:</v>
          </cell>
        </row>
        <row r="35">
          <cell r="P35" t="str">
            <v>NT01 XML File Name:</v>
          </cell>
        </row>
        <row r="36">
          <cell r="P36" t="str">
            <v>EDT XML File Name:</v>
          </cell>
        </row>
        <row r="37">
          <cell r="P37" t="str">
            <v>GD DBC File Name:</v>
          </cell>
        </row>
        <row r="38">
          <cell r="P38" t="str">
            <v>Simplified GD DBC File Name:</v>
          </cell>
        </row>
        <row r="53">
          <cell r="P53" t="str">
            <v>Machine Variants</v>
          </cell>
        </row>
        <row r="54">
          <cell r="P54" t="str">
            <v>RG3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9"/>
  <dimension ref="A1:AA423"/>
  <sheetViews>
    <sheetView tabSelected="1" zoomScale="90" zoomScaleNormal="90" workbookViewId="0">
      <pane xSplit="3" ySplit="10" topLeftCell="D84" activePane="bottomRight" state="frozen"/>
      <selection pane="topRight" activeCell="C1" sqref="C1"/>
      <selection pane="bottomLeft" activeCell="A11" sqref="A11"/>
      <selection pane="bottomRight" activeCell="A95" sqref="A95"/>
    </sheetView>
  </sheetViews>
  <sheetFormatPr defaultColWidth="11.44140625" defaultRowHeight="13.2" x14ac:dyDescent="0.25"/>
  <cols>
    <col min="1" max="1" width="8.33203125" style="80" customWidth="1"/>
    <col min="2" max="2" width="8.33203125" style="85" customWidth="1"/>
    <col min="3" max="3" width="38.21875" style="1" bestFit="1" customWidth="1"/>
    <col min="4" max="5" width="9.44140625" style="80" customWidth="1"/>
    <col min="6" max="6" width="4.77734375" style="80" bestFit="1" customWidth="1"/>
    <col min="7" max="7" width="6" style="80" bestFit="1" customWidth="1"/>
    <col min="8" max="8" width="6.33203125" style="80" bestFit="1" customWidth="1"/>
    <col min="9" max="9" width="7.33203125" style="59" bestFit="1" customWidth="1"/>
    <col min="10" max="10" width="6.21875" style="1" bestFit="1" customWidth="1"/>
    <col min="11" max="11" width="9.88671875" style="1" bestFit="1" customWidth="1"/>
    <col min="12" max="12" width="46.88671875" style="1" bestFit="1" customWidth="1"/>
    <col min="13" max="13" width="12" style="1" customWidth="1"/>
    <col min="14" max="16" width="11.44140625" style="1" customWidth="1"/>
    <col min="17" max="21" width="16.109375" style="1" customWidth="1"/>
    <col min="22" max="22" width="34.5546875" style="12" bestFit="1" customWidth="1"/>
    <col min="23" max="23" width="11.6640625" style="13" customWidth="1"/>
    <col min="24" max="24" width="5.77734375" style="14" bestFit="1" customWidth="1"/>
    <col min="25" max="25" width="30.5546875" style="1" bestFit="1" customWidth="1"/>
    <col min="26" max="26" width="11" style="1" bestFit="1" customWidth="1"/>
    <col min="27" max="27" width="8.77734375" style="1" bestFit="1" customWidth="1"/>
    <col min="28" max="256" width="11.44140625" style="1"/>
    <col min="257" max="258" width="8.33203125" style="1" customWidth="1"/>
    <col min="259" max="259" width="33.5546875" style="1" customWidth="1"/>
    <col min="260" max="266" width="9.44140625" style="1" customWidth="1"/>
    <col min="267" max="267" width="9.88671875" style="1" bestFit="1" customWidth="1"/>
    <col min="268" max="268" width="22.33203125" style="1" customWidth="1"/>
    <col min="269" max="269" width="12" style="1" customWidth="1"/>
    <col min="270" max="272" width="11.44140625" style="1" customWidth="1"/>
    <col min="273" max="277" width="16.109375" style="1" customWidth="1"/>
    <col min="278" max="278" width="19.5546875" style="1" customWidth="1"/>
    <col min="279" max="279" width="20.5546875" style="1" customWidth="1"/>
    <col min="280" max="280" width="11.44140625" style="1" customWidth="1"/>
    <col min="281" max="281" width="18.44140625" style="1" customWidth="1"/>
    <col min="282" max="282" width="14.44140625" style="1" customWidth="1"/>
    <col min="283" max="283" width="23.109375" style="1" customWidth="1"/>
    <col min="284" max="512" width="11.44140625" style="1"/>
    <col min="513" max="514" width="8.33203125" style="1" customWidth="1"/>
    <col min="515" max="515" width="33.5546875" style="1" customWidth="1"/>
    <col min="516" max="522" width="9.44140625" style="1" customWidth="1"/>
    <col min="523" max="523" width="9.88671875" style="1" bestFit="1" customWidth="1"/>
    <col min="524" max="524" width="22.33203125" style="1" customWidth="1"/>
    <col min="525" max="525" width="12" style="1" customWidth="1"/>
    <col min="526" max="528" width="11.44140625" style="1" customWidth="1"/>
    <col min="529" max="533" width="16.109375" style="1" customWidth="1"/>
    <col min="534" max="534" width="19.5546875" style="1" customWidth="1"/>
    <col min="535" max="535" width="20.5546875" style="1" customWidth="1"/>
    <col min="536" max="536" width="11.44140625" style="1" customWidth="1"/>
    <col min="537" max="537" width="18.44140625" style="1" customWidth="1"/>
    <col min="538" max="538" width="14.44140625" style="1" customWidth="1"/>
    <col min="539" max="539" width="23.109375" style="1" customWidth="1"/>
    <col min="540" max="768" width="11.44140625" style="1"/>
    <col min="769" max="770" width="8.33203125" style="1" customWidth="1"/>
    <col min="771" max="771" width="33.5546875" style="1" customWidth="1"/>
    <col min="772" max="778" width="9.44140625" style="1" customWidth="1"/>
    <col min="779" max="779" width="9.88671875" style="1" bestFit="1" customWidth="1"/>
    <col min="780" max="780" width="22.33203125" style="1" customWidth="1"/>
    <col min="781" max="781" width="12" style="1" customWidth="1"/>
    <col min="782" max="784" width="11.44140625" style="1" customWidth="1"/>
    <col min="785" max="789" width="16.109375" style="1" customWidth="1"/>
    <col min="790" max="790" width="19.5546875" style="1" customWidth="1"/>
    <col min="791" max="791" width="20.5546875" style="1" customWidth="1"/>
    <col min="792" max="792" width="11.44140625" style="1" customWidth="1"/>
    <col min="793" max="793" width="18.44140625" style="1" customWidth="1"/>
    <col min="794" max="794" width="14.44140625" style="1" customWidth="1"/>
    <col min="795" max="795" width="23.109375" style="1" customWidth="1"/>
    <col min="796" max="1024" width="11.44140625" style="1"/>
    <col min="1025" max="1026" width="8.33203125" style="1" customWidth="1"/>
    <col min="1027" max="1027" width="33.5546875" style="1" customWidth="1"/>
    <col min="1028" max="1034" width="9.44140625" style="1" customWidth="1"/>
    <col min="1035" max="1035" width="9.88671875" style="1" bestFit="1" customWidth="1"/>
    <col min="1036" max="1036" width="22.33203125" style="1" customWidth="1"/>
    <col min="1037" max="1037" width="12" style="1" customWidth="1"/>
    <col min="1038" max="1040" width="11.44140625" style="1" customWidth="1"/>
    <col min="1041" max="1045" width="16.109375" style="1" customWidth="1"/>
    <col min="1046" max="1046" width="19.5546875" style="1" customWidth="1"/>
    <col min="1047" max="1047" width="20.5546875" style="1" customWidth="1"/>
    <col min="1048" max="1048" width="11.44140625" style="1" customWidth="1"/>
    <col min="1049" max="1049" width="18.44140625" style="1" customWidth="1"/>
    <col min="1050" max="1050" width="14.44140625" style="1" customWidth="1"/>
    <col min="1051" max="1051" width="23.109375" style="1" customWidth="1"/>
    <col min="1052" max="1280" width="11.44140625" style="1"/>
    <col min="1281" max="1282" width="8.33203125" style="1" customWidth="1"/>
    <col min="1283" max="1283" width="33.5546875" style="1" customWidth="1"/>
    <col min="1284" max="1290" width="9.44140625" style="1" customWidth="1"/>
    <col min="1291" max="1291" width="9.88671875" style="1" bestFit="1" customWidth="1"/>
    <col min="1292" max="1292" width="22.33203125" style="1" customWidth="1"/>
    <col min="1293" max="1293" width="12" style="1" customWidth="1"/>
    <col min="1294" max="1296" width="11.44140625" style="1" customWidth="1"/>
    <col min="1297" max="1301" width="16.109375" style="1" customWidth="1"/>
    <col min="1302" max="1302" width="19.5546875" style="1" customWidth="1"/>
    <col min="1303" max="1303" width="20.5546875" style="1" customWidth="1"/>
    <col min="1304" max="1304" width="11.44140625" style="1" customWidth="1"/>
    <col min="1305" max="1305" width="18.44140625" style="1" customWidth="1"/>
    <col min="1306" max="1306" width="14.44140625" style="1" customWidth="1"/>
    <col min="1307" max="1307" width="23.109375" style="1" customWidth="1"/>
    <col min="1308" max="1536" width="11.44140625" style="1"/>
    <col min="1537" max="1538" width="8.33203125" style="1" customWidth="1"/>
    <col min="1539" max="1539" width="33.5546875" style="1" customWidth="1"/>
    <col min="1540" max="1546" width="9.44140625" style="1" customWidth="1"/>
    <col min="1547" max="1547" width="9.88671875" style="1" bestFit="1" customWidth="1"/>
    <col min="1548" max="1548" width="22.33203125" style="1" customWidth="1"/>
    <col min="1549" max="1549" width="12" style="1" customWidth="1"/>
    <col min="1550" max="1552" width="11.44140625" style="1" customWidth="1"/>
    <col min="1553" max="1557" width="16.109375" style="1" customWidth="1"/>
    <col min="1558" max="1558" width="19.5546875" style="1" customWidth="1"/>
    <col min="1559" max="1559" width="20.5546875" style="1" customWidth="1"/>
    <col min="1560" max="1560" width="11.44140625" style="1" customWidth="1"/>
    <col min="1561" max="1561" width="18.44140625" style="1" customWidth="1"/>
    <col min="1562" max="1562" width="14.44140625" style="1" customWidth="1"/>
    <col min="1563" max="1563" width="23.109375" style="1" customWidth="1"/>
    <col min="1564" max="1792" width="11.44140625" style="1"/>
    <col min="1793" max="1794" width="8.33203125" style="1" customWidth="1"/>
    <col min="1795" max="1795" width="33.5546875" style="1" customWidth="1"/>
    <col min="1796" max="1802" width="9.44140625" style="1" customWidth="1"/>
    <col min="1803" max="1803" width="9.88671875" style="1" bestFit="1" customWidth="1"/>
    <col min="1804" max="1804" width="22.33203125" style="1" customWidth="1"/>
    <col min="1805" max="1805" width="12" style="1" customWidth="1"/>
    <col min="1806" max="1808" width="11.44140625" style="1" customWidth="1"/>
    <col min="1809" max="1813" width="16.109375" style="1" customWidth="1"/>
    <col min="1814" max="1814" width="19.5546875" style="1" customWidth="1"/>
    <col min="1815" max="1815" width="20.5546875" style="1" customWidth="1"/>
    <col min="1816" max="1816" width="11.44140625" style="1" customWidth="1"/>
    <col min="1817" max="1817" width="18.44140625" style="1" customWidth="1"/>
    <col min="1818" max="1818" width="14.44140625" style="1" customWidth="1"/>
    <col min="1819" max="1819" width="23.109375" style="1" customWidth="1"/>
    <col min="1820" max="2048" width="11.44140625" style="1"/>
    <col min="2049" max="2050" width="8.33203125" style="1" customWidth="1"/>
    <col min="2051" max="2051" width="33.5546875" style="1" customWidth="1"/>
    <col min="2052" max="2058" width="9.44140625" style="1" customWidth="1"/>
    <col min="2059" max="2059" width="9.88671875" style="1" bestFit="1" customWidth="1"/>
    <col min="2060" max="2060" width="22.33203125" style="1" customWidth="1"/>
    <col min="2061" max="2061" width="12" style="1" customWidth="1"/>
    <col min="2062" max="2064" width="11.44140625" style="1" customWidth="1"/>
    <col min="2065" max="2069" width="16.109375" style="1" customWidth="1"/>
    <col min="2070" max="2070" width="19.5546875" style="1" customWidth="1"/>
    <col min="2071" max="2071" width="20.5546875" style="1" customWidth="1"/>
    <col min="2072" max="2072" width="11.44140625" style="1" customWidth="1"/>
    <col min="2073" max="2073" width="18.44140625" style="1" customWidth="1"/>
    <col min="2074" max="2074" width="14.44140625" style="1" customWidth="1"/>
    <col min="2075" max="2075" width="23.109375" style="1" customWidth="1"/>
    <col min="2076" max="2304" width="11.44140625" style="1"/>
    <col min="2305" max="2306" width="8.33203125" style="1" customWidth="1"/>
    <col min="2307" max="2307" width="33.5546875" style="1" customWidth="1"/>
    <col min="2308" max="2314" width="9.44140625" style="1" customWidth="1"/>
    <col min="2315" max="2315" width="9.88671875" style="1" bestFit="1" customWidth="1"/>
    <col min="2316" max="2316" width="22.33203125" style="1" customWidth="1"/>
    <col min="2317" max="2317" width="12" style="1" customWidth="1"/>
    <col min="2318" max="2320" width="11.44140625" style="1" customWidth="1"/>
    <col min="2321" max="2325" width="16.109375" style="1" customWidth="1"/>
    <col min="2326" max="2326" width="19.5546875" style="1" customWidth="1"/>
    <col min="2327" max="2327" width="20.5546875" style="1" customWidth="1"/>
    <col min="2328" max="2328" width="11.44140625" style="1" customWidth="1"/>
    <col min="2329" max="2329" width="18.44140625" style="1" customWidth="1"/>
    <col min="2330" max="2330" width="14.44140625" style="1" customWidth="1"/>
    <col min="2331" max="2331" width="23.109375" style="1" customWidth="1"/>
    <col min="2332" max="2560" width="11.44140625" style="1"/>
    <col min="2561" max="2562" width="8.33203125" style="1" customWidth="1"/>
    <col min="2563" max="2563" width="33.5546875" style="1" customWidth="1"/>
    <col min="2564" max="2570" width="9.44140625" style="1" customWidth="1"/>
    <col min="2571" max="2571" width="9.88671875" style="1" bestFit="1" customWidth="1"/>
    <col min="2572" max="2572" width="22.33203125" style="1" customWidth="1"/>
    <col min="2573" max="2573" width="12" style="1" customWidth="1"/>
    <col min="2574" max="2576" width="11.44140625" style="1" customWidth="1"/>
    <col min="2577" max="2581" width="16.109375" style="1" customWidth="1"/>
    <col min="2582" max="2582" width="19.5546875" style="1" customWidth="1"/>
    <col min="2583" max="2583" width="20.5546875" style="1" customWidth="1"/>
    <col min="2584" max="2584" width="11.44140625" style="1" customWidth="1"/>
    <col min="2585" max="2585" width="18.44140625" style="1" customWidth="1"/>
    <col min="2586" max="2586" width="14.44140625" style="1" customWidth="1"/>
    <col min="2587" max="2587" width="23.109375" style="1" customWidth="1"/>
    <col min="2588" max="2816" width="11.44140625" style="1"/>
    <col min="2817" max="2818" width="8.33203125" style="1" customWidth="1"/>
    <col min="2819" max="2819" width="33.5546875" style="1" customWidth="1"/>
    <col min="2820" max="2826" width="9.44140625" style="1" customWidth="1"/>
    <col min="2827" max="2827" width="9.88671875" style="1" bestFit="1" customWidth="1"/>
    <col min="2828" max="2828" width="22.33203125" style="1" customWidth="1"/>
    <col min="2829" max="2829" width="12" style="1" customWidth="1"/>
    <col min="2830" max="2832" width="11.44140625" style="1" customWidth="1"/>
    <col min="2833" max="2837" width="16.109375" style="1" customWidth="1"/>
    <col min="2838" max="2838" width="19.5546875" style="1" customWidth="1"/>
    <col min="2839" max="2839" width="20.5546875" style="1" customWidth="1"/>
    <col min="2840" max="2840" width="11.44140625" style="1" customWidth="1"/>
    <col min="2841" max="2841" width="18.44140625" style="1" customWidth="1"/>
    <col min="2842" max="2842" width="14.44140625" style="1" customWidth="1"/>
    <col min="2843" max="2843" width="23.109375" style="1" customWidth="1"/>
    <col min="2844" max="3072" width="11.44140625" style="1"/>
    <col min="3073" max="3074" width="8.33203125" style="1" customWidth="1"/>
    <col min="3075" max="3075" width="33.5546875" style="1" customWidth="1"/>
    <col min="3076" max="3082" width="9.44140625" style="1" customWidth="1"/>
    <col min="3083" max="3083" width="9.88671875" style="1" bestFit="1" customWidth="1"/>
    <col min="3084" max="3084" width="22.33203125" style="1" customWidth="1"/>
    <col min="3085" max="3085" width="12" style="1" customWidth="1"/>
    <col min="3086" max="3088" width="11.44140625" style="1" customWidth="1"/>
    <col min="3089" max="3093" width="16.109375" style="1" customWidth="1"/>
    <col min="3094" max="3094" width="19.5546875" style="1" customWidth="1"/>
    <col min="3095" max="3095" width="20.5546875" style="1" customWidth="1"/>
    <col min="3096" max="3096" width="11.44140625" style="1" customWidth="1"/>
    <col min="3097" max="3097" width="18.44140625" style="1" customWidth="1"/>
    <col min="3098" max="3098" width="14.44140625" style="1" customWidth="1"/>
    <col min="3099" max="3099" width="23.109375" style="1" customWidth="1"/>
    <col min="3100" max="3328" width="11.44140625" style="1"/>
    <col min="3329" max="3330" width="8.33203125" style="1" customWidth="1"/>
    <col min="3331" max="3331" width="33.5546875" style="1" customWidth="1"/>
    <col min="3332" max="3338" width="9.44140625" style="1" customWidth="1"/>
    <col min="3339" max="3339" width="9.88671875" style="1" bestFit="1" customWidth="1"/>
    <col min="3340" max="3340" width="22.33203125" style="1" customWidth="1"/>
    <col min="3341" max="3341" width="12" style="1" customWidth="1"/>
    <col min="3342" max="3344" width="11.44140625" style="1" customWidth="1"/>
    <col min="3345" max="3349" width="16.109375" style="1" customWidth="1"/>
    <col min="3350" max="3350" width="19.5546875" style="1" customWidth="1"/>
    <col min="3351" max="3351" width="20.5546875" style="1" customWidth="1"/>
    <col min="3352" max="3352" width="11.44140625" style="1" customWidth="1"/>
    <col min="3353" max="3353" width="18.44140625" style="1" customWidth="1"/>
    <col min="3354" max="3354" width="14.44140625" style="1" customWidth="1"/>
    <col min="3355" max="3355" width="23.109375" style="1" customWidth="1"/>
    <col min="3356" max="3584" width="11.44140625" style="1"/>
    <col min="3585" max="3586" width="8.33203125" style="1" customWidth="1"/>
    <col min="3587" max="3587" width="33.5546875" style="1" customWidth="1"/>
    <col min="3588" max="3594" width="9.44140625" style="1" customWidth="1"/>
    <col min="3595" max="3595" width="9.88671875" style="1" bestFit="1" customWidth="1"/>
    <col min="3596" max="3596" width="22.33203125" style="1" customWidth="1"/>
    <col min="3597" max="3597" width="12" style="1" customWidth="1"/>
    <col min="3598" max="3600" width="11.44140625" style="1" customWidth="1"/>
    <col min="3601" max="3605" width="16.109375" style="1" customWidth="1"/>
    <col min="3606" max="3606" width="19.5546875" style="1" customWidth="1"/>
    <col min="3607" max="3607" width="20.5546875" style="1" customWidth="1"/>
    <col min="3608" max="3608" width="11.44140625" style="1" customWidth="1"/>
    <col min="3609" max="3609" width="18.44140625" style="1" customWidth="1"/>
    <col min="3610" max="3610" width="14.44140625" style="1" customWidth="1"/>
    <col min="3611" max="3611" width="23.109375" style="1" customWidth="1"/>
    <col min="3612" max="3840" width="11.44140625" style="1"/>
    <col min="3841" max="3842" width="8.33203125" style="1" customWidth="1"/>
    <col min="3843" max="3843" width="33.5546875" style="1" customWidth="1"/>
    <col min="3844" max="3850" width="9.44140625" style="1" customWidth="1"/>
    <col min="3851" max="3851" width="9.88671875" style="1" bestFit="1" customWidth="1"/>
    <col min="3852" max="3852" width="22.33203125" style="1" customWidth="1"/>
    <col min="3853" max="3853" width="12" style="1" customWidth="1"/>
    <col min="3854" max="3856" width="11.44140625" style="1" customWidth="1"/>
    <col min="3857" max="3861" width="16.109375" style="1" customWidth="1"/>
    <col min="3862" max="3862" width="19.5546875" style="1" customWidth="1"/>
    <col min="3863" max="3863" width="20.5546875" style="1" customWidth="1"/>
    <col min="3864" max="3864" width="11.44140625" style="1" customWidth="1"/>
    <col min="3865" max="3865" width="18.44140625" style="1" customWidth="1"/>
    <col min="3866" max="3866" width="14.44140625" style="1" customWidth="1"/>
    <col min="3867" max="3867" width="23.109375" style="1" customWidth="1"/>
    <col min="3868" max="4096" width="11.44140625" style="1"/>
    <col min="4097" max="4098" width="8.33203125" style="1" customWidth="1"/>
    <col min="4099" max="4099" width="33.5546875" style="1" customWidth="1"/>
    <col min="4100" max="4106" width="9.44140625" style="1" customWidth="1"/>
    <col min="4107" max="4107" width="9.88671875" style="1" bestFit="1" customWidth="1"/>
    <col min="4108" max="4108" width="22.33203125" style="1" customWidth="1"/>
    <col min="4109" max="4109" width="12" style="1" customWidth="1"/>
    <col min="4110" max="4112" width="11.44140625" style="1" customWidth="1"/>
    <col min="4113" max="4117" width="16.109375" style="1" customWidth="1"/>
    <col min="4118" max="4118" width="19.5546875" style="1" customWidth="1"/>
    <col min="4119" max="4119" width="20.5546875" style="1" customWidth="1"/>
    <col min="4120" max="4120" width="11.44140625" style="1" customWidth="1"/>
    <col min="4121" max="4121" width="18.44140625" style="1" customWidth="1"/>
    <col min="4122" max="4122" width="14.44140625" style="1" customWidth="1"/>
    <col min="4123" max="4123" width="23.109375" style="1" customWidth="1"/>
    <col min="4124" max="4352" width="11.44140625" style="1"/>
    <col min="4353" max="4354" width="8.33203125" style="1" customWidth="1"/>
    <col min="4355" max="4355" width="33.5546875" style="1" customWidth="1"/>
    <col min="4356" max="4362" width="9.44140625" style="1" customWidth="1"/>
    <col min="4363" max="4363" width="9.88671875" style="1" bestFit="1" customWidth="1"/>
    <col min="4364" max="4364" width="22.33203125" style="1" customWidth="1"/>
    <col min="4365" max="4365" width="12" style="1" customWidth="1"/>
    <col min="4366" max="4368" width="11.44140625" style="1" customWidth="1"/>
    <col min="4369" max="4373" width="16.109375" style="1" customWidth="1"/>
    <col min="4374" max="4374" width="19.5546875" style="1" customWidth="1"/>
    <col min="4375" max="4375" width="20.5546875" style="1" customWidth="1"/>
    <col min="4376" max="4376" width="11.44140625" style="1" customWidth="1"/>
    <col min="4377" max="4377" width="18.44140625" style="1" customWidth="1"/>
    <col min="4378" max="4378" width="14.44140625" style="1" customWidth="1"/>
    <col min="4379" max="4379" width="23.109375" style="1" customWidth="1"/>
    <col min="4380" max="4608" width="11.44140625" style="1"/>
    <col min="4609" max="4610" width="8.33203125" style="1" customWidth="1"/>
    <col min="4611" max="4611" width="33.5546875" style="1" customWidth="1"/>
    <col min="4612" max="4618" width="9.44140625" style="1" customWidth="1"/>
    <col min="4619" max="4619" width="9.88671875" style="1" bestFit="1" customWidth="1"/>
    <col min="4620" max="4620" width="22.33203125" style="1" customWidth="1"/>
    <col min="4621" max="4621" width="12" style="1" customWidth="1"/>
    <col min="4622" max="4624" width="11.44140625" style="1" customWidth="1"/>
    <col min="4625" max="4629" width="16.109375" style="1" customWidth="1"/>
    <col min="4630" max="4630" width="19.5546875" style="1" customWidth="1"/>
    <col min="4631" max="4631" width="20.5546875" style="1" customWidth="1"/>
    <col min="4632" max="4632" width="11.44140625" style="1" customWidth="1"/>
    <col min="4633" max="4633" width="18.44140625" style="1" customWidth="1"/>
    <col min="4634" max="4634" width="14.44140625" style="1" customWidth="1"/>
    <col min="4635" max="4635" width="23.109375" style="1" customWidth="1"/>
    <col min="4636" max="4864" width="11.44140625" style="1"/>
    <col min="4865" max="4866" width="8.33203125" style="1" customWidth="1"/>
    <col min="4867" max="4867" width="33.5546875" style="1" customWidth="1"/>
    <col min="4868" max="4874" width="9.44140625" style="1" customWidth="1"/>
    <col min="4875" max="4875" width="9.88671875" style="1" bestFit="1" customWidth="1"/>
    <col min="4876" max="4876" width="22.33203125" style="1" customWidth="1"/>
    <col min="4877" max="4877" width="12" style="1" customWidth="1"/>
    <col min="4878" max="4880" width="11.44140625" style="1" customWidth="1"/>
    <col min="4881" max="4885" width="16.109375" style="1" customWidth="1"/>
    <col min="4886" max="4886" width="19.5546875" style="1" customWidth="1"/>
    <col min="4887" max="4887" width="20.5546875" style="1" customWidth="1"/>
    <col min="4888" max="4888" width="11.44140625" style="1" customWidth="1"/>
    <col min="4889" max="4889" width="18.44140625" style="1" customWidth="1"/>
    <col min="4890" max="4890" width="14.44140625" style="1" customWidth="1"/>
    <col min="4891" max="4891" width="23.109375" style="1" customWidth="1"/>
    <col min="4892" max="5120" width="11.44140625" style="1"/>
    <col min="5121" max="5122" width="8.33203125" style="1" customWidth="1"/>
    <col min="5123" max="5123" width="33.5546875" style="1" customWidth="1"/>
    <col min="5124" max="5130" width="9.44140625" style="1" customWidth="1"/>
    <col min="5131" max="5131" width="9.88671875" style="1" bestFit="1" customWidth="1"/>
    <col min="5132" max="5132" width="22.33203125" style="1" customWidth="1"/>
    <col min="5133" max="5133" width="12" style="1" customWidth="1"/>
    <col min="5134" max="5136" width="11.44140625" style="1" customWidth="1"/>
    <col min="5137" max="5141" width="16.109375" style="1" customWidth="1"/>
    <col min="5142" max="5142" width="19.5546875" style="1" customWidth="1"/>
    <col min="5143" max="5143" width="20.5546875" style="1" customWidth="1"/>
    <col min="5144" max="5144" width="11.44140625" style="1" customWidth="1"/>
    <col min="5145" max="5145" width="18.44140625" style="1" customWidth="1"/>
    <col min="5146" max="5146" width="14.44140625" style="1" customWidth="1"/>
    <col min="5147" max="5147" width="23.109375" style="1" customWidth="1"/>
    <col min="5148" max="5376" width="11.44140625" style="1"/>
    <col min="5377" max="5378" width="8.33203125" style="1" customWidth="1"/>
    <col min="5379" max="5379" width="33.5546875" style="1" customWidth="1"/>
    <col min="5380" max="5386" width="9.44140625" style="1" customWidth="1"/>
    <col min="5387" max="5387" width="9.88671875" style="1" bestFit="1" customWidth="1"/>
    <col min="5388" max="5388" width="22.33203125" style="1" customWidth="1"/>
    <col min="5389" max="5389" width="12" style="1" customWidth="1"/>
    <col min="5390" max="5392" width="11.44140625" style="1" customWidth="1"/>
    <col min="5393" max="5397" width="16.109375" style="1" customWidth="1"/>
    <col min="5398" max="5398" width="19.5546875" style="1" customWidth="1"/>
    <col min="5399" max="5399" width="20.5546875" style="1" customWidth="1"/>
    <col min="5400" max="5400" width="11.44140625" style="1" customWidth="1"/>
    <col min="5401" max="5401" width="18.44140625" style="1" customWidth="1"/>
    <col min="5402" max="5402" width="14.44140625" style="1" customWidth="1"/>
    <col min="5403" max="5403" width="23.109375" style="1" customWidth="1"/>
    <col min="5404" max="5632" width="11.44140625" style="1"/>
    <col min="5633" max="5634" width="8.33203125" style="1" customWidth="1"/>
    <col min="5635" max="5635" width="33.5546875" style="1" customWidth="1"/>
    <col min="5636" max="5642" width="9.44140625" style="1" customWidth="1"/>
    <col min="5643" max="5643" width="9.88671875" style="1" bestFit="1" customWidth="1"/>
    <col min="5644" max="5644" width="22.33203125" style="1" customWidth="1"/>
    <col min="5645" max="5645" width="12" style="1" customWidth="1"/>
    <col min="5646" max="5648" width="11.44140625" style="1" customWidth="1"/>
    <col min="5649" max="5653" width="16.109375" style="1" customWidth="1"/>
    <col min="5654" max="5654" width="19.5546875" style="1" customWidth="1"/>
    <col min="5655" max="5655" width="20.5546875" style="1" customWidth="1"/>
    <col min="5656" max="5656" width="11.44140625" style="1" customWidth="1"/>
    <col min="5657" max="5657" width="18.44140625" style="1" customWidth="1"/>
    <col min="5658" max="5658" width="14.44140625" style="1" customWidth="1"/>
    <col min="5659" max="5659" width="23.109375" style="1" customWidth="1"/>
    <col min="5660" max="5888" width="11.44140625" style="1"/>
    <col min="5889" max="5890" width="8.33203125" style="1" customWidth="1"/>
    <col min="5891" max="5891" width="33.5546875" style="1" customWidth="1"/>
    <col min="5892" max="5898" width="9.44140625" style="1" customWidth="1"/>
    <col min="5899" max="5899" width="9.88671875" style="1" bestFit="1" customWidth="1"/>
    <col min="5900" max="5900" width="22.33203125" style="1" customWidth="1"/>
    <col min="5901" max="5901" width="12" style="1" customWidth="1"/>
    <col min="5902" max="5904" width="11.44140625" style="1" customWidth="1"/>
    <col min="5905" max="5909" width="16.109375" style="1" customWidth="1"/>
    <col min="5910" max="5910" width="19.5546875" style="1" customWidth="1"/>
    <col min="5911" max="5911" width="20.5546875" style="1" customWidth="1"/>
    <col min="5912" max="5912" width="11.44140625" style="1" customWidth="1"/>
    <col min="5913" max="5913" width="18.44140625" style="1" customWidth="1"/>
    <col min="5914" max="5914" width="14.44140625" style="1" customWidth="1"/>
    <col min="5915" max="5915" width="23.109375" style="1" customWidth="1"/>
    <col min="5916" max="6144" width="11.44140625" style="1"/>
    <col min="6145" max="6146" width="8.33203125" style="1" customWidth="1"/>
    <col min="6147" max="6147" width="33.5546875" style="1" customWidth="1"/>
    <col min="6148" max="6154" width="9.44140625" style="1" customWidth="1"/>
    <col min="6155" max="6155" width="9.88671875" style="1" bestFit="1" customWidth="1"/>
    <col min="6156" max="6156" width="22.33203125" style="1" customWidth="1"/>
    <col min="6157" max="6157" width="12" style="1" customWidth="1"/>
    <col min="6158" max="6160" width="11.44140625" style="1" customWidth="1"/>
    <col min="6161" max="6165" width="16.109375" style="1" customWidth="1"/>
    <col min="6166" max="6166" width="19.5546875" style="1" customWidth="1"/>
    <col min="6167" max="6167" width="20.5546875" style="1" customWidth="1"/>
    <col min="6168" max="6168" width="11.44140625" style="1" customWidth="1"/>
    <col min="6169" max="6169" width="18.44140625" style="1" customWidth="1"/>
    <col min="6170" max="6170" width="14.44140625" style="1" customWidth="1"/>
    <col min="6171" max="6171" width="23.109375" style="1" customWidth="1"/>
    <col min="6172" max="6400" width="11.44140625" style="1"/>
    <col min="6401" max="6402" width="8.33203125" style="1" customWidth="1"/>
    <col min="6403" max="6403" width="33.5546875" style="1" customWidth="1"/>
    <col min="6404" max="6410" width="9.44140625" style="1" customWidth="1"/>
    <col min="6411" max="6411" width="9.88671875" style="1" bestFit="1" customWidth="1"/>
    <col min="6412" max="6412" width="22.33203125" style="1" customWidth="1"/>
    <col min="6413" max="6413" width="12" style="1" customWidth="1"/>
    <col min="6414" max="6416" width="11.44140625" style="1" customWidth="1"/>
    <col min="6417" max="6421" width="16.109375" style="1" customWidth="1"/>
    <col min="6422" max="6422" width="19.5546875" style="1" customWidth="1"/>
    <col min="6423" max="6423" width="20.5546875" style="1" customWidth="1"/>
    <col min="6424" max="6424" width="11.44140625" style="1" customWidth="1"/>
    <col min="6425" max="6425" width="18.44140625" style="1" customWidth="1"/>
    <col min="6426" max="6426" width="14.44140625" style="1" customWidth="1"/>
    <col min="6427" max="6427" width="23.109375" style="1" customWidth="1"/>
    <col min="6428" max="6656" width="11.44140625" style="1"/>
    <col min="6657" max="6658" width="8.33203125" style="1" customWidth="1"/>
    <col min="6659" max="6659" width="33.5546875" style="1" customWidth="1"/>
    <col min="6660" max="6666" width="9.44140625" style="1" customWidth="1"/>
    <col min="6667" max="6667" width="9.88671875" style="1" bestFit="1" customWidth="1"/>
    <col min="6668" max="6668" width="22.33203125" style="1" customWidth="1"/>
    <col min="6669" max="6669" width="12" style="1" customWidth="1"/>
    <col min="6670" max="6672" width="11.44140625" style="1" customWidth="1"/>
    <col min="6673" max="6677" width="16.109375" style="1" customWidth="1"/>
    <col min="6678" max="6678" width="19.5546875" style="1" customWidth="1"/>
    <col min="6679" max="6679" width="20.5546875" style="1" customWidth="1"/>
    <col min="6680" max="6680" width="11.44140625" style="1" customWidth="1"/>
    <col min="6681" max="6681" width="18.44140625" style="1" customWidth="1"/>
    <col min="6682" max="6682" width="14.44140625" style="1" customWidth="1"/>
    <col min="6683" max="6683" width="23.109375" style="1" customWidth="1"/>
    <col min="6684" max="6912" width="11.44140625" style="1"/>
    <col min="6913" max="6914" width="8.33203125" style="1" customWidth="1"/>
    <col min="6915" max="6915" width="33.5546875" style="1" customWidth="1"/>
    <col min="6916" max="6922" width="9.44140625" style="1" customWidth="1"/>
    <col min="6923" max="6923" width="9.88671875" style="1" bestFit="1" customWidth="1"/>
    <col min="6924" max="6924" width="22.33203125" style="1" customWidth="1"/>
    <col min="6925" max="6925" width="12" style="1" customWidth="1"/>
    <col min="6926" max="6928" width="11.44140625" style="1" customWidth="1"/>
    <col min="6929" max="6933" width="16.109375" style="1" customWidth="1"/>
    <col min="6934" max="6934" width="19.5546875" style="1" customWidth="1"/>
    <col min="6935" max="6935" width="20.5546875" style="1" customWidth="1"/>
    <col min="6936" max="6936" width="11.44140625" style="1" customWidth="1"/>
    <col min="6937" max="6937" width="18.44140625" style="1" customWidth="1"/>
    <col min="6938" max="6938" width="14.44140625" style="1" customWidth="1"/>
    <col min="6939" max="6939" width="23.109375" style="1" customWidth="1"/>
    <col min="6940" max="7168" width="11.44140625" style="1"/>
    <col min="7169" max="7170" width="8.33203125" style="1" customWidth="1"/>
    <col min="7171" max="7171" width="33.5546875" style="1" customWidth="1"/>
    <col min="7172" max="7178" width="9.44140625" style="1" customWidth="1"/>
    <col min="7179" max="7179" width="9.88671875" style="1" bestFit="1" customWidth="1"/>
    <col min="7180" max="7180" width="22.33203125" style="1" customWidth="1"/>
    <col min="7181" max="7181" width="12" style="1" customWidth="1"/>
    <col min="7182" max="7184" width="11.44140625" style="1" customWidth="1"/>
    <col min="7185" max="7189" width="16.109375" style="1" customWidth="1"/>
    <col min="7190" max="7190" width="19.5546875" style="1" customWidth="1"/>
    <col min="7191" max="7191" width="20.5546875" style="1" customWidth="1"/>
    <col min="7192" max="7192" width="11.44140625" style="1" customWidth="1"/>
    <col min="7193" max="7193" width="18.44140625" style="1" customWidth="1"/>
    <col min="7194" max="7194" width="14.44140625" style="1" customWidth="1"/>
    <col min="7195" max="7195" width="23.109375" style="1" customWidth="1"/>
    <col min="7196" max="7424" width="11.44140625" style="1"/>
    <col min="7425" max="7426" width="8.33203125" style="1" customWidth="1"/>
    <col min="7427" max="7427" width="33.5546875" style="1" customWidth="1"/>
    <col min="7428" max="7434" width="9.44140625" style="1" customWidth="1"/>
    <col min="7435" max="7435" width="9.88671875" style="1" bestFit="1" customWidth="1"/>
    <col min="7436" max="7436" width="22.33203125" style="1" customWidth="1"/>
    <col min="7437" max="7437" width="12" style="1" customWidth="1"/>
    <col min="7438" max="7440" width="11.44140625" style="1" customWidth="1"/>
    <col min="7441" max="7445" width="16.109375" style="1" customWidth="1"/>
    <col min="7446" max="7446" width="19.5546875" style="1" customWidth="1"/>
    <col min="7447" max="7447" width="20.5546875" style="1" customWidth="1"/>
    <col min="7448" max="7448" width="11.44140625" style="1" customWidth="1"/>
    <col min="7449" max="7449" width="18.44140625" style="1" customWidth="1"/>
    <col min="7450" max="7450" width="14.44140625" style="1" customWidth="1"/>
    <col min="7451" max="7451" width="23.109375" style="1" customWidth="1"/>
    <col min="7452" max="7680" width="11.44140625" style="1"/>
    <col min="7681" max="7682" width="8.33203125" style="1" customWidth="1"/>
    <col min="7683" max="7683" width="33.5546875" style="1" customWidth="1"/>
    <col min="7684" max="7690" width="9.44140625" style="1" customWidth="1"/>
    <col min="7691" max="7691" width="9.88671875" style="1" bestFit="1" customWidth="1"/>
    <col min="7692" max="7692" width="22.33203125" style="1" customWidth="1"/>
    <col min="7693" max="7693" width="12" style="1" customWidth="1"/>
    <col min="7694" max="7696" width="11.44140625" style="1" customWidth="1"/>
    <col min="7697" max="7701" width="16.109375" style="1" customWidth="1"/>
    <col min="7702" max="7702" width="19.5546875" style="1" customWidth="1"/>
    <col min="7703" max="7703" width="20.5546875" style="1" customWidth="1"/>
    <col min="7704" max="7704" width="11.44140625" style="1" customWidth="1"/>
    <col min="7705" max="7705" width="18.44140625" style="1" customWidth="1"/>
    <col min="7706" max="7706" width="14.44140625" style="1" customWidth="1"/>
    <col min="7707" max="7707" width="23.109375" style="1" customWidth="1"/>
    <col min="7708" max="7936" width="11.44140625" style="1"/>
    <col min="7937" max="7938" width="8.33203125" style="1" customWidth="1"/>
    <col min="7939" max="7939" width="33.5546875" style="1" customWidth="1"/>
    <col min="7940" max="7946" width="9.44140625" style="1" customWidth="1"/>
    <col min="7947" max="7947" width="9.88671875" style="1" bestFit="1" customWidth="1"/>
    <col min="7948" max="7948" width="22.33203125" style="1" customWidth="1"/>
    <col min="7949" max="7949" width="12" style="1" customWidth="1"/>
    <col min="7950" max="7952" width="11.44140625" style="1" customWidth="1"/>
    <col min="7953" max="7957" width="16.109375" style="1" customWidth="1"/>
    <col min="7958" max="7958" width="19.5546875" style="1" customWidth="1"/>
    <col min="7959" max="7959" width="20.5546875" style="1" customWidth="1"/>
    <col min="7960" max="7960" width="11.44140625" style="1" customWidth="1"/>
    <col min="7961" max="7961" width="18.44140625" style="1" customWidth="1"/>
    <col min="7962" max="7962" width="14.44140625" style="1" customWidth="1"/>
    <col min="7963" max="7963" width="23.109375" style="1" customWidth="1"/>
    <col min="7964" max="8192" width="11.44140625" style="1"/>
    <col min="8193" max="8194" width="8.33203125" style="1" customWidth="1"/>
    <col min="8195" max="8195" width="33.5546875" style="1" customWidth="1"/>
    <col min="8196" max="8202" width="9.44140625" style="1" customWidth="1"/>
    <col min="8203" max="8203" width="9.88671875" style="1" bestFit="1" customWidth="1"/>
    <col min="8204" max="8204" width="22.33203125" style="1" customWidth="1"/>
    <col min="8205" max="8205" width="12" style="1" customWidth="1"/>
    <col min="8206" max="8208" width="11.44140625" style="1" customWidth="1"/>
    <col min="8209" max="8213" width="16.109375" style="1" customWidth="1"/>
    <col min="8214" max="8214" width="19.5546875" style="1" customWidth="1"/>
    <col min="8215" max="8215" width="20.5546875" style="1" customWidth="1"/>
    <col min="8216" max="8216" width="11.44140625" style="1" customWidth="1"/>
    <col min="8217" max="8217" width="18.44140625" style="1" customWidth="1"/>
    <col min="8218" max="8218" width="14.44140625" style="1" customWidth="1"/>
    <col min="8219" max="8219" width="23.109375" style="1" customWidth="1"/>
    <col min="8220" max="8448" width="11.44140625" style="1"/>
    <col min="8449" max="8450" width="8.33203125" style="1" customWidth="1"/>
    <col min="8451" max="8451" width="33.5546875" style="1" customWidth="1"/>
    <col min="8452" max="8458" width="9.44140625" style="1" customWidth="1"/>
    <col min="8459" max="8459" width="9.88671875" style="1" bestFit="1" customWidth="1"/>
    <col min="8460" max="8460" width="22.33203125" style="1" customWidth="1"/>
    <col min="8461" max="8461" width="12" style="1" customWidth="1"/>
    <col min="8462" max="8464" width="11.44140625" style="1" customWidth="1"/>
    <col min="8465" max="8469" width="16.109375" style="1" customWidth="1"/>
    <col min="8470" max="8470" width="19.5546875" style="1" customWidth="1"/>
    <col min="8471" max="8471" width="20.5546875" style="1" customWidth="1"/>
    <col min="8472" max="8472" width="11.44140625" style="1" customWidth="1"/>
    <col min="8473" max="8473" width="18.44140625" style="1" customWidth="1"/>
    <col min="8474" max="8474" width="14.44140625" style="1" customWidth="1"/>
    <col min="8475" max="8475" width="23.109375" style="1" customWidth="1"/>
    <col min="8476" max="8704" width="11.44140625" style="1"/>
    <col min="8705" max="8706" width="8.33203125" style="1" customWidth="1"/>
    <col min="8707" max="8707" width="33.5546875" style="1" customWidth="1"/>
    <col min="8708" max="8714" width="9.44140625" style="1" customWidth="1"/>
    <col min="8715" max="8715" width="9.88671875" style="1" bestFit="1" customWidth="1"/>
    <col min="8716" max="8716" width="22.33203125" style="1" customWidth="1"/>
    <col min="8717" max="8717" width="12" style="1" customWidth="1"/>
    <col min="8718" max="8720" width="11.44140625" style="1" customWidth="1"/>
    <col min="8721" max="8725" width="16.109375" style="1" customWidth="1"/>
    <col min="8726" max="8726" width="19.5546875" style="1" customWidth="1"/>
    <col min="8727" max="8727" width="20.5546875" style="1" customWidth="1"/>
    <col min="8728" max="8728" width="11.44140625" style="1" customWidth="1"/>
    <col min="8729" max="8729" width="18.44140625" style="1" customWidth="1"/>
    <col min="8730" max="8730" width="14.44140625" style="1" customWidth="1"/>
    <col min="8731" max="8731" width="23.109375" style="1" customWidth="1"/>
    <col min="8732" max="8960" width="11.44140625" style="1"/>
    <col min="8961" max="8962" width="8.33203125" style="1" customWidth="1"/>
    <col min="8963" max="8963" width="33.5546875" style="1" customWidth="1"/>
    <col min="8964" max="8970" width="9.44140625" style="1" customWidth="1"/>
    <col min="8971" max="8971" width="9.88671875" style="1" bestFit="1" customWidth="1"/>
    <col min="8972" max="8972" width="22.33203125" style="1" customWidth="1"/>
    <col min="8973" max="8973" width="12" style="1" customWidth="1"/>
    <col min="8974" max="8976" width="11.44140625" style="1" customWidth="1"/>
    <col min="8977" max="8981" width="16.109375" style="1" customWidth="1"/>
    <col min="8982" max="8982" width="19.5546875" style="1" customWidth="1"/>
    <col min="8983" max="8983" width="20.5546875" style="1" customWidth="1"/>
    <col min="8984" max="8984" width="11.44140625" style="1" customWidth="1"/>
    <col min="8985" max="8985" width="18.44140625" style="1" customWidth="1"/>
    <col min="8986" max="8986" width="14.44140625" style="1" customWidth="1"/>
    <col min="8987" max="8987" width="23.109375" style="1" customWidth="1"/>
    <col min="8988" max="9216" width="11.44140625" style="1"/>
    <col min="9217" max="9218" width="8.33203125" style="1" customWidth="1"/>
    <col min="9219" max="9219" width="33.5546875" style="1" customWidth="1"/>
    <col min="9220" max="9226" width="9.44140625" style="1" customWidth="1"/>
    <col min="9227" max="9227" width="9.88671875" style="1" bestFit="1" customWidth="1"/>
    <col min="9228" max="9228" width="22.33203125" style="1" customWidth="1"/>
    <col min="9229" max="9229" width="12" style="1" customWidth="1"/>
    <col min="9230" max="9232" width="11.44140625" style="1" customWidth="1"/>
    <col min="9233" max="9237" width="16.109375" style="1" customWidth="1"/>
    <col min="9238" max="9238" width="19.5546875" style="1" customWidth="1"/>
    <col min="9239" max="9239" width="20.5546875" style="1" customWidth="1"/>
    <col min="9240" max="9240" width="11.44140625" style="1" customWidth="1"/>
    <col min="9241" max="9241" width="18.44140625" style="1" customWidth="1"/>
    <col min="9242" max="9242" width="14.44140625" style="1" customWidth="1"/>
    <col min="9243" max="9243" width="23.109375" style="1" customWidth="1"/>
    <col min="9244" max="9472" width="11.44140625" style="1"/>
    <col min="9473" max="9474" width="8.33203125" style="1" customWidth="1"/>
    <col min="9475" max="9475" width="33.5546875" style="1" customWidth="1"/>
    <col min="9476" max="9482" width="9.44140625" style="1" customWidth="1"/>
    <col min="9483" max="9483" width="9.88671875" style="1" bestFit="1" customWidth="1"/>
    <col min="9484" max="9484" width="22.33203125" style="1" customWidth="1"/>
    <col min="9485" max="9485" width="12" style="1" customWidth="1"/>
    <col min="9486" max="9488" width="11.44140625" style="1" customWidth="1"/>
    <col min="9489" max="9493" width="16.109375" style="1" customWidth="1"/>
    <col min="9494" max="9494" width="19.5546875" style="1" customWidth="1"/>
    <col min="9495" max="9495" width="20.5546875" style="1" customWidth="1"/>
    <col min="9496" max="9496" width="11.44140625" style="1" customWidth="1"/>
    <col min="9497" max="9497" width="18.44140625" style="1" customWidth="1"/>
    <col min="9498" max="9498" width="14.44140625" style="1" customWidth="1"/>
    <col min="9499" max="9499" width="23.109375" style="1" customWidth="1"/>
    <col min="9500" max="9728" width="11.44140625" style="1"/>
    <col min="9729" max="9730" width="8.33203125" style="1" customWidth="1"/>
    <col min="9731" max="9731" width="33.5546875" style="1" customWidth="1"/>
    <col min="9732" max="9738" width="9.44140625" style="1" customWidth="1"/>
    <col min="9739" max="9739" width="9.88671875" style="1" bestFit="1" customWidth="1"/>
    <col min="9740" max="9740" width="22.33203125" style="1" customWidth="1"/>
    <col min="9741" max="9741" width="12" style="1" customWidth="1"/>
    <col min="9742" max="9744" width="11.44140625" style="1" customWidth="1"/>
    <col min="9745" max="9749" width="16.109375" style="1" customWidth="1"/>
    <col min="9750" max="9750" width="19.5546875" style="1" customWidth="1"/>
    <col min="9751" max="9751" width="20.5546875" style="1" customWidth="1"/>
    <col min="9752" max="9752" width="11.44140625" style="1" customWidth="1"/>
    <col min="9753" max="9753" width="18.44140625" style="1" customWidth="1"/>
    <col min="9754" max="9754" width="14.44140625" style="1" customWidth="1"/>
    <col min="9755" max="9755" width="23.109375" style="1" customWidth="1"/>
    <col min="9756" max="9984" width="11.44140625" style="1"/>
    <col min="9985" max="9986" width="8.33203125" style="1" customWidth="1"/>
    <col min="9987" max="9987" width="33.5546875" style="1" customWidth="1"/>
    <col min="9988" max="9994" width="9.44140625" style="1" customWidth="1"/>
    <col min="9995" max="9995" width="9.88671875" style="1" bestFit="1" customWidth="1"/>
    <col min="9996" max="9996" width="22.33203125" style="1" customWidth="1"/>
    <col min="9997" max="9997" width="12" style="1" customWidth="1"/>
    <col min="9998" max="10000" width="11.44140625" style="1" customWidth="1"/>
    <col min="10001" max="10005" width="16.109375" style="1" customWidth="1"/>
    <col min="10006" max="10006" width="19.5546875" style="1" customWidth="1"/>
    <col min="10007" max="10007" width="20.5546875" style="1" customWidth="1"/>
    <col min="10008" max="10008" width="11.44140625" style="1" customWidth="1"/>
    <col min="10009" max="10009" width="18.44140625" style="1" customWidth="1"/>
    <col min="10010" max="10010" width="14.44140625" style="1" customWidth="1"/>
    <col min="10011" max="10011" width="23.109375" style="1" customWidth="1"/>
    <col min="10012" max="10240" width="11.44140625" style="1"/>
    <col min="10241" max="10242" width="8.33203125" style="1" customWidth="1"/>
    <col min="10243" max="10243" width="33.5546875" style="1" customWidth="1"/>
    <col min="10244" max="10250" width="9.44140625" style="1" customWidth="1"/>
    <col min="10251" max="10251" width="9.88671875" style="1" bestFit="1" customWidth="1"/>
    <col min="10252" max="10252" width="22.33203125" style="1" customWidth="1"/>
    <col min="10253" max="10253" width="12" style="1" customWidth="1"/>
    <col min="10254" max="10256" width="11.44140625" style="1" customWidth="1"/>
    <col min="10257" max="10261" width="16.109375" style="1" customWidth="1"/>
    <col min="10262" max="10262" width="19.5546875" style="1" customWidth="1"/>
    <col min="10263" max="10263" width="20.5546875" style="1" customWidth="1"/>
    <col min="10264" max="10264" width="11.44140625" style="1" customWidth="1"/>
    <col min="10265" max="10265" width="18.44140625" style="1" customWidth="1"/>
    <col min="10266" max="10266" width="14.44140625" style="1" customWidth="1"/>
    <col min="10267" max="10267" width="23.109375" style="1" customWidth="1"/>
    <col min="10268" max="10496" width="11.44140625" style="1"/>
    <col min="10497" max="10498" width="8.33203125" style="1" customWidth="1"/>
    <col min="10499" max="10499" width="33.5546875" style="1" customWidth="1"/>
    <col min="10500" max="10506" width="9.44140625" style="1" customWidth="1"/>
    <col min="10507" max="10507" width="9.88671875" style="1" bestFit="1" customWidth="1"/>
    <col min="10508" max="10508" width="22.33203125" style="1" customWidth="1"/>
    <col min="10509" max="10509" width="12" style="1" customWidth="1"/>
    <col min="10510" max="10512" width="11.44140625" style="1" customWidth="1"/>
    <col min="10513" max="10517" width="16.109375" style="1" customWidth="1"/>
    <col min="10518" max="10518" width="19.5546875" style="1" customWidth="1"/>
    <col min="10519" max="10519" width="20.5546875" style="1" customWidth="1"/>
    <col min="10520" max="10520" width="11.44140625" style="1" customWidth="1"/>
    <col min="10521" max="10521" width="18.44140625" style="1" customWidth="1"/>
    <col min="10522" max="10522" width="14.44140625" style="1" customWidth="1"/>
    <col min="10523" max="10523" width="23.109375" style="1" customWidth="1"/>
    <col min="10524" max="10752" width="11.44140625" style="1"/>
    <col min="10753" max="10754" width="8.33203125" style="1" customWidth="1"/>
    <col min="10755" max="10755" width="33.5546875" style="1" customWidth="1"/>
    <col min="10756" max="10762" width="9.44140625" style="1" customWidth="1"/>
    <col min="10763" max="10763" width="9.88671875" style="1" bestFit="1" customWidth="1"/>
    <col min="10764" max="10764" width="22.33203125" style="1" customWidth="1"/>
    <col min="10765" max="10765" width="12" style="1" customWidth="1"/>
    <col min="10766" max="10768" width="11.44140625" style="1" customWidth="1"/>
    <col min="10769" max="10773" width="16.109375" style="1" customWidth="1"/>
    <col min="10774" max="10774" width="19.5546875" style="1" customWidth="1"/>
    <col min="10775" max="10775" width="20.5546875" style="1" customWidth="1"/>
    <col min="10776" max="10776" width="11.44140625" style="1" customWidth="1"/>
    <col min="10777" max="10777" width="18.44140625" style="1" customWidth="1"/>
    <col min="10778" max="10778" width="14.44140625" style="1" customWidth="1"/>
    <col min="10779" max="10779" width="23.109375" style="1" customWidth="1"/>
    <col min="10780" max="11008" width="11.44140625" style="1"/>
    <col min="11009" max="11010" width="8.33203125" style="1" customWidth="1"/>
    <col min="11011" max="11011" width="33.5546875" style="1" customWidth="1"/>
    <col min="11012" max="11018" width="9.44140625" style="1" customWidth="1"/>
    <col min="11019" max="11019" width="9.88671875" style="1" bestFit="1" customWidth="1"/>
    <col min="11020" max="11020" width="22.33203125" style="1" customWidth="1"/>
    <col min="11021" max="11021" width="12" style="1" customWidth="1"/>
    <col min="11022" max="11024" width="11.44140625" style="1" customWidth="1"/>
    <col min="11025" max="11029" width="16.109375" style="1" customWidth="1"/>
    <col min="11030" max="11030" width="19.5546875" style="1" customWidth="1"/>
    <col min="11031" max="11031" width="20.5546875" style="1" customWidth="1"/>
    <col min="11032" max="11032" width="11.44140625" style="1" customWidth="1"/>
    <col min="11033" max="11033" width="18.44140625" style="1" customWidth="1"/>
    <col min="11034" max="11034" width="14.44140625" style="1" customWidth="1"/>
    <col min="11035" max="11035" width="23.109375" style="1" customWidth="1"/>
    <col min="11036" max="11264" width="11.44140625" style="1"/>
    <col min="11265" max="11266" width="8.33203125" style="1" customWidth="1"/>
    <col min="11267" max="11267" width="33.5546875" style="1" customWidth="1"/>
    <col min="11268" max="11274" width="9.44140625" style="1" customWidth="1"/>
    <col min="11275" max="11275" width="9.88671875" style="1" bestFit="1" customWidth="1"/>
    <col min="11276" max="11276" width="22.33203125" style="1" customWidth="1"/>
    <col min="11277" max="11277" width="12" style="1" customWidth="1"/>
    <col min="11278" max="11280" width="11.44140625" style="1" customWidth="1"/>
    <col min="11281" max="11285" width="16.109375" style="1" customWidth="1"/>
    <col min="11286" max="11286" width="19.5546875" style="1" customWidth="1"/>
    <col min="11287" max="11287" width="20.5546875" style="1" customWidth="1"/>
    <col min="11288" max="11288" width="11.44140625" style="1" customWidth="1"/>
    <col min="11289" max="11289" width="18.44140625" style="1" customWidth="1"/>
    <col min="11290" max="11290" width="14.44140625" style="1" customWidth="1"/>
    <col min="11291" max="11291" width="23.109375" style="1" customWidth="1"/>
    <col min="11292" max="11520" width="11.44140625" style="1"/>
    <col min="11521" max="11522" width="8.33203125" style="1" customWidth="1"/>
    <col min="11523" max="11523" width="33.5546875" style="1" customWidth="1"/>
    <col min="11524" max="11530" width="9.44140625" style="1" customWidth="1"/>
    <col min="11531" max="11531" width="9.88671875" style="1" bestFit="1" customWidth="1"/>
    <col min="11532" max="11532" width="22.33203125" style="1" customWidth="1"/>
    <col min="11533" max="11533" width="12" style="1" customWidth="1"/>
    <col min="11534" max="11536" width="11.44140625" style="1" customWidth="1"/>
    <col min="11537" max="11541" width="16.109375" style="1" customWidth="1"/>
    <col min="11542" max="11542" width="19.5546875" style="1" customWidth="1"/>
    <col min="11543" max="11543" width="20.5546875" style="1" customWidth="1"/>
    <col min="11544" max="11544" width="11.44140625" style="1" customWidth="1"/>
    <col min="11545" max="11545" width="18.44140625" style="1" customWidth="1"/>
    <col min="11546" max="11546" width="14.44140625" style="1" customWidth="1"/>
    <col min="11547" max="11547" width="23.109375" style="1" customWidth="1"/>
    <col min="11548" max="11776" width="11.44140625" style="1"/>
    <col min="11777" max="11778" width="8.33203125" style="1" customWidth="1"/>
    <col min="11779" max="11779" width="33.5546875" style="1" customWidth="1"/>
    <col min="11780" max="11786" width="9.44140625" style="1" customWidth="1"/>
    <col min="11787" max="11787" width="9.88671875" style="1" bestFit="1" customWidth="1"/>
    <col min="11788" max="11788" width="22.33203125" style="1" customWidth="1"/>
    <col min="11789" max="11789" width="12" style="1" customWidth="1"/>
    <col min="11790" max="11792" width="11.44140625" style="1" customWidth="1"/>
    <col min="11793" max="11797" width="16.109375" style="1" customWidth="1"/>
    <col min="11798" max="11798" width="19.5546875" style="1" customWidth="1"/>
    <col min="11799" max="11799" width="20.5546875" style="1" customWidth="1"/>
    <col min="11800" max="11800" width="11.44140625" style="1" customWidth="1"/>
    <col min="11801" max="11801" width="18.44140625" style="1" customWidth="1"/>
    <col min="11802" max="11802" width="14.44140625" style="1" customWidth="1"/>
    <col min="11803" max="11803" width="23.109375" style="1" customWidth="1"/>
    <col min="11804" max="12032" width="11.44140625" style="1"/>
    <col min="12033" max="12034" width="8.33203125" style="1" customWidth="1"/>
    <col min="12035" max="12035" width="33.5546875" style="1" customWidth="1"/>
    <col min="12036" max="12042" width="9.44140625" style="1" customWidth="1"/>
    <col min="12043" max="12043" width="9.88671875" style="1" bestFit="1" customWidth="1"/>
    <col min="12044" max="12044" width="22.33203125" style="1" customWidth="1"/>
    <col min="12045" max="12045" width="12" style="1" customWidth="1"/>
    <col min="12046" max="12048" width="11.44140625" style="1" customWidth="1"/>
    <col min="12049" max="12053" width="16.109375" style="1" customWidth="1"/>
    <col min="12054" max="12054" width="19.5546875" style="1" customWidth="1"/>
    <col min="12055" max="12055" width="20.5546875" style="1" customWidth="1"/>
    <col min="12056" max="12056" width="11.44140625" style="1" customWidth="1"/>
    <col min="12057" max="12057" width="18.44140625" style="1" customWidth="1"/>
    <col min="12058" max="12058" width="14.44140625" style="1" customWidth="1"/>
    <col min="12059" max="12059" width="23.109375" style="1" customWidth="1"/>
    <col min="12060" max="12288" width="11.44140625" style="1"/>
    <col min="12289" max="12290" width="8.33203125" style="1" customWidth="1"/>
    <col min="12291" max="12291" width="33.5546875" style="1" customWidth="1"/>
    <col min="12292" max="12298" width="9.44140625" style="1" customWidth="1"/>
    <col min="12299" max="12299" width="9.88671875" style="1" bestFit="1" customWidth="1"/>
    <col min="12300" max="12300" width="22.33203125" style="1" customWidth="1"/>
    <col min="12301" max="12301" width="12" style="1" customWidth="1"/>
    <col min="12302" max="12304" width="11.44140625" style="1" customWidth="1"/>
    <col min="12305" max="12309" width="16.109375" style="1" customWidth="1"/>
    <col min="12310" max="12310" width="19.5546875" style="1" customWidth="1"/>
    <col min="12311" max="12311" width="20.5546875" style="1" customWidth="1"/>
    <col min="12312" max="12312" width="11.44140625" style="1" customWidth="1"/>
    <col min="12313" max="12313" width="18.44140625" style="1" customWidth="1"/>
    <col min="12314" max="12314" width="14.44140625" style="1" customWidth="1"/>
    <col min="12315" max="12315" width="23.109375" style="1" customWidth="1"/>
    <col min="12316" max="12544" width="11.44140625" style="1"/>
    <col min="12545" max="12546" width="8.33203125" style="1" customWidth="1"/>
    <col min="12547" max="12547" width="33.5546875" style="1" customWidth="1"/>
    <col min="12548" max="12554" width="9.44140625" style="1" customWidth="1"/>
    <col min="12555" max="12555" width="9.88671875" style="1" bestFit="1" customWidth="1"/>
    <col min="12556" max="12556" width="22.33203125" style="1" customWidth="1"/>
    <col min="12557" max="12557" width="12" style="1" customWidth="1"/>
    <col min="12558" max="12560" width="11.44140625" style="1" customWidth="1"/>
    <col min="12561" max="12565" width="16.109375" style="1" customWidth="1"/>
    <col min="12566" max="12566" width="19.5546875" style="1" customWidth="1"/>
    <col min="12567" max="12567" width="20.5546875" style="1" customWidth="1"/>
    <col min="12568" max="12568" width="11.44140625" style="1" customWidth="1"/>
    <col min="12569" max="12569" width="18.44140625" style="1" customWidth="1"/>
    <col min="12570" max="12570" width="14.44140625" style="1" customWidth="1"/>
    <col min="12571" max="12571" width="23.109375" style="1" customWidth="1"/>
    <col min="12572" max="12800" width="11.44140625" style="1"/>
    <col min="12801" max="12802" width="8.33203125" style="1" customWidth="1"/>
    <col min="12803" max="12803" width="33.5546875" style="1" customWidth="1"/>
    <col min="12804" max="12810" width="9.44140625" style="1" customWidth="1"/>
    <col min="12811" max="12811" width="9.88671875" style="1" bestFit="1" customWidth="1"/>
    <col min="12812" max="12812" width="22.33203125" style="1" customWidth="1"/>
    <col min="12813" max="12813" width="12" style="1" customWidth="1"/>
    <col min="12814" max="12816" width="11.44140625" style="1" customWidth="1"/>
    <col min="12817" max="12821" width="16.109375" style="1" customWidth="1"/>
    <col min="12822" max="12822" width="19.5546875" style="1" customWidth="1"/>
    <col min="12823" max="12823" width="20.5546875" style="1" customWidth="1"/>
    <col min="12824" max="12824" width="11.44140625" style="1" customWidth="1"/>
    <col min="12825" max="12825" width="18.44140625" style="1" customWidth="1"/>
    <col min="12826" max="12826" width="14.44140625" style="1" customWidth="1"/>
    <col min="12827" max="12827" width="23.109375" style="1" customWidth="1"/>
    <col min="12828" max="13056" width="11.44140625" style="1"/>
    <col min="13057" max="13058" width="8.33203125" style="1" customWidth="1"/>
    <col min="13059" max="13059" width="33.5546875" style="1" customWidth="1"/>
    <col min="13060" max="13066" width="9.44140625" style="1" customWidth="1"/>
    <col min="13067" max="13067" width="9.88671875" style="1" bestFit="1" customWidth="1"/>
    <col min="13068" max="13068" width="22.33203125" style="1" customWidth="1"/>
    <col min="13069" max="13069" width="12" style="1" customWidth="1"/>
    <col min="13070" max="13072" width="11.44140625" style="1" customWidth="1"/>
    <col min="13073" max="13077" width="16.109375" style="1" customWidth="1"/>
    <col min="13078" max="13078" width="19.5546875" style="1" customWidth="1"/>
    <col min="13079" max="13079" width="20.5546875" style="1" customWidth="1"/>
    <col min="13080" max="13080" width="11.44140625" style="1" customWidth="1"/>
    <col min="13081" max="13081" width="18.44140625" style="1" customWidth="1"/>
    <col min="13082" max="13082" width="14.44140625" style="1" customWidth="1"/>
    <col min="13083" max="13083" width="23.109375" style="1" customWidth="1"/>
    <col min="13084" max="13312" width="11.44140625" style="1"/>
    <col min="13313" max="13314" width="8.33203125" style="1" customWidth="1"/>
    <col min="13315" max="13315" width="33.5546875" style="1" customWidth="1"/>
    <col min="13316" max="13322" width="9.44140625" style="1" customWidth="1"/>
    <col min="13323" max="13323" width="9.88671875" style="1" bestFit="1" customWidth="1"/>
    <col min="13324" max="13324" width="22.33203125" style="1" customWidth="1"/>
    <col min="13325" max="13325" width="12" style="1" customWidth="1"/>
    <col min="13326" max="13328" width="11.44140625" style="1" customWidth="1"/>
    <col min="13329" max="13333" width="16.109375" style="1" customWidth="1"/>
    <col min="13334" max="13334" width="19.5546875" style="1" customWidth="1"/>
    <col min="13335" max="13335" width="20.5546875" style="1" customWidth="1"/>
    <col min="13336" max="13336" width="11.44140625" style="1" customWidth="1"/>
    <col min="13337" max="13337" width="18.44140625" style="1" customWidth="1"/>
    <col min="13338" max="13338" width="14.44140625" style="1" customWidth="1"/>
    <col min="13339" max="13339" width="23.109375" style="1" customWidth="1"/>
    <col min="13340" max="13568" width="11.44140625" style="1"/>
    <col min="13569" max="13570" width="8.33203125" style="1" customWidth="1"/>
    <col min="13571" max="13571" width="33.5546875" style="1" customWidth="1"/>
    <col min="13572" max="13578" width="9.44140625" style="1" customWidth="1"/>
    <col min="13579" max="13579" width="9.88671875" style="1" bestFit="1" customWidth="1"/>
    <col min="13580" max="13580" width="22.33203125" style="1" customWidth="1"/>
    <col min="13581" max="13581" width="12" style="1" customWidth="1"/>
    <col min="13582" max="13584" width="11.44140625" style="1" customWidth="1"/>
    <col min="13585" max="13589" width="16.109375" style="1" customWidth="1"/>
    <col min="13590" max="13590" width="19.5546875" style="1" customWidth="1"/>
    <col min="13591" max="13591" width="20.5546875" style="1" customWidth="1"/>
    <col min="13592" max="13592" width="11.44140625" style="1" customWidth="1"/>
    <col min="13593" max="13593" width="18.44140625" style="1" customWidth="1"/>
    <col min="13594" max="13594" width="14.44140625" style="1" customWidth="1"/>
    <col min="13595" max="13595" width="23.109375" style="1" customWidth="1"/>
    <col min="13596" max="13824" width="11.44140625" style="1"/>
    <col min="13825" max="13826" width="8.33203125" style="1" customWidth="1"/>
    <col min="13827" max="13827" width="33.5546875" style="1" customWidth="1"/>
    <col min="13828" max="13834" width="9.44140625" style="1" customWidth="1"/>
    <col min="13835" max="13835" width="9.88671875" style="1" bestFit="1" customWidth="1"/>
    <col min="13836" max="13836" width="22.33203125" style="1" customWidth="1"/>
    <col min="13837" max="13837" width="12" style="1" customWidth="1"/>
    <col min="13838" max="13840" width="11.44140625" style="1" customWidth="1"/>
    <col min="13841" max="13845" width="16.109375" style="1" customWidth="1"/>
    <col min="13846" max="13846" width="19.5546875" style="1" customWidth="1"/>
    <col min="13847" max="13847" width="20.5546875" style="1" customWidth="1"/>
    <col min="13848" max="13848" width="11.44140625" style="1" customWidth="1"/>
    <col min="13849" max="13849" width="18.44140625" style="1" customWidth="1"/>
    <col min="13850" max="13850" width="14.44140625" style="1" customWidth="1"/>
    <col min="13851" max="13851" width="23.109375" style="1" customWidth="1"/>
    <col min="13852" max="14080" width="11.44140625" style="1"/>
    <col min="14081" max="14082" width="8.33203125" style="1" customWidth="1"/>
    <col min="14083" max="14083" width="33.5546875" style="1" customWidth="1"/>
    <col min="14084" max="14090" width="9.44140625" style="1" customWidth="1"/>
    <col min="14091" max="14091" width="9.88671875" style="1" bestFit="1" customWidth="1"/>
    <col min="14092" max="14092" width="22.33203125" style="1" customWidth="1"/>
    <col min="14093" max="14093" width="12" style="1" customWidth="1"/>
    <col min="14094" max="14096" width="11.44140625" style="1" customWidth="1"/>
    <col min="14097" max="14101" width="16.109375" style="1" customWidth="1"/>
    <col min="14102" max="14102" width="19.5546875" style="1" customWidth="1"/>
    <col min="14103" max="14103" width="20.5546875" style="1" customWidth="1"/>
    <col min="14104" max="14104" width="11.44140625" style="1" customWidth="1"/>
    <col min="14105" max="14105" width="18.44140625" style="1" customWidth="1"/>
    <col min="14106" max="14106" width="14.44140625" style="1" customWidth="1"/>
    <col min="14107" max="14107" width="23.109375" style="1" customWidth="1"/>
    <col min="14108" max="14336" width="11.44140625" style="1"/>
    <col min="14337" max="14338" width="8.33203125" style="1" customWidth="1"/>
    <col min="14339" max="14339" width="33.5546875" style="1" customWidth="1"/>
    <col min="14340" max="14346" width="9.44140625" style="1" customWidth="1"/>
    <col min="14347" max="14347" width="9.88671875" style="1" bestFit="1" customWidth="1"/>
    <col min="14348" max="14348" width="22.33203125" style="1" customWidth="1"/>
    <col min="14349" max="14349" width="12" style="1" customWidth="1"/>
    <col min="14350" max="14352" width="11.44140625" style="1" customWidth="1"/>
    <col min="14353" max="14357" width="16.109375" style="1" customWidth="1"/>
    <col min="14358" max="14358" width="19.5546875" style="1" customWidth="1"/>
    <col min="14359" max="14359" width="20.5546875" style="1" customWidth="1"/>
    <col min="14360" max="14360" width="11.44140625" style="1" customWidth="1"/>
    <col min="14361" max="14361" width="18.44140625" style="1" customWidth="1"/>
    <col min="14362" max="14362" width="14.44140625" style="1" customWidth="1"/>
    <col min="14363" max="14363" width="23.109375" style="1" customWidth="1"/>
    <col min="14364" max="14592" width="11.44140625" style="1"/>
    <col min="14593" max="14594" width="8.33203125" style="1" customWidth="1"/>
    <col min="14595" max="14595" width="33.5546875" style="1" customWidth="1"/>
    <col min="14596" max="14602" width="9.44140625" style="1" customWidth="1"/>
    <col min="14603" max="14603" width="9.88671875" style="1" bestFit="1" customWidth="1"/>
    <col min="14604" max="14604" width="22.33203125" style="1" customWidth="1"/>
    <col min="14605" max="14605" width="12" style="1" customWidth="1"/>
    <col min="14606" max="14608" width="11.44140625" style="1" customWidth="1"/>
    <col min="14609" max="14613" width="16.109375" style="1" customWidth="1"/>
    <col min="14614" max="14614" width="19.5546875" style="1" customWidth="1"/>
    <col min="14615" max="14615" width="20.5546875" style="1" customWidth="1"/>
    <col min="14616" max="14616" width="11.44140625" style="1" customWidth="1"/>
    <col min="14617" max="14617" width="18.44140625" style="1" customWidth="1"/>
    <col min="14618" max="14618" width="14.44140625" style="1" customWidth="1"/>
    <col min="14619" max="14619" width="23.109375" style="1" customWidth="1"/>
    <col min="14620" max="14848" width="11.44140625" style="1"/>
    <col min="14849" max="14850" width="8.33203125" style="1" customWidth="1"/>
    <col min="14851" max="14851" width="33.5546875" style="1" customWidth="1"/>
    <col min="14852" max="14858" width="9.44140625" style="1" customWidth="1"/>
    <col min="14859" max="14859" width="9.88671875" style="1" bestFit="1" customWidth="1"/>
    <col min="14860" max="14860" width="22.33203125" style="1" customWidth="1"/>
    <col min="14861" max="14861" width="12" style="1" customWidth="1"/>
    <col min="14862" max="14864" width="11.44140625" style="1" customWidth="1"/>
    <col min="14865" max="14869" width="16.109375" style="1" customWidth="1"/>
    <col min="14870" max="14870" width="19.5546875" style="1" customWidth="1"/>
    <col min="14871" max="14871" width="20.5546875" style="1" customWidth="1"/>
    <col min="14872" max="14872" width="11.44140625" style="1" customWidth="1"/>
    <col min="14873" max="14873" width="18.44140625" style="1" customWidth="1"/>
    <col min="14874" max="14874" width="14.44140625" style="1" customWidth="1"/>
    <col min="14875" max="14875" width="23.109375" style="1" customWidth="1"/>
    <col min="14876" max="15104" width="11.44140625" style="1"/>
    <col min="15105" max="15106" width="8.33203125" style="1" customWidth="1"/>
    <col min="15107" max="15107" width="33.5546875" style="1" customWidth="1"/>
    <col min="15108" max="15114" width="9.44140625" style="1" customWidth="1"/>
    <col min="15115" max="15115" width="9.88671875" style="1" bestFit="1" customWidth="1"/>
    <col min="15116" max="15116" width="22.33203125" style="1" customWidth="1"/>
    <col min="15117" max="15117" width="12" style="1" customWidth="1"/>
    <col min="15118" max="15120" width="11.44140625" style="1" customWidth="1"/>
    <col min="15121" max="15125" width="16.109375" style="1" customWidth="1"/>
    <col min="15126" max="15126" width="19.5546875" style="1" customWidth="1"/>
    <col min="15127" max="15127" width="20.5546875" style="1" customWidth="1"/>
    <col min="15128" max="15128" width="11.44140625" style="1" customWidth="1"/>
    <col min="15129" max="15129" width="18.44140625" style="1" customWidth="1"/>
    <col min="15130" max="15130" width="14.44140625" style="1" customWidth="1"/>
    <col min="15131" max="15131" width="23.109375" style="1" customWidth="1"/>
    <col min="15132" max="15360" width="11.44140625" style="1"/>
    <col min="15361" max="15362" width="8.33203125" style="1" customWidth="1"/>
    <col min="15363" max="15363" width="33.5546875" style="1" customWidth="1"/>
    <col min="15364" max="15370" width="9.44140625" style="1" customWidth="1"/>
    <col min="15371" max="15371" width="9.88671875" style="1" bestFit="1" customWidth="1"/>
    <col min="15372" max="15372" width="22.33203125" style="1" customWidth="1"/>
    <col min="15373" max="15373" width="12" style="1" customWidth="1"/>
    <col min="15374" max="15376" width="11.44140625" style="1" customWidth="1"/>
    <col min="15377" max="15381" width="16.109375" style="1" customWidth="1"/>
    <col min="15382" max="15382" width="19.5546875" style="1" customWidth="1"/>
    <col min="15383" max="15383" width="20.5546875" style="1" customWidth="1"/>
    <col min="15384" max="15384" width="11.44140625" style="1" customWidth="1"/>
    <col min="15385" max="15385" width="18.44140625" style="1" customWidth="1"/>
    <col min="15386" max="15386" width="14.44140625" style="1" customWidth="1"/>
    <col min="15387" max="15387" width="23.109375" style="1" customWidth="1"/>
    <col min="15388" max="15616" width="11.44140625" style="1"/>
    <col min="15617" max="15618" width="8.33203125" style="1" customWidth="1"/>
    <col min="15619" max="15619" width="33.5546875" style="1" customWidth="1"/>
    <col min="15620" max="15626" width="9.44140625" style="1" customWidth="1"/>
    <col min="15627" max="15627" width="9.88671875" style="1" bestFit="1" customWidth="1"/>
    <col min="15628" max="15628" width="22.33203125" style="1" customWidth="1"/>
    <col min="15629" max="15629" width="12" style="1" customWidth="1"/>
    <col min="15630" max="15632" width="11.44140625" style="1" customWidth="1"/>
    <col min="15633" max="15637" width="16.109375" style="1" customWidth="1"/>
    <col min="15638" max="15638" width="19.5546875" style="1" customWidth="1"/>
    <col min="15639" max="15639" width="20.5546875" style="1" customWidth="1"/>
    <col min="15640" max="15640" width="11.44140625" style="1" customWidth="1"/>
    <col min="15641" max="15641" width="18.44140625" style="1" customWidth="1"/>
    <col min="15642" max="15642" width="14.44140625" style="1" customWidth="1"/>
    <col min="15643" max="15643" width="23.109375" style="1" customWidth="1"/>
    <col min="15644" max="15872" width="11.44140625" style="1"/>
    <col min="15873" max="15874" width="8.33203125" style="1" customWidth="1"/>
    <col min="15875" max="15875" width="33.5546875" style="1" customWidth="1"/>
    <col min="15876" max="15882" width="9.44140625" style="1" customWidth="1"/>
    <col min="15883" max="15883" width="9.88671875" style="1" bestFit="1" customWidth="1"/>
    <col min="15884" max="15884" width="22.33203125" style="1" customWidth="1"/>
    <col min="15885" max="15885" width="12" style="1" customWidth="1"/>
    <col min="15886" max="15888" width="11.44140625" style="1" customWidth="1"/>
    <col min="15889" max="15893" width="16.109375" style="1" customWidth="1"/>
    <col min="15894" max="15894" width="19.5546875" style="1" customWidth="1"/>
    <col min="15895" max="15895" width="20.5546875" style="1" customWidth="1"/>
    <col min="15896" max="15896" width="11.44140625" style="1" customWidth="1"/>
    <col min="15897" max="15897" width="18.44140625" style="1" customWidth="1"/>
    <col min="15898" max="15898" width="14.44140625" style="1" customWidth="1"/>
    <col min="15899" max="15899" width="23.109375" style="1" customWidth="1"/>
    <col min="15900" max="16128" width="11.44140625" style="1"/>
    <col min="16129" max="16130" width="8.33203125" style="1" customWidth="1"/>
    <col min="16131" max="16131" width="33.5546875" style="1" customWidth="1"/>
    <col min="16132" max="16138" width="9.44140625" style="1" customWidth="1"/>
    <col min="16139" max="16139" width="9.88671875" style="1" bestFit="1" customWidth="1"/>
    <col min="16140" max="16140" width="22.33203125" style="1" customWidth="1"/>
    <col min="16141" max="16141" width="12" style="1" customWidth="1"/>
    <col min="16142" max="16144" width="11.44140625" style="1" customWidth="1"/>
    <col min="16145" max="16149" width="16.109375" style="1" customWidth="1"/>
    <col min="16150" max="16150" width="19.5546875" style="1" customWidth="1"/>
    <col min="16151" max="16151" width="20.5546875" style="1" customWidth="1"/>
    <col min="16152" max="16152" width="11.44140625" style="1" customWidth="1"/>
    <col min="16153" max="16153" width="18.44140625" style="1" customWidth="1"/>
    <col min="16154" max="16154" width="14.44140625" style="1" customWidth="1"/>
    <col min="16155" max="16155" width="23.109375" style="1" customWidth="1"/>
    <col min="16156" max="16384" width="11.44140625" style="1"/>
  </cols>
  <sheetData>
    <row r="1" spans="1:27" ht="17.399999999999999" x14ac:dyDescent="0.3">
      <c r="A1" s="96" t="s">
        <v>49</v>
      </c>
      <c r="B1" s="96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V1" s="2"/>
      <c r="W1" s="3"/>
      <c r="X1" s="4"/>
    </row>
    <row r="3" spans="1:27" ht="17.399999999999999" x14ac:dyDescent="0.3">
      <c r="A3" s="5"/>
      <c r="B3" s="6"/>
      <c r="C3" s="7" t="s">
        <v>0</v>
      </c>
      <c r="D3" s="8" t="s">
        <v>48</v>
      </c>
      <c r="E3" s="5"/>
      <c r="F3" s="5"/>
      <c r="G3" s="9"/>
      <c r="H3" s="9"/>
      <c r="I3" s="5"/>
      <c r="J3" s="10"/>
      <c r="K3" s="10"/>
      <c r="L3" s="10"/>
      <c r="M3" s="11"/>
    </row>
    <row r="4" spans="1:27" ht="17.399999999999999" x14ac:dyDescent="0.3">
      <c r="A4" s="5"/>
      <c r="B4" s="6"/>
      <c r="C4" s="8" t="s">
        <v>1</v>
      </c>
      <c r="D4" s="8">
        <v>4</v>
      </c>
      <c r="E4" s="15"/>
      <c r="F4" s="15"/>
      <c r="G4" s="16"/>
      <c r="H4" s="16"/>
      <c r="I4" s="15"/>
      <c r="J4" s="10"/>
      <c r="K4" s="10"/>
      <c r="L4" s="10"/>
      <c r="M4" s="11"/>
    </row>
    <row r="5" spans="1:27" ht="17.399999999999999" x14ac:dyDescent="0.3">
      <c r="A5" s="5"/>
      <c r="B5" s="6"/>
      <c r="C5" s="8" t="s">
        <v>2</v>
      </c>
      <c r="D5" s="8">
        <v>54</v>
      </c>
      <c r="E5" s="5"/>
      <c r="F5" s="5"/>
      <c r="G5" s="9"/>
      <c r="H5" s="9"/>
      <c r="I5" s="5"/>
      <c r="J5" s="10"/>
      <c r="K5" s="10"/>
      <c r="L5" s="10"/>
      <c r="M5" s="11"/>
    </row>
    <row r="6" spans="1:27" x14ac:dyDescent="0.25">
      <c r="A6" s="17">
        <v>1</v>
      </c>
      <c r="B6" s="18">
        <v>2</v>
      </c>
      <c r="C6" s="17">
        <v>3</v>
      </c>
      <c r="D6" s="18">
        <v>4</v>
      </c>
      <c r="E6" s="17">
        <v>5</v>
      </c>
      <c r="F6" s="18">
        <v>6</v>
      </c>
      <c r="G6" s="17">
        <v>7</v>
      </c>
      <c r="H6" s="18">
        <v>8</v>
      </c>
      <c r="I6" s="17">
        <v>9</v>
      </c>
      <c r="J6" s="18">
        <v>10</v>
      </c>
      <c r="K6" s="17">
        <v>11</v>
      </c>
      <c r="L6" s="18">
        <v>12</v>
      </c>
      <c r="M6" s="17">
        <v>13</v>
      </c>
      <c r="N6" s="18">
        <v>14</v>
      </c>
      <c r="O6" s="17">
        <v>15</v>
      </c>
      <c r="P6" s="18">
        <v>16</v>
      </c>
      <c r="Q6" s="17">
        <v>17</v>
      </c>
      <c r="R6" s="18">
        <v>18</v>
      </c>
      <c r="S6" s="17">
        <v>19</v>
      </c>
      <c r="T6" s="18">
        <v>20</v>
      </c>
      <c r="U6" s="17">
        <v>21</v>
      </c>
      <c r="V6" s="18">
        <v>22</v>
      </c>
      <c r="W6" s="17">
        <v>23</v>
      </c>
      <c r="X6" s="18">
        <v>24</v>
      </c>
      <c r="Y6" s="17">
        <v>25</v>
      </c>
      <c r="Z6" s="18">
        <v>26</v>
      </c>
      <c r="AA6" s="17">
        <v>27</v>
      </c>
    </row>
    <row r="7" spans="1:27" x14ac:dyDescent="0.25">
      <c r="A7" s="11"/>
      <c r="B7" s="19"/>
      <c r="C7" s="11"/>
      <c r="D7" s="16"/>
      <c r="E7" s="16"/>
      <c r="F7" s="16"/>
      <c r="G7" s="16"/>
      <c r="H7" s="16"/>
      <c r="I7" s="11"/>
      <c r="J7" s="11"/>
      <c r="K7" s="11"/>
      <c r="L7" s="11"/>
      <c r="M7" s="11"/>
    </row>
    <row r="8" spans="1:27" s="13" customFormat="1" ht="39.75" customHeight="1" x14ac:dyDescent="0.25">
      <c r="A8" s="98" t="s">
        <v>3</v>
      </c>
      <c r="B8" s="20" t="s">
        <v>4</v>
      </c>
      <c r="C8" s="99" t="s">
        <v>5</v>
      </c>
      <c r="D8" s="98" t="s">
        <v>6</v>
      </c>
      <c r="E8" s="21" t="s">
        <v>4</v>
      </c>
      <c r="F8" s="95" t="s">
        <v>7</v>
      </c>
      <c r="G8" s="95"/>
      <c r="H8" s="21" t="s">
        <v>8</v>
      </c>
      <c r="I8" s="21" t="s">
        <v>9</v>
      </c>
      <c r="J8" s="21" t="s">
        <v>10</v>
      </c>
      <c r="K8" s="98" t="s">
        <v>11</v>
      </c>
      <c r="L8" s="101" t="s">
        <v>12</v>
      </c>
      <c r="M8" s="95" t="s">
        <v>13</v>
      </c>
      <c r="N8" s="95"/>
      <c r="O8" s="95" t="s">
        <v>14</v>
      </c>
      <c r="P8" s="95"/>
      <c r="Q8" s="95" t="s">
        <v>15</v>
      </c>
      <c r="R8" s="21" t="s">
        <v>16</v>
      </c>
      <c r="S8" s="22" t="s">
        <v>17</v>
      </c>
      <c r="T8" s="22" t="s">
        <v>18</v>
      </c>
      <c r="U8" s="23" t="s">
        <v>19</v>
      </c>
      <c r="V8" s="24" t="s">
        <v>20</v>
      </c>
      <c r="W8" s="25" t="s">
        <v>21</v>
      </c>
      <c r="X8" s="26" t="s">
        <v>22</v>
      </c>
      <c r="Y8" s="27" t="s">
        <v>23</v>
      </c>
      <c r="Z8" s="27" t="s">
        <v>24</v>
      </c>
      <c r="AA8" s="28" t="s">
        <v>25</v>
      </c>
    </row>
    <row r="9" spans="1:27" s="13" customFormat="1" x14ac:dyDescent="0.25">
      <c r="A9" s="95"/>
      <c r="B9" s="29" t="s">
        <v>26</v>
      </c>
      <c r="C9" s="100"/>
      <c r="D9" s="95"/>
      <c r="E9" s="30" t="s">
        <v>27</v>
      </c>
      <c r="F9" s="30" t="s">
        <v>28</v>
      </c>
      <c r="G9" s="30" t="s">
        <v>29</v>
      </c>
      <c r="H9" s="30"/>
      <c r="I9" s="31" t="s">
        <v>30</v>
      </c>
      <c r="J9" s="30"/>
      <c r="K9" s="95"/>
      <c r="L9" s="101"/>
      <c r="M9" s="30" t="s">
        <v>31</v>
      </c>
      <c r="N9" s="30" t="s">
        <v>32</v>
      </c>
      <c r="O9" s="30" t="s">
        <v>33</v>
      </c>
      <c r="P9" s="30" t="s">
        <v>34</v>
      </c>
      <c r="Q9" s="95"/>
      <c r="R9" s="21"/>
      <c r="S9" s="21"/>
      <c r="T9" s="21"/>
      <c r="U9" s="21"/>
      <c r="V9" s="32"/>
      <c r="W9" s="33"/>
      <c r="X9" s="34"/>
      <c r="Y9" s="35"/>
      <c r="Z9" s="36"/>
      <c r="AA9" s="35"/>
    </row>
    <row r="10" spans="1:27" s="37" customFormat="1" ht="13.8" thickBot="1" x14ac:dyDescent="0.3">
      <c r="B10" s="38"/>
      <c r="D10" s="39"/>
      <c r="E10" s="39"/>
      <c r="F10" s="40"/>
      <c r="G10" s="40"/>
      <c r="H10" s="40"/>
      <c r="I10" s="39"/>
      <c r="J10" s="41"/>
      <c r="K10" s="42"/>
      <c r="L10" s="42"/>
      <c r="V10" s="43"/>
      <c r="W10" s="44"/>
      <c r="X10" s="45"/>
      <c r="Y10" s="46"/>
      <c r="Z10" s="39"/>
      <c r="AA10" s="46"/>
    </row>
    <row r="11" spans="1:27" ht="13.8" thickTop="1" x14ac:dyDescent="0.25">
      <c r="A11" s="47">
        <v>0</v>
      </c>
      <c r="B11" s="48"/>
      <c r="C11" s="49" t="s">
        <v>50</v>
      </c>
      <c r="D11" s="47" t="s">
        <v>40</v>
      </c>
      <c r="E11" s="93" t="s">
        <v>37</v>
      </c>
      <c r="F11" s="47">
        <v>0</v>
      </c>
      <c r="G11" s="51">
        <v>6</v>
      </c>
      <c r="H11" s="52">
        <v>0</v>
      </c>
      <c r="I11" s="53">
        <v>1</v>
      </c>
      <c r="J11" s="54" t="s">
        <v>51</v>
      </c>
      <c r="K11" s="55"/>
      <c r="L11" s="54" t="s">
        <v>69</v>
      </c>
      <c r="M11" s="56">
        <f t="shared" ref="M11:M139" si="0">$D$5</f>
        <v>54</v>
      </c>
      <c r="N11" s="56">
        <f t="shared" ref="N11:N139" si="1">$D$4</f>
        <v>4</v>
      </c>
      <c r="O11" s="56">
        <f t="shared" ref="O11:O136" si="2">IF(A11&lt;&gt;"",M11*2^9+A11,"")</f>
        <v>27648</v>
      </c>
      <c r="P11" s="56" t="str">
        <f t="shared" ref="P11:P140" si="3">IF(A11&lt;&gt;"","0x" &amp;DEC2HEX( O11,4),"")</f>
        <v>0x6C00</v>
      </c>
      <c r="Q11" s="57"/>
      <c r="R11" s="57"/>
      <c r="S11" s="58"/>
      <c r="T11" s="58"/>
      <c r="U11" s="58"/>
      <c r="V11" s="12" t="s">
        <v>50</v>
      </c>
      <c r="W11" s="13" t="s">
        <v>52</v>
      </c>
      <c r="X11" s="14">
        <v>0</v>
      </c>
      <c r="Y11" s="12" t="s">
        <v>50</v>
      </c>
      <c r="Z11" s="1" t="s">
        <v>66</v>
      </c>
      <c r="AA11" s="1">
        <v>0</v>
      </c>
    </row>
    <row r="12" spans="1:27" x14ac:dyDescent="0.25">
      <c r="A12" s="47"/>
      <c r="B12" s="48"/>
      <c r="C12" s="54" t="s">
        <v>59</v>
      </c>
      <c r="D12" s="47"/>
      <c r="E12" s="50"/>
      <c r="F12" s="47"/>
      <c r="G12" s="51"/>
      <c r="H12" s="52"/>
      <c r="I12" s="53"/>
      <c r="J12" s="54"/>
      <c r="K12" s="55"/>
      <c r="L12" s="54"/>
      <c r="M12" s="47"/>
      <c r="N12" s="47"/>
      <c r="O12" s="47" t="str">
        <f t="shared" si="2"/>
        <v/>
      </c>
      <c r="P12" s="55" t="str">
        <f t="shared" si="3"/>
        <v/>
      </c>
      <c r="Q12" s="55"/>
      <c r="R12" s="55"/>
      <c r="S12" s="36"/>
      <c r="T12" s="36"/>
      <c r="U12" s="36"/>
      <c r="V12" s="12" t="s">
        <v>50</v>
      </c>
      <c r="W12" s="13" t="s">
        <v>53</v>
      </c>
      <c r="X12" s="14">
        <v>1</v>
      </c>
      <c r="Y12" s="12" t="s">
        <v>50</v>
      </c>
      <c r="Z12" s="1" t="s">
        <v>65</v>
      </c>
      <c r="AA12" s="1">
        <v>1</v>
      </c>
    </row>
    <row r="13" spans="1:27" x14ac:dyDescent="0.25">
      <c r="A13" s="47"/>
      <c r="B13" s="48"/>
      <c r="C13" s="54" t="s">
        <v>59</v>
      </c>
      <c r="D13" s="47"/>
      <c r="E13" s="47"/>
      <c r="F13" s="47"/>
      <c r="G13" s="51"/>
      <c r="H13" s="52"/>
      <c r="I13" s="53"/>
      <c r="J13" s="54"/>
      <c r="K13" s="55"/>
      <c r="L13" s="54"/>
      <c r="M13" s="47"/>
      <c r="N13" s="47"/>
      <c r="O13" s="47" t="str">
        <f t="shared" si="2"/>
        <v/>
      </c>
      <c r="P13" s="55" t="str">
        <f t="shared" si="3"/>
        <v/>
      </c>
      <c r="Q13" s="55"/>
      <c r="R13" s="55"/>
      <c r="S13" s="36"/>
      <c r="T13" s="36"/>
      <c r="U13" s="36"/>
      <c r="V13" s="12" t="s">
        <v>50</v>
      </c>
      <c r="W13" s="13" t="s">
        <v>54</v>
      </c>
      <c r="X13" s="14">
        <v>2</v>
      </c>
    </row>
    <row r="14" spans="1:27" x14ac:dyDescent="0.25">
      <c r="A14" s="47"/>
      <c r="B14" s="48"/>
      <c r="C14" s="54" t="s">
        <v>59</v>
      </c>
      <c r="D14" s="47"/>
      <c r="E14" s="47"/>
      <c r="F14" s="47"/>
      <c r="G14" s="51"/>
      <c r="H14" s="52"/>
      <c r="I14" s="53"/>
      <c r="J14" s="54"/>
      <c r="K14" s="55"/>
      <c r="L14" s="54"/>
      <c r="M14" s="47"/>
      <c r="N14" s="47"/>
      <c r="O14" s="47" t="str">
        <f t="shared" si="2"/>
        <v/>
      </c>
      <c r="P14" s="55" t="str">
        <f t="shared" si="3"/>
        <v/>
      </c>
      <c r="Q14" s="55"/>
      <c r="R14" s="55"/>
      <c r="S14" s="36"/>
      <c r="T14" s="36"/>
      <c r="U14" s="36"/>
      <c r="V14" s="12" t="s">
        <v>50</v>
      </c>
      <c r="W14" s="13" t="s">
        <v>55</v>
      </c>
      <c r="X14" s="14">
        <v>3</v>
      </c>
    </row>
    <row r="15" spans="1:27" x14ac:dyDescent="0.25">
      <c r="A15" s="47"/>
      <c r="B15" s="48"/>
      <c r="C15" s="54" t="s">
        <v>59</v>
      </c>
      <c r="D15" s="47"/>
      <c r="E15" s="47"/>
      <c r="F15" s="47"/>
      <c r="G15" s="51"/>
      <c r="H15" s="51"/>
      <c r="I15" s="53"/>
      <c r="J15" s="54"/>
      <c r="K15" s="55"/>
      <c r="L15" s="54"/>
      <c r="M15" s="47"/>
      <c r="N15" s="47"/>
      <c r="O15" s="47" t="str">
        <f t="shared" si="2"/>
        <v/>
      </c>
      <c r="P15" s="55" t="str">
        <f t="shared" si="3"/>
        <v/>
      </c>
      <c r="Q15" s="55"/>
      <c r="R15" s="55"/>
      <c r="S15" s="36"/>
      <c r="T15" s="36"/>
      <c r="U15" s="36"/>
      <c r="V15" s="12" t="s">
        <v>50</v>
      </c>
      <c r="W15" s="13" t="s">
        <v>56</v>
      </c>
      <c r="X15" s="14">
        <v>4</v>
      </c>
    </row>
    <row r="16" spans="1:27" x14ac:dyDescent="0.25">
      <c r="A16" s="47"/>
      <c r="B16" s="48"/>
      <c r="C16" s="54" t="s">
        <v>59</v>
      </c>
      <c r="D16" s="47"/>
      <c r="E16" s="47"/>
      <c r="F16" s="47"/>
      <c r="G16" s="51"/>
      <c r="H16" s="51"/>
      <c r="I16" s="53"/>
      <c r="J16" s="49"/>
      <c r="K16" s="55"/>
      <c r="L16" s="54"/>
      <c r="M16" s="47"/>
      <c r="N16" s="47"/>
      <c r="O16" s="47" t="str">
        <f t="shared" si="2"/>
        <v/>
      </c>
      <c r="P16" s="55" t="str">
        <f t="shared" si="3"/>
        <v/>
      </c>
      <c r="Q16" s="55"/>
      <c r="R16" s="55"/>
      <c r="S16" s="36"/>
      <c r="T16" s="36"/>
      <c r="U16" s="36"/>
      <c r="V16" s="12" t="s">
        <v>50</v>
      </c>
      <c r="W16" s="13" t="s">
        <v>57</v>
      </c>
      <c r="X16" s="14">
        <v>5</v>
      </c>
    </row>
    <row r="17" spans="1:27" x14ac:dyDescent="0.25">
      <c r="A17" s="47"/>
      <c r="B17" s="48"/>
      <c r="C17" s="54" t="s">
        <v>59</v>
      </c>
      <c r="D17" s="47"/>
      <c r="E17" s="55"/>
      <c r="F17" s="55"/>
      <c r="G17" s="51"/>
      <c r="H17" s="51"/>
      <c r="I17" s="53"/>
      <c r="J17" s="49"/>
      <c r="K17" s="55"/>
      <c r="L17" s="54"/>
      <c r="M17" s="47"/>
      <c r="N17" s="47"/>
      <c r="O17" s="47" t="str">
        <f t="shared" si="2"/>
        <v/>
      </c>
      <c r="P17" s="55" t="str">
        <f t="shared" si="3"/>
        <v/>
      </c>
      <c r="Q17" s="55"/>
      <c r="R17" s="55"/>
      <c r="S17" s="36"/>
      <c r="T17" s="36"/>
      <c r="U17" s="36"/>
      <c r="V17" s="12" t="s">
        <v>50</v>
      </c>
      <c r="W17" s="13" t="s">
        <v>58</v>
      </c>
      <c r="X17" s="14">
        <v>6</v>
      </c>
    </row>
    <row r="18" spans="1:27" x14ac:dyDescent="0.25">
      <c r="A18" s="47">
        <v>1</v>
      </c>
      <c r="B18" s="48"/>
      <c r="C18" s="54" t="s">
        <v>60</v>
      </c>
      <c r="D18" s="47" t="s">
        <v>40</v>
      </c>
      <c r="E18" s="93" t="s">
        <v>37</v>
      </c>
      <c r="F18" s="55">
        <v>0</v>
      </c>
      <c r="G18" s="51">
        <v>6</v>
      </c>
      <c r="H18" s="51">
        <v>0</v>
      </c>
      <c r="I18" s="53">
        <v>1</v>
      </c>
      <c r="J18" s="49" t="s">
        <v>51</v>
      </c>
      <c r="K18" s="55"/>
      <c r="L18" s="49" t="s">
        <v>77</v>
      </c>
      <c r="M18" s="47">
        <f t="shared" si="0"/>
        <v>54</v>
      </c>
      <c r="N18" s="47">
        <f t="shared" si="1"/>
        <v>4</v>
      </c>
      <c r="O18" s="47">
        <f t="shared" si="2"/>
        <v>27649</v>
      </c>
      <c r="P18" s="55" t="str">
        <f t="shared" si="3"/>
        <v>0x6C01</v>
      </c>
      <c r="Q18" s="55"/>
      <c r="R18" s="55"/>
      <c r="S18" s="36"/>
      <c r="T18" s="36"/>
      <c r="U18" s="36"/>
      <c r="V18" s="12" t="s">
        <v>60</v>
      </c>
      <c r="W18" s="13" t="s">
        <v>52</v>
      </c>
      <c r="X18" s="14">
        <v>0</v>
      </c>
      <c r="Y18" s="12" t="s">
        <v>60</v>
      </c>
      <c r="Z18" s="1" t="s">
        <v>67</v>
      </c>
      <c r="AA18" s="1">
        <v>0</v>
      </c>
    </row>
    <row r="19" spans="1:27" x14ac:dyDescent="0.25">
      <c r="A19" s="47"/>
      <c r="B19" s="48"/>
      <c r="C19" s="54" t="s">
        <v>59</v>
      </c>
      <c r="D19" s="47"/>
      <c r="E19" s="55"/>
      <c r="F19" s="47"/>
      <c r="G19" s="52"/>
      <c r="H19" s="51"/>
      <c r="J19" s="49"/>
      <c r="K19" s="55"/>
      <c r="L19" s="49"/>
      <c r="M19" s="47"/>
      <c r="N19" s="47"/>
      <c r="O19" s="47" t="str">
        <f t="shared" si="2"/>
        <v/>
      </c>
      <c r="P19" s="55" t="str">
        <f t="shared" si="3"/>
        <v/>
      </c>
      <c r="Q19" s="55"/>
      <c r="R19" s="55"/>
      <c r="S19" s="36"/>
      <c r="T19" s="36"/>
      <c r="U19" s="36"/>
      <c r="V19" s="12" t="s">
        <v>60</v>
      </c>
      <c r="W19" s="13" t="s">
        <v>53</v>
      </c>
      <c r="X19" s="14">
        <v>1</v>
      </c>
      <c r="Y19" s="12" t="s">
        <v>60</v>
      </c>
      <c r="Z19" s="1" t="s">
        <v>68</v>
      </c>
      <c r="AA19" s="1">
        <v>1</v>
      </c>
    </row>
    <row r="20" spans="1:27" x14ac:dyDescent="0.25">
      <c r="A20" s="47"/>
      <c r="B20" s="48"/>
      <c r="C20" s="54" t="s">
        <v>59</v>
      </c>
      <c r="D20" s="47"/>
      <c r="E20" s="55"/>
      <c r="F20" s="47"/>
      <c r="G20" s="52"/>
      <c r="H20" s="51"/>
      <c r="I20" s="53"/>
      <c r="J20" s="49"/>
      <c r="K20" s="55"/>
      <c r="L20" s="49"/>
      <c r="M20" s="47"/>
      <c r="N20" s="47"/>
      <c r="O20" s="47" t="str">
        <f t="shared" si="2"/>
        <v/>
      </c>
      <c r="P20" s="55" t="str">
        <f t="shared" si="3"/>
        <v/>
      </c>
      <c r="Q20" s="55"/>
      <c r="R20" s="55"/>
      <c r="S20" s="36"/>
      <c r="T20" s="36"/>
      <c r="U20" s="36"/>
      <c r="V20" s="12" t="s">
        <v>60</v>
      </c>
      <c r="W20" s="13" t="s">
        <v>54</v>
      </c>
      <c r="X20" s="14">
        <v>2</v>
      </c>
    </row>
    <row r="21" spans="1:27" x14ac:dyDescent="0.25">
      <c r="A21" s="47"/>
      <c r="B21" s="48"/>
      <c r="C21" s="54" t="s">
        <v>59</v>
      </c>
      <c r="D21" s="47"/>
      <c r="E21" s="55"/>
      <c r="F21" s="47"/>
      <c r="G21" s="52"/>
      <c r="H21" s="51"/>
      <c r="J21" s="49"/>
      <c r="K21" s="55"/>
      <c r="L21" s="49"/>
      <c r="M21" s="47"/>
      <c r="N21" s="47"/>
      <c r="O21" s="47" t="str">
        <f t="shared" si="2"/>
        <v/>
      </c>
      <c r="P21" s="55" t="str">
        <f t="shared" si="3"/>
        <v/>
      </c>
      <c r="Q21" s="55"/>
      <c r="R21" s="55"/>
      <c r="S21" s="36"/>
      <c r="T21" s="36"/>
      <c r="U21" s="36"/>
      <c r="V21" s="12" t="s">
        <v>60</v>
      </c>
      <c r="W21" s="13" t="s">
        <v>55</v>
      </c>
      <c r="X21" s="14">
        <v>3</v>
      </c>
    </row>
    <row r="22" spans="1:27" x14ac:dyDescent="0.25">
      <c r="A22" s="47"/>
      <c r="B22" s="48"/>
      <c r="C22" s="54" t="s">
        <v>59</v>
      </c>
      <c r="D22" s="47"/>
      <c r="E22" s="55"/>
      <c r="F22" s="47"/>
      <c r="G22" s="52"/>
      <c r="H22" s="51"/>
      <c r="J22" s="49"/>
      <c r="K22" s="55"/>
      <c r="L22" s="49"/>
      <c r="M22" s="47"/>
      <c r="N22" s="47"/>
      <c r="O22" s="47" t="str">
        <f t="shared" si="2"/>
        <v/>
      </c>
      <c r="P22" s="55" t="str">
        <f t="shared" si="3"/>
        <v/>
      </c>
      <c r="Q22" s="55"/>
      <c r="R22" s="55"/>
      <c r="S22" s="36"/>
      <c r="T22" s="36"/>
      <c r="U22" s="36"/>
      <c r="V22" s="12" t="s">
        <v>60</v>
      </c>
      <c r="W22" s="13" t="s">
        <v>56</v>
      </c>
      <c r="X22" s="14">
        <v>4</v>
      </c>
    </row>
    <row r="23" spans="1:27" x14ac:dyDescent="0.25">
      <c r="A23" s="47"/>
      <c r="B23" s="48"/>
      <c r="C23" s="54" t="s">
        <v>59</v>
      </c>
      <c r="D23" s="47"/>
      <c r="E23" s="55"/>
      <c r="F23" s="47"/>
      <c r="G23" s="52"/>
      <c r="H23" s="51"/>
      <c r="J23" s="49"/>
      <c r="K23" s="55"/>
      <c r="L23" s="49"/>
      <c r="M23" s="47"/>
      <c r="N23" s="47"/>
      <c r="O23" s="47" t="str">
        <f t="shared" si="2"/>
        <v/>
      </c>
      <c r="P23" s="55" t="str">
        <f t="shared" si="3"/>
        <v/>
      </c>
      <c r="Q23" s="55"/>
      <c r="R23" s="55"/>
      <c r="S23" s="36"/>
      <c r="T23" s="36"/>
      <c r="U23" s="36"/>
      <c r="V23" s="12" t="s">
        <v>60</v>
      </c>
      <c r="W23" s="13" t="s">
        <v>57</v>
      </c>
      <c r="X23" s="14">
        <v>5</v>
      </c>
    </row>
    <row r="24" spans="1:27" x14ac:dyDescent="0.25">
      <c r="A24" s="47"/>
      <c r="B24" s="48"/>
      <c r="C24" s="54" t="s">
        <v>59</v>
      </c>
      <c r="D24" s="47"/>
      <c r="E24" s="55"/>
      <c r="F24" s="47"/>
      <c r="G24" s="52"/>
      <c r="H24" s="51"/>
      <c r="J24" s="49"/>
      <c r="K24" s="55"/>
      <c r="L24" s="49"/>
      <c r="M24" s="47"/>
      <c r="N24" s="47"/>
      <c r="O24" s="47" t="str">
        <f t="shared" si="2"/>
        <v/>
      </c>
      <c r="P24" s="55" t="str">
        <f t="shared" si="3"/>
        <v/>
      </c>
      <c r="Q24" s="55"/>
      <c r="R24" s="55"/>
      <c r="S24" s="36"/>
      <c r="T24" s="36"/>
      <c r="U24" s="36"/>
      <c r="V24" s="12" t="s">
        <v>60</v>
      </c>
      <c r="W24" s="13" t="s">
        <v>58</v>
      </c>
      <c r="X24" s="14">
        <v>6</v>
      </c>
    </row>
    <row r="25" spans="1:27" x14ac:dyDescent="0.25">
      <c r="A25" s="47">
        <v>2</v>
      </c>
      <c r="B25" s="48"/>
      <c r="C25" s="54" t="s">
        <v>61</v>
      </c>
      <c r="D25" s="47" t="s">
        <v>40</v>
      </c>
      <c r="E25" s="92" t="s">
        <v>35</v>
      </c>
      <c r="F25" s="47">
        <v>0</v>
      </c>
      <c r="G25" s="52">
        <v>6</v>
      </c>
      <c r="H25" s="51">
        <v>0</v>
      </c>
      <c r="I25" s="59">
        <v>1</v>
      </c>
      <c r="J25" s="49" t="s">
        <v>51</v>
      </c>
      <c r="K25" s="55"/>
      <c r="L25" s="49" t="s">
        <v>78</v>
      </c>
      <c r="M25" s="47">
        <f t="shared" si="0"/>
        <v>54</v>
      </c>
      <c r="N25" s="47">
        <f t="shared" si="1"/>
        <v>4</v>
      </c>
      <c r="O25" s="47">
        <f t="shared" ref="O25:O30" si="4">IF(A25&lt;&gt;"",M25*2^9+A25,"")</f>
        <v>27650</v>
      </c>
      <c r="P25" s="55" t="str">
        <f t="shared" ref="P25:P73" si="5">IF(A25&lt;&gt;"","0x" &amp;DEC2HEX( O25,4),"")</f>
        <v>0x6C02</v>
      </c>
      <c r="Q25" s="55"/>
      <c r="R25" s="55"/>
      <c r="S25" s="36"/>
      <c r="T25" s="36"/>
      <c r="U25" s="36"/>
      <c r="V25" s="12" t="s">
        <v>61</v>
      </c>
      <c r="W25" s="13" t="s">
        <v>52</v>
      </c>
      <c r="X25" s="14">
        <v>0</v>
      </c>
    </row>
    <row r="26" spans="1:27" x14ac:dyDescent="0.25">
      <c r="A26" s="47"/>
      <c r="B26" s="48"/>
      <c r="C26" s="54" t="s">
        <v>59</v>
      </c>
      <c r="D26" s="47"/>
      <c r="E26" s="55"/>
      <c r="F26" s="47"/>
      <c r="G26" s="52"/>
      <c r="H26" s="51"/>
      <c r="J26" s="49"/>
      <c r="K26" s="55"/>
      <c r="L26" s="49"/>
      <c r="M26" s="47"/>
      <c r="N26" s="47"/>
      <c r="O26" s="47" t="str">
        <f t="shared" si="4"/>
        <v/>
      </c>
      <c r="P26" s="55" t="str">
        <f t="shared" si="5"/>
        <v/>
      </c>
      <c r="Q26" s="55"/>
      <c r="R26" s="55"/>
      <c r="S26" s="36"/>
      <c r="T26" s="36"/>
      <c r="U26" s="36"/>
      <c r="V26" s="12" t="s">
        <v>61</v>
      </c>
      <c r="W26" s="13" t="s">
        <v>53</v>
      </c>
      <c r="X26" s="14">
        <v>1</v>
      </c>
    </row>
    <row r="27" spans="1:27" x14ac:dyDescent="0.25">
      <c r="A27" s="47"/>
      <c r="B27" s="48"/>
      <c r="C27" s="54" t="s">
        <v>59</v>
      </c>
      <c r="D27" s="47"/>
      <c r="E27" s="55"/>
      <c r="F27" s="52"/>
      <c r="G27" s="52"/>
      <c r="H27" s="51"/>
      <c r="I27" s="60"/>
      <c r="J27" s="49"/>
      <c r="K27" s="55"/>
      <c r="L27" s="49"/>
      <c r="M27" s="47"/>
      <c r="N27" s="47"/>
      <c r="O27" s="47" t="str">
        <f t="shared" si="4"/>
        <v/>
      </c>
      <c r="P27" s="55" t="str">
        <f t="shared" si="5"/>
        <v/>
      </c>
      <c r="Q27" s="55"/>
      <c r="R27" s="55"/>
      <c r="S27" s="36"/>
      <c r="T27" s="36"/>
      <c r="U27" s="36"/>
      <c r="V27" s="12" t="s">
        <v>61</v>
      </c>
      <c r="W27" s="13" t="s">
        <v>54</v>
      </c>
      <c r="X27" s="14">
        <v>2</v>
      </c>
    </row>
    <row r="28" spans="1:27" x14ac:dyDescent="0.25">
      <c r="A28" s="47"/>
      <c r="B28" s="48"/>
      <c r="C28" s="54" t="s">
        <v>59</v>
      </c>
      <c r="D28" s="47"/>
      <c r="E28" s="55"/>
      <c r="F28" s="51"/>
      <c r="G28" s="51"/>
      <c r="H28" s="51"/>
      <c r="I28" s="60"/>
      <c r="J28" s="49"/>
      <c r="K28" s="55"/>
      <c r="L28" s="49"/>
      <c r="M28" s="47"/>
      <c r="N28" s="47"/>
      <c r="O28" s="47" t="str">
        <f t="shared" si="4"/>
        <v/>
      </c>
      <c r="P28" s="55" t="str">
        <f t="shared" si="5"/>
        <v/>
      </c>
      <c r="Q28" s="55"/>
      <c r="R28" s="55"/>
      <c r="S28" s="36"/>
      <c r="T28" s="36"/>
      <c r="U28" s="36"/>
      <c r="V28" s="12" t="s">
        <v>61</v>
      </c>
      <c r="W28" s="13" t="s">
        <v>55</v>
      </c>
      <c r="X28" s="14">
        <v>3</v>
      </c>
    </row>
    <row r="29" spans="1:27" x14ac:dyDescent="0.25">
      <c r="A29" s="47"/>
      <c r="B29" s="48"/>
      <c r="C29" s="54" t="s">
        <v>59</v>
      </c>
      <c r="D29" s="47"/>
      <c r="E29" s="55"/>
      <c r="F29" s="51"/>
      <c r="G29" s="51"/>
      <c r="H29" s="51"/>
      <c r="I29" s="61"/>
      <c r="J29" s="49"/>
      <c r="K29" s="55"/>
      <c r="L29" s="49"/>
      <c r="M29" s="47"/>
      <c r="N29" s="47"/>
      <c r="O29" s="47" t="str">
        <f t="shared" si="4"/>
        <v/>
      </c>
      <c r="P29" s="55" t="str">
        <f t="shared" si="5"/>
        <v/>
      </c>
      <c r="Q29" s="55"/>
      <c r="R29" s="55"/>
      <c r="S29" s="36"/>
      <c r="T29" s="36"/>
      <c r="U29" s="36"/>
      <c r="V29" s="12" t="s">
        <v>61</v>
      </c>
      <c r="W29" s="13" t="s">
        <v>56</v>
      </c>
      <c r="X29" s="14">
        <v>4</v>
      </c>
    </row>
    <row r="30" spans="1:27" x14ac:dyDescent="0.25">
      <c r="A30" s="47"/>
      <c r="B30" s="48"/>
      <c r="C30" s="54" t="s">
        <v>59</v>
      </c>
      <c r="D30" s="47"/>
      <c r="E30" s="55"/>
      <c r="F30" s="51"/>
      <c r="G30" s="51"/>
      <c r="H30" s="51"/>
      <c r="I30" s="62"/>
      <c r="J30" s="49"/>
      <c r="K30" s="55"/>
      <c r="L30" s="49"/>
      <c r="M30" s="47"/>
      <c r="N30" s="47"/>
      <c r="O30" s="47" t="str">
        <f t="shared" si="4"/>
        <v/>
      </c>
      <c r="P30" s="55" t="str">
        <f t="shared" si="5"/>
        <v/>
      </c>
      <c r="Q30" s="55"/>
      <c r="R30" s="55"/>
      <c r="S30" s="36"/>
      <c r="T30" s="36"/>
      <c r="U30" s="36"/>
      <c r="V30" s="12" t="s">
        <v>61</v>
      </c>
      <c r="W30" s="13" t="s">
        <v>57</v>
      </c>
      <c r="X30" s="14">
        <v>5</v>
      </c>
    </row>
    <row r="31" spans="1:27" x14ac:dyDescent="0.25">
      <c r="A31" s="47"/>
      <c r="B31" s="48"/>
      <c r="C31" s="54" t="s">
        <v>59</v>
      </c>
      <c r="D31" s="47"/>
      <c r="E31" s="55"/>
      <c r="F31" s="55"/>
      <c r="G31" s="51"/>
      <c r="H31" s="51"/>
      <c r="J31" s="63"/>
      <c r="K31" s="64"/>
      <c r="L31" s="49"/>
      <c r="M31" s="47"/>
      <c r="N31" s="47"/>
      <c r="O31" s="47" t="str">
        <f>IF(A31&lt;&gt;"",M31*2^9+A31,"")</f>
        <v/>
      </c>
      <c r="P31" s="55" t="str">
        <f t="shared" si="5"/>
        <v/>
      </c>
      <c r="Q31" s="55"/>
      <c r="R31" s="55"/>
      <c r="S31" s="36"/>
      <c r="T31" s="36"/>
      <c r="U31" s="36"/>
      <c r="V31" s="12" t="s">
        <v>61</v>
      </c>
      <c r="W31" s="13" t="s">
        <v>58</v>
      </c>
      <c r="X31" s="14">
        <v>6</v>
      </c>
    </row>
    <row r="32" spans="1:27" x14ac:dyDescent="0.25">
      <c r="A32" s="47">
        <v>3</v>
      </c>
      <c r="B32" s="48"/>
      <c r="C32" s="54" t="s">
        <v>62</v>
      </c>
      <c r="D32" s="47" t="s">
        <v>40</v>
      </c>
      <c r="E32" s="92" t="s">
        <v>35</v>
      </c>
      <c r="F32" s="47">
        <v>0</v>
      </c>
      <c r="G32" s="52">
        <v>6</v>
      </c>
      <c r="H32" s="51">
        <v>0</v>
      </c>
      <c r="I32" s="59">
        <v>1</v>
      </c>
      <c r="J32" s="49" t="s">
        <v>51</v>
      </c>
      <c r="K32" s="55"/>
      <c r="L32" s="49" t="s">
        <v>78</v>
      </c>
      <c r="M32" s="47">
        <f t="shared" si="0"/>
        <v>54</v>
      </c>
      <c r="N32" s="47">
        <f t="shared" si="1"/>
        <v>4</v>
      </c>
      <c r="O32" s="47">
        <f t="shared" ref="O32:O37" si="6">IF(A32&lt;&gt;"",M32*2^9+A32,"")</f>
        <v>27651</v>
      </c>
      <c r="P32" s="55" t="str">
        <f t="shared" ref="P32:P45" si="7">IF(A32&lt;&gt;"","0x" &amp;DEC2HEX( O32,4),"")</f>
        <v>0x6C03</v>
      </c>
      <c r="Q32" s="55"/>
      <c r="R32" s="55"/>
      <c r="S32" s="36"/>
      <c r="T32" s="36"/>
      <c r="U32" s="36"/>
      <c r="V32" s="12" t="s">
        <v>62</v>
      </c>
      <c r="W32" s="13" t="s">
        <v>52</v>
      </c>
      <c r="X32" s="14">
        <v>0</v>
      </c>
    </row>
    <row r="33" spans="1:24" x14ac:dyDescent="0.25">
      <c r="A33" s="47"/>
      <c r="B33" s="48"/>
      <c r="C33" s="54" t="s">
        <v>59</v>
      </c>
      <c r="D33" s="47"/>
      <c r="E33" s="55"/>
      <c r="F33" s="47"/>
      <c r="G33" s="52"/>
      <c r="H33" s="51"/>
      <c r="J33" s="49"/>
      <c r="K33" s="55"/>
      <c r="L33" s="49"/>
      <c r="M33" s="47"/>
      <c r="N33" s="47"/>
      <c r="O33" s="47" t="str">
        <f t="shared" si="6"/>
        <v/>
      </c>
      <c r="P33" s="55" t="str">
        <f t="shared" si="7"/>
        <v/>
      </c>
      <c r="Q33" s="55"/>
      <c r="R33" s="55"/>
      <c r="S33" s="36"/>
      <c r="T33" s="36"/>
      <c r="U33" s="36"/>
      <c r="V33" s="12" t="s">
        <v>62</v>
      </c>
      <c r="W33" s="13" t="s">
        <v>53</v>
      </c>
      <c r="X33" s="14">
        <v>1</v>
      </c>
    </row>
    <row r="34" spans="1:24" x14ac:dyDescent="0.25">
      <c r="A34" s="47"/>
      <c r="B34" s="48"/>
      <c r="C34" s="54" t="s">
        <v>59</v>
      </c>
      <c r="D34" s="47"/>
      <c r="E34" s="55"/>
      <c r="F34" s="52"/>
      <c r="G34" s="52"/>
      <c r="H34" s="51"/>
      <c r="I34" s="60"/>
      <c r="J34" s="49"/>
      <c r="K34" s="55"/>
      <c r="L34" s="49"/>
      <c r="M34" s="47"/>
      <c r="N34" s="47"/>
      <c r="O34" s="47" t="str">
        <f t="shared" si="6"/>
        <v/>
      </c>
      <c r="P34" s="55" t="str">
        <f t="shared" si="7"/>
        <v/>
      </c>
      <c r="Q34" s="55"/>
      <c r="R34" s="55"/>
      <c r="S34" s="36"/>
      <c r="T34" s="36"/>
      <c r="U34" s="36"/>
      <c r="V34" s="12" t="s">
        <v>62</v>
      </c>
      <c r="W34" s="13" t="s">
        <v>54</v>
      </c>
      <c r="X34" s="14">
        <v>2</v>
      </c>
    </row>
    <row r="35" spans="1:24" x14ac:dyDescent="0.25">
      <c r="A35" s="47"/>
      <c r="B35" s="48"/>
      <c r="C35" s="54" t="s">
        <v>59</v>
      </c>
      <c r="D35" s="47"/>
      <c r="E35" s="55"/>
      <c r="F35" s="51"/>
      <c r="G35" s="51"/>
      <c r="H35" s="51"/>
      <c r="I35" s="60"/>
      <c r="J35" s="49"/>
      <c r="K35" s="55"/>
      <c r="L35" s="49"/>
      <c r="M35" s="47"/>
      <c r="N35" s="47"/>
      <c r="O35" s="47" t="str">
        <f t="shared" si="6"/>
        <v/>
      </c>
      <c r="P35" s="55" t="str">
        <f t="shared" si="7"/>
        <v/>
      </c>
      <c r="Q35" s="55"/>
      <c r="R35" s="55"/>
      <c r="S35" s="36"/>
      <c r="T35" s="36"/>
      <c r="U35" s="36"/>
      <c r="V35" s="12" t="s">
        <v>62</v>
      </c>
      <c r="W35" s="13" t="s">
        <v>55</v>
      </c>
      <c r="X35" s="14">
        <v>3</v>
      </c>
    </row>
    <row r="36" spans="1:24" x14ac:dyDescent="0.25">
      <c r="A36" s="47"/>
      <c r="B36" s="48"/>
      <c r="C36" s="54" t="s">
        <v>59</v>
      </c>
      <c r="D36" s="47"/>
      <c r="E36" s="55"/>
      <c r="F36" s="51"/>
      <c r="G36" s="51"/>
      <c r="H36" s="51"/>
      <c r="I36" s="61"/>
      <c r="J36" s="49"/>
      <c r="K36" s="55"/>
      <c r="L36" s="49"/>
      <c r="M36" s="47"/>
      <c r="N36" s="47"/>
      <c r="O36" s="47" t="str">
        <f t="shared" si="6"/>
        <v/>
      </c>
      <c r="P36" s="55" t="str">
        <f t="shared" si="7"/>
        <v/>
      </c>
      <c r="Q36" s="55"/>
      <c r="R36" s="55"/>
      <c r="S36" s="36"/>
      <c r="T36" s="36"/>
      <c r="U36" s="36"/>
      <c r="V36" s="12" t="s">
        <v>62</v>
      </c>
      <c r="W36" s="13" t="s">
        <v>56</v>
      </c>
      <c r="X36" s="14">
        <v>4</v>
      </c>
    </row>
    <row r="37" spans="1:24" x14ac:dyDescent="0.25">
      <c r="A37" s="47"/>
      <c r="B37" s="48"/>
      <c r="C37" s="54" t="s">
        <v>59</v>
      </c>
      <c r="D37" s="47"/>
      <c r="E37" s="55"/>
      <c r="F37" s="51"/>
      <c r="G37" s="51"/>
      <c r="H37" s="51"/>
      <c r="I37" s="62"/>
      <c r="J37" s="49"/>
      <c r="K37" s="55"/>
      <c r="L37" s="49"/>
      <c r="M37" s="47"/>
      <c r="N37" s="47"/>
      <c r="O37" s="47" t="str">
        <f t="shared" si="6"/>
        <v/>
      </c>
      <c r="P37" s="55" t="str">
        <f t="shared" si="7"/>
        <v/>
      </c>
      <c r="Q37" s="55"/>
      <c r="R37" s="55"/>
      <c r="S37" s="36"/>
      <c r="T37" s="36"/>
      <c r="U37" s="36"/>
      <c r="V37" s="12" t="s">
        <v>62</v>
      </c>
      <c r="W37" s="13" t="s">
        <v>57</v>
      </c>
      <c r="X37" s="14">
        <v>5</v>
      </c>
    </row>
    <row r="38" spans="1:24" x14ac:dyDescent="0.25">
      <c r="A38" s="47"/>
      <c r="B38" s="48"/>
      <c r="C38" s="54" t="s">
        <v>59</v>
      </c>
      <c r="D38" s="47"/>
      <c r="E38" s="55"/>
      <c r="F38" s="55"/>
      <c r="G38" s="51"/>
      <c r="H38" s="51"/>
      <c r="J38" s="63"/>
      <c r="K38" s="64"/>
      <c r="L38" s="49"/>
      <c r="M38" s="47"/>
      <c r="N38" s="47"/>
      <c r="O38" s="47" t="str">
        <f>IF(A38&lt;&gt;"",M38*2^9+A38,"")</f>
        <v/>
      </c>
      <c r="P38" s="55" t="str">
        <f t="shared" si="7"/>
        <v/>
      </c>
      <c r="Q38" s="55"/>
      <c r="R38" s="55"/>
      <c r="S38" s="36"/>
      <c r="T38" s="36"/>
      <c r="U38" s="36"/>
      <c r="V38" s="12" t="s">
        <v>62</v>
      </c>
      <c r="W38" s="13" t="s">
        <v>58</v>
      </c>
      <c r="X38" s="14">
        <v>6</v>
      </c>
    </row>
    <row r="39" spans="1:24" x14ac:dyDescent="0.25">
      <c r="A39" s="47">
        <v>4</v>
      </c>
      <c r="B39" s="48"/>
      <c r="C39" s="54" t="s">
        <v>63</v>
      </c>
      <c r="D39" s="47" t="s">
        <v>40</v>
      </c>
      <c r="E39" s="92" t="s">
        <v>35</v>
      </c>
      <c r="F39" s="47">
        <v>0</v>
      </c>
      <c r="G39" s="52">
        <v>6</v>
      </c>
      <c r="H39" s="51">
        <v>0</v>
      </c>
      <c r="I39" s="59">
        <v>1</v>
      </c>
      <c r="J39" s="49" t="s">
        <v>51</v>
      </c>
      <c r="K39" s="55"/>
      <c r="L39" s="49" t="s">
        <v>78</v>
      </c>
      <c r="M39" s="47">
        <f t="shared" si="0"/>
        <v>54</v>
      </c>
      <c r="N39" s="47">
        <f t="shared" si="1"/>
        <v>4</v>
      </c>
      <c r="O39" s="47">
        <f t="shared" ref="O39:O44" si="8">IF(A39&lt;&gt;"",M39*2^9+A39,"")</f>
        <v>27652</v>
      </c>
      <c r="P39" s="55" t="str">
        <f t="shared" si="7"/>
        <v>0x6C04</v>
      </c>
      <c r="Q39" s="55"/>
      <c r="R39" s="55"/>
      <c r="S39" s="36"/>
      <c r="T39" s="36"/>
      <c r="U39" s="36"/>
      <c r="V39" s="12" t="s">
        <v>63</v>
      </c>
      <c r="W39" s="13" t="s">
        <v>52</v>
      </c>
      <c r="X39" s="14">
        <v>0</v>
      </c>
    </row>
    <row r="40" spans="1:24" x14ac:dyDescent="0.25">
      <c r="A40" s="47"/>
      <c r="B40" s="48"/>
      <c r="C40" s="54" t="s">
        <v>59</v>
      </c>
      <c r="D40" s="47"/>
      <c r="E40" s="55"/>
      <c r="F40" s="47"/>
      <c r="G40" s="52"/>
      <c r="H40" s="51"/>
      <c r="J40" s="49"/>
      <c r="K40" s="55"/>
      <c r="L40" s="49"/>
      <c r="M40" s="47"/>
      <c r="N40" s="47"/>
      <c r="O40" s="47" t="str">
        <f t="shared" si="8"/>
        <v/>
      </c>
      <c r="P40" s="55" t="str">
        <f t="shared" si="7"/>
        <v/>
      </c>
      <c r="Q40" s="55"/>
      <c r="R40" s="55"/>
      <c r="S40" s="36"/>
      <c r="T40" s="36"/>
      <c r="U40" s="36"/>
      <c r="V40" s="12" t="s">
        <v>63</v>
      </c>
      <c r="W40" s="13" t="s">
        <v>53</v>
      </c>
      <c r="X40" s="14">
        <v>1</v>
      </c>
    </row>
    <row r="41" spans="1:24" x14ac:dyDescent="0.25">
      <c r="A41" s="47"/>
      <c r="B41" s="48"/>
      <c r="C41" s="54" t="s">
        <v>59</v>
      </c>
      <c r="D41" s="47"/>
      <c r="E41" s="55"/>
      <c r="F41" s="52"/>
      <c r="G41" s="52"/>
      <c r="H41" s="51"/>
      <c r="I41" s="60"/>
      <c r="J41" s="49"/>
      <c r="K41" s="55"/>
      <c r="L41" s="49"/>
      <c r="M41" s="47"/>
      <c r="N41" s="47"/>
      <c r="O41" s="47" t="str">
        <f t="shared" si="8"/>
        <v/>
      </c>
      <c r="P41" s="55" t="str">
        <f t="shared" si="7"/>
        <v/>
      </c>
      <c r="Q41" s="55"/>
      <c r="R41" s="55"/>
      <c r="S41" s="36"/>
      <c r="T41" s="36"/>
      <c r="U41" s="36"/>
      <c r="V41" s="12" t="s">
        <v>63</v>
      </c>
      <c r="W41" s="13" t="s">
        <v>54</v>
      </c>
      <c r="X41" s="14">
        <v>2</v>
      </c>
    </row>
    <row r="42" spans="1:24" x14ac:dyDescent="0.25">
      <c r="A42" s="47"/>
      <c r="B42" s="48"/>
      <c r="C42" s="54" t="s">
        <v>59</v>
      </c>
      <c r="D42" s="47"/>
      <c r="E42" s="55"/>
      <c r="F42" s="51"/>
      <c r="G42" s="51"/>
      <c r="H42" s="51"/>
      <c r="I42" s="60"/>
      <c r="J42" s="49"/>
      <c r="K42" s="55"/>
      <c r="L42" s="49"/>
      <c r="M42" s="47"/>
      <c r="N42" s="47"/>
      <c r="O42" s="47" t="str">
        <f t="shared" si="8"/>
        <v/>
      </c>
      <c r="P42" s="55" t="str">
        <f t="shared" si="7"/>
        <v/>
      </c>
      <c r="Q42" s="55"/>
      <c r="R42" s="55"/>
      <c r="S42" s="36"/>
      <c r="T42" s="36"/>
      <c r="U42" s="36"/>
      <c r="V42" s="12" t="s">
        <v>63</v>
      </c>
      <c r="W42" s="13" t="s">
        <v>55</v>
      </c>
      <c r="X42" s="14">
        <v>3</v>
      </c>
    </row>
    <row r="43" spans="1:24" x14ac:dyDescent="0.25">
      <c r="A43" s="47"/>
      <c r="B43" s="48"/>
      <c r="C43" s="54" t="s">
        <v>59</v>
      </c>
      <c r="D43" s="47"/>
      <c r="E43" s="55"/>
      <c r="F43" s="51"/>
      <c r="G43" s="51"/>
      <c r="H43" s="51"/>
      <c r="I43" s="61"/>
      <c r="J43" s="49"/>
      <c r="K43" s="55"/>
      <c r="L43" s="49"/>
      <c r="M43" s="47"/>
      <c r="N43" s="47"/>
      <c r="O43" s="47" t="str">
        <f t="shared" si="8"/>
        <v/>
      </c>
      <c r="P43" s="55" t="str">
        <f t="shared" si="7"/>
        <v/>
      </c>
      <c r="Q43" s="55"/>
      <c r="R43" s="55"/>
      <c r="S43" s="36"/>
      <c r="T43" s="36"/>
      <c r="U43" s="36"/>
      <c r="V43" s="12" t="s">
        <v>63</v>
      </c>
      <c r="W43" s="13" t="s">
        <v>56</v>
      </c>
      <c r="X43" s="14">
        <v>4</v>
      </c>
    </row>
    <row r="44" spans="1:24" x14ac:dyDescent="0.25">
      <c r="A44" s="47"/>
      <c r="B44" s="48"/>
      <c r="C44" s="54" t="s">
        <v>59</v>
      </c>
      <c r="D44" s="47"/>
      <c r="E44" s="55"/>
      <c r="F44" s="51"/>
      <c r="G44" s="51"/>
      <c r="H44" s="51"/>
      <c r="I44" s="62"/>
      <c r="J44" s="49"/>
      <c r="K44" s="55"/>
      <c r="L44" s="49"/>
      <c r="M44" s="47"/>
      <c r="N44" s="47"/>
      <c r="O44" s="47" t="str">
        <f t="shared" si="8"/>
        <v/>
      </c>
      <c r="P44" s="55" t="str">
        <f t="shared" si="7"/>
        <v/>
      </c>
      <c r="Q44" s="55"/>
      <c r="R44" s="55"/>
      <c r="S44" s="36"/>
      <c r="T44" s="36"/>
      <c r="U44" s="36"/>
      <c r="V44" s="12" t="s">
        <v>63</v>
      </c>
      <c r="W44" s="13" t="s">
        <v>57</v>
      </c>
      <c r="X44" s="14">
        <v>5</v>
      </c>
    </row>
    <row r="45" spans="1:24" x14ac:dyDescent="0.25">
      <c r="A45" s="47"/>
      <c r="B45" s="48"/>
      <c r="C45" s="54" t="s">
        <v>59</v>
      </c>
      <c r="D45" s="47"/>
      <c r="E45" s="55"/>
      <c r="F45" s="55"/>
      <c r="G45" s="51"/>
      <c r="H45" s="51"/>
      <c r="J45" s="63"/>
      <c r="K45" s="64"/>
      <c r="L45" s="49"/>
      <c r="M45" s="47"/>
      <c r="N45" s="47"/>
      <c r="O45" s="47" t="str">
        <f>IF(A45&lt;&gt;"",M45*2^9+A45,"")</f>
        <v/>
      </c>
      <c r="P45" s="55" t="str">
        <f t="shared" si="7"/>
        <v/>
      </c>
      <c r="Q45" s="55"/>
      <c r="R45" s="55"/>
      <c r="S45" s="36"/>
      <c r="T45" s="36"/>
      <c r="U45" s="36"/>
      <c r="V45" s="12" t="s">
        <v>63</v>
      </c>
      <c r="W45" s="13" t="s">
        <v>58</v>
      </c>
      <c r="X45" s="14">
        <v>6</v>
      </c>
    </row>
    <row r="46" spans="1:24" x14ac:dyDescent="0.25">
      <c r="A46" s="47">
        <v>5</v>
      </c>
      <c r="B46" s="48"/>
      <c r="C46" s="54" t="s">
        <v>64</v>
      </c>
      <c r="D46" s="47" t="s">
        <v>40</v>
      </c>
      <c r="E46" s="92" t="s">
        <v>35</v>
      </c>
      <c r="F46" s="47">
        <v>0</v>
      </c>
      <c r="G46" s="52">
        <v>6</v>
      </c>
      <c r="H46" s="51">
        <v>0</v>
      </c>
      <c r="I46" s="59">
        <v>1</v>
      </c>
      <c r="J46" s="49" t="s">
        <v>51</v>
      </c>
      <c r="K46" s="55"/>
      <c r="L46" s="49" t="s">
        <v>78</v>
      </c>
      <c r="M46" s="47">
        <f t="shared" si="0"/>
        <v>54</v>
      </c>
      <c r="N46" s="47">
        <f t="shared" si="1"/>
        <v>4</v>
      </c>
      <c r="O46" s="47">
        <f t="shared" ref="O46:O51" si="9">IF(A46&lt;&gt;"",M46*2^9+A46,"")</f>
        <v>27653</v>
      </c>
      <c r="P46" s="55" t="str">
        <f t="shared" ref="P46:P52" si="10">IF(A46&lt;&gt;"","0x" &amp;DEC2HEX( O46,4),"")</f>
        <v>0x6C05</v>
      </c>
      <c r="Q46" s="55"/>
      <c r="R46" s="55"/>
      <c r="S46" s="36"/>
      <c r="T46" s="36"/>
      <c r="U46" s="36"/>
      <c r="V46" s="12" t="s">
        <v>64</v>
      </c>
      <c r="W46" s="13" t="s">
        <v>52</v>
      </c>
      <c r="X46" s="14">
        <v>0</v>
      </c>
    </row>
    <row r="47" spans="1:24" x14ac:dyDescent="0.25">
      <c r="A47" s="47"/>
      <c r="B47" s="48"/>
      <c r="C47" s="54" t="s">
        <v>59</v>
      </c>
      <c r="D47" s="47"/>
      <c r="E47" s="55"/>
      <c r="F47" s="47"/>
      <c r="G47" s="52"/>
      <c r="H47" s="51"/>
      <c r="J47" s="49"/>
      <c r="K47" s="55"/>
      <c r="L47" s="49"/>
      <c r="M47" s="47"/>
      <c r="N47" s="47"/>
      <c r="O47" s="47" t="str">
        <f t="shared" si="9"/>
        <v/>
      </c>
      <c r="P47" s="55" t="str">
        <f t="shared" si="10"/>
        <v/>
      </c>
      <c r="Q47" s="55"/>
      <c r="R47" s="55"/>
      <c r="S47" s="36"/>
      <c r="T47" s="36"/>
      <c r="U47" s="36"/>
      <c r="V47" s="12" t="s">
        <v>64</v>
      </c>
      <c r="W47" s="13" t="s">
        <v>53</v>
      </c>
      <c r="X47" s="14">
        <v>1</v>
      </c>
    </row>
    <row r="48" spans="1:24" x14ac:dyDescent="0.25">
      <c r="A48" s="47"/>
      <c r="B48" s="48"/>
      <c r="C48" s="54" t="s">
        <v>59</v>
      </c>
      <c r="D48" s="47"/>
      <c r="E48" s="55"/>
      <c r="F48" s="52"/>
      <c r="G48" s="52"/>
      <c r="H48" s="51"/>
      <c r="I48" s="60"/>
      <c r="J48" s="49"/>
      <c r="K48" s="55"/>
      <c r="L48" s="49"/>
      <c r="M48" s="47"/>
      <c r="N48" s="47"/>
      <c r="O48" s="47" t="str">
        <f t="shared" si="9"/>
        <v/>
      </c>
      <c r="P48" s="55" t="str">
        <f t="shared" si="10"/>
        <v/>
      </c>
      <c r="Q48" s="55"/>
      <c r="R48" s="55"/>
      <c r="S48" s="36"/>
      <c r="T48" s="36"/>
      <c r="U48" s="36"/>
      <c r="V48" s="12" t="s">
        <v>64</v>
      </c>
      <c r="W48" s="13" t="s">
        <v>54</v>
      </c>
      <c r="X48" s="14">
        <v>2</v>
      </c>
    </row>
    <row r="49" spans="1:27" x14ac:dyDescent="0.25">
      <c r="A49" s="47"/>
      <c r="B49" s="48"/>
      <c r="C49" s="54" t="s">
        <v>59</v>
      </c>
      <c r="D49" s="47"/>
      <c r="E49" s="55"/>
      <c r="F49" s="51"/>
      <c r="G49" s="51"/>
      <c r="H49" s="51"/>
      <c r="I49" s="60"/>
      <c r="J49" s="49"/>
      <c r="K49" s="55"/>
      <c r="L49" s="49"/>
      <c r="M49" s="47"/>
      <c r="N49" s="47"/>
      <c r="O49" s="47" t="str">
        <f t="shared" si="9"/>
        <v/>
      </c>
      <c r="P49" s="55" t="str">
        <f t="shared" si="10"/>
        <v/>
      </c>
      <c r="Q49" s="55"/>
      <c r="R49" s="55"/>
      <c r="S49" s="36"/>
      <c r="T49" s="36"/>
      <c r="U49" s="36"/>
      <c r="V49" s="12" t="s">
        <v>64</v>
      </c>
      <c r="W49" s="13" t="s">
        <v>55</v>
      </c>
      <c r="X49" s="14">
        <v>3</v>
      </c>
    </row>
    <row r="50" spans="1:27" x14ac:dyDescent="0.25">
      <c r="A50" s="47"/>
      <c r="B50" s="48"/>
      <c r="C50" s="54" t="s">
        <v>59</v>
      </c>
      <c r="D50" s="47"/>
      <c r="E50" s="55"/>
      <c r="F50" s="51"/>
      <c r="G50" s="51"/>
      <c r="H50" s="51"/>
      <c r="I50" s="61"/>
      <c r="J50" s="49"/>
      <c r="K50" s="55"/>
      <c r="L50" s="49"/>
      <c r="M50" s="47"/>
      <c r="N50" s="47"/>
      <c r="O50" s="47" t="str">
        <f t="shared" si="9"/>
        <v/>
      </c>
      <c r="P50" s="55" t="str">
        <f t="shared" si="10"/>
        <v/>
      </c>
      <c r="Q50" s="55"/>
      <c r="R50" s="55"/>
      <c r="S50" s="36"/>
      <c r="T50" s="36"/>
      <c r="U50" s="36"/>
      <c r="V50" s="12" t="s">
        <v>64</v>
      </c>
      <c r="W50" s="13" t="s">
        <v>56</v>
      </c>
      <c r="X50" s="14">
        <v>4</v>
      </c>
    </row>
    <row r="51" spans="1:27" x14ac:dyDescent="0.25">
      <c r="A51" s="47"/>
      <c r="B51" s="48"/>
      <c r="C51" s="54" t="s">
        <v>59</v>
      </c>
      <c r="D51" s="47"/>
      <c r="E51" s="55"/>
      <c r="F51" s="51"/>
      <c r="G51" s="51"/>
      <c r="H51" s="51"/>
      <c r="I51" s="62"/>
      <c r="J51" s="49"/>
      <c r="K51" s="55"/>
      <c r="L51" s="49"/>
      <c r="M51" s="47"/>
      <c r="N51" s="47"/>
      <c r="O51" s="47" t="str">
        <f t="shared" si="9"/>
        <v/>
      </c>
      <c r="P51" s="55" t="str">
        <f t="shared" si="10"/>
        <v/>
      </c>
      <c r="Q51" s="55"/>
      <c r="R51" s="55"/>
      <c r="S51" s="36"/>
      <c r="T51" s="36"/>
      <c r="U51" s="36"/>
      <c r="V51" s="12" t="s">
        <v>64</v>
      </c>
      <c r="W51" s="13" t="s">
        <v>57</v>
      </c>
      <c r="X51" s="14">
        <v>5</v>
      </c>
    </row>
    <row r="52" spans="1:27" x14ac:dyDescent="0.25">
      <c r="A52" s="47"/>
      <c r="B52" s="48"/>
      <c r="C52" s="54" t="s">
        <v>59</v>
      </c>
      <c r="D52" s="47"/>
      <c r="E52" s="55"/>
      <c r="F52" s="55"/>
      <c r="G52" s="51"/>
      <c r="H52" s="51"/>
      <c r="J52" s="63"/>
      <c r="K52" s="64"/>
      <c r="L52" s="49"/>
      <c r="M52" s="47"/>
      <c r="N52" s="47"/>
      <c r="O52" s="47" t="str">
        <f>IF(A52&lt;&gt;"",M52*2^9+A52,"")</f>
        <v/>
      </c>
      <c r="P52" s="55" t="str">
        <f t="shared" si="10"/>
        <v/>
      </c>
      <c r="Q52" s="55"/>
      <c r="R52" s="55"/>
      <c r="S52" s="36"/>
      <c r="T52" s="36"/>
      <c r="U52" s="36"/>
      <c r="V52" s="12" t="s">
        <v>64</v>
      </c>
      <c r="W52" s="13" t="s">
        <v>58</v>
      </c>
      <c r="X52" s="14">
        <v>6</v>
      </c>
    </row>
    <row r="53" spans="1:27" x14ac:dyDescent="0.25">
      <c r="A53" s="47">
        <v>6</v>
      </c>
      <c r="B53" s="48"/>
      <c r="C53" s="54" t="s">
        <v>88</v>
      </c>
      <c r="D53" s="47" t="s">
        <v>40</v>
      </c>
      <c r="E53" s="92" t="s">
        <v>35</v>
      </c>
      <c r="F53" s="47">
        <v>0</v>
      </c>
      <c r="G53" s="52">
        <v>2000</v>
      </c>
      <c r="H53" s="51">
        <v>0</v>
      </c>
      <c r="I53" s="59">
        <v>1</v>
      </c>
      <c r="J53" s="49" t="s">
        <v>70</v>
      </c>
      <c r="K53" s="55"/>
      <c r="L53" s="49" t="s">
        <v>71</v>
      </c>
      <c r="M53" s="47">
        <f t="shared" si="0"/>
        <v>54</v>
      </c>
      <c r="N53" s="47">
        <f t="shared" si="1"/>
        <v>4</v>
      </c>
      <c r="O53" s="47">
        <f t="shared" ref="O53" si="11">IF(A53&lt;&gt;"",M53*2^9+A53,"")</f>
        <v>27654</v>
      </c>
      <c r="P53" s="55" t="str">
        <f t="shared" si="5"/>
        <v>0x6C06</v>
      </c>
      <c r="Q53" s="55"/>
      <c r="R53" s="55"/>
      <c r="S53" s="36"/>
      <c r="T53" s="36"/>
      <c r="U53" s="36"/>
    </row>
    <row r="54" spans="1:27" x14ac:dyDescent="0.25">
      <c r="A54" s="47">
        <v>7</v>
      </c>
      <c r="B54" s="48"/>
      <c r="C54" s="54" t="s">
        <v>89</v>
      </c>
      <c r="D54" s="47" t="s">
        <v>40</v>
      </c>
      <c r="E54" s="92" t="s">
        <v>35</v>
      </c>
      <c r="F54" s="47">
        <v>0</v>
      </c>
      <c r="G54" s="52">
        <v>2000</v>
      </c>
      <c r="H54" s="51">
        <v>0</v>
      </c>
      <c r="I54" s="59">
        <v>1</v>
      </c>
      <c r="J54" s="49" t="s">
        <v>70</v>
      </c>
      <c r="K54" s="55"/>
      <c r="L54" s="49" t="s">
        <v>71</v>
      </c>
      <c r="M54" s="47">
        <f t="shared" si="0"/>
        <v>54</v>
      </c>
      <c r="N54" s="47">
        <f t="shared" si="1"/>
        <v>4</v>
      </c>
      <c r="O54" s="47">
        <f t="shared" ref="O54:O57" si="12">IF(A54&lt;&gt;"",M54*2^9+A54,"")</f>
        <v>27655</v>
      </c>
      <c r="P54" s="55" t="str">
        <f t="shared" ref="P54:P57" si="13">IF(A54&lt;&gt;"","0x" &amp;DEC2HEX( O54,4),"")</f>
        <v>0x6C07</v>
      </c>
      <c r="Q54" s="55"/>
      <c r="R54" s="55"/>
      <c r="S54" s="36"/>
      <c r="T54" s="36"/>
      <c r="U54" s="36"/>
    </row>
    <row r="55" spans="1:27" x14ac:dyDescent="0.25">
      <c r="A55" s="47">
        <v>8</v>
      </c>
      <c r="B55" s="48"/>
      <c r="C55" s="54" t="s">
        <v>90</v>
      </c>
      <c r="D55" s="47" t="s">
        <v>40</v>
      </c>
      <c r="E55" s="92" t="s">
        <v>35</v>
      </c>
      <c r="F55" s="47">
        <v>0</v>
      </c>
      <c r="G55" s="52">
        <v>2000</v>
      </c>
      <c r="H55" s="51">
        <v>0</v>
      </c>
      <c r="I55" s="59">
        <v>1</v>
      </c>
      <c r="J55" s="49" t="s">
        <v>70</v>
      </c>
      <c r="K55" s="55"/>
      <c r="L55" s="49" t="s">
        <v>71</v>
      </c>
      <c r="M55" s="47">
        <f t="shared" si="0"/>
        <v>54</v>
      </c>
      <c r="N55" s="47">
        <f t="shared" si="1"/>
        <v>4</v>
      </c>
      <c r="O55" s="47">
        <f t="shared" si="12"/>
        <v>27656</v>
      </c>
      <c r="P55" s="55" t="str">
        <f t="shared" si="13"/>
        <v>0x6C08</v>
      </c>
      <c r="Q55" s="55"/>
      <c r="R55" s="55"/>
      <c r="S55" s="36"/>
      <c r="T55" s="36"/>
      <c r="U55" s="36"/>
    </row>
    <row r="56" spans="1:27" x14ac:dyDescent="0.25">
      <c r="A56" s="47">
        <v>9</v>
      </c>
      <c r="B56" s="48"/>
      <c r="C56" s="54" t="s">
        <v>91</v>
      </c>
      <c r="D56" s="47" t="s">
        <v>40</v>
      </c>
      <c r="E56" s="92" t="s">
        <v>35</v>
      </c>
      <c r="F56" s="47">
        <v>0</v>
      </c>
      <c r="G56" s="52">
        <v>2000</v>
      </c>
      <c r="H56" s="51">
        <v>0</v>
      </c>
      <c r="I56" s="59">
        <v>1</v>
      </c>
      <c r="J56" s="49" t="s">
        <v>70</v>
      </c>
      <c r="K56" s="55"/>
      <c r="L56" s="49" t="s">
        <v>71</v>
      </c>
      <c r="M56" s="47">
        <f t="shared" si="0"/>
        <v>54</v>
      </c>
      <c r="N56" s="47">
        <f t="shared" si="1"/>
        <v>4</v>
      </c>
      <c r="O56" s="47">
        <f t="shared" si="12"/>
        <v>27657</v>
      </c>
      <c r="P56" s="55" t="str">
        <f t="shared" si="13"/>
        <v>0x6C09</v>
      </c>
      <c r="Q56" s="55"/>
      <c r="R56" s="55"/>
      <c r="S56" s="36"/>
      <c r="T56" s="36"/>
      <c r="U56" s="36"/>
    </row>
    <row r="57" spans="1:27" x14ac:dyDescent="0.25">
      <c r="A57" s="47">
        <v>10</v>
      </c>
      <c r="B57" s="48"/>
      <c r="C57" s="54" t="s">
        <v>92</v>
      </c>
      <c r="D57" s="47" t="s">
        <v>40</v>
      </c>
      <c r="E57" s="92" t="s">
        <v>37</v>
      </c>
      <c r="F57" s="47">
        <v>0</v>
      </c>
      <c r="G57" s="52">
        <v>2000</v>
      </c>
      <c r="H57" s="51">
        <v>0</v>
      </c>
      <c r="I57" s="59">
        <v>1</v>
      </c>
      <c r="J57" s="49" t="s">
        <v>70</v>
      </c>
      <c r="K57" s="55"/>
      <c r="L57" s="49" t="s">
        <v>79</v>
      </c>
      <c r="M57" s="47">
        <f t="shared" si="0"/>
        <v>54</v>
      </c>
      <c r="N57" s="47">
        <f t="shared" si="1"/>
        <v>4</v>
      </c>
      <c r="O57" s="47">
        <f t="shared" si="12"/>
        <v>27658</v>
      </c>
      <c r="P57" s="55" t="str">
        <f t="shared" si="13"/>
        <v>0x6C0A</v>
      </c>
      <c r="Q57" s="55"/>
      <c r="R57" s="55"/>
      <c r="S57" s="36"/>
      <c r="T57" s="36"/>
      <c r="U57" s="36"/>
      <c r="Y57" s="1" t="s">
        <v>72</v>
      </c>
      <c r="Z57" s="1" t="s">
        <v>66</v>
      </c>
      <c r="AA57" s="1">
        <v>0</v>
      </c>
    </row>
    <row r="58" spans="1:27" x14ac:dyDescent="0.25">
      <c r="A58" s="47"/>
      <c r="B58" s="48"/>
      <c r="C58" s="54" t="s">
        <v>59</v>
      </c>
      <c r="D58" s="47"/>
      <c r="E58" s="92"/>
      <c r="F58" s="47"/>
      <c r="G58" s="52"/>
      <c r="H58" s="51"/>
      <c r="J58" s="49"/>
      <c r="K58" s="55"/>
      <c r="L58" s="49"/>
      <c r="M58" s="47"/>
      <c r="N58" s="47"/>
      <c r="O58" s="47"/>
      <c r="P58" s="55"/>
      <c r="Q58" s="55"/>
      <c r="R58" s="55"/>
      <c r="S58" s="36"/>
      <c r="T58" s="36"/>
      <c r="U58" s="36"/>
      <c r="Y58" s="1" t="s">
        <v>72</v>
      </c>
      <c r="Z58" s="1" t="s">
        <v>65</v>
      </c>
      <c r="AA58" s="1">
        <v>1</v>
      </c>
    </row>
    <row r="59" spans="1:27" x14ac:dyDescent="0.25">
      <c r="A59" s="47">
        <v>11</v>
      </c>
      <c r="B59" s="48"/>
      <c r="C59" s="54" t="s">
        <v>93</v>
      </c>
      <c r="D59" s="47" t="s">
        <v>40</v>
      </c>
      <c r="E59" s="92" t="s">
        <v>37</v>
      </c>
      <c r="F59" s="47">
        <v>0</v>
      </c>
      <c r="G59" s="52">
        <v>2000</v>
      </c>
      <c r="H59" s="51">
        <v>0</v>
      </c>
      <c r="I59" s="59">
        <v>1</v>
      </c>
      <c r="J59" s="49" t="s">
        <v>70</v>
      </c>
      <c r="K59" s="55"/>
      <c r="L59" s="49" t="s">
        <v>79</v>
      </c>
      <c r="M59" s="47">
        <f t="shared" si="0"/>
        <v>54</v>
      </c>
      <c r="N59" s="47">
        <f t="shared" si="1"/>
        <v>4</v>
      </c>
      <c r="O59" s="47">
        <f t="shared" ref="O59:O63" si="14">IF(A59&lt;&gt;"",M59*2^9+A59,"")</f>
        <v>27659</v>
      </c>
      <c r="P59" s="55" t="str">
        <f t="shared" ref="P59:P63" si="15">IF(A59&lt;&gt;"","0x" &amp;DEC2HEX( O59,4),"")</f>
        <v>0x6C0B</v>
      </c>
      <c r="Q59" s="55"/>
      <c r="R59" s="55"/>
      <c r="S59" s="36"/>
      <c r="T59" s="36"/>
      <c r="U59" s="36"/>
      <c r="Y59" s="1" t="s">
        <v>73</v>
      </c>
      <c r="Z59" s="1" t="s">
        <v>66</v>
      </c>
      <c r="AA59" s="1">
        <v>0</v>
      </c>
    </row>
    <row r="60" spans="1:27" x14ac:dyDescent="0.25">
      <c r="A60" s="47"/>
      <c r="B60" s="48"/>
      <c r="C60" s="54" t="s">
        <v>59</v>
      </c>
      <c r="D60" s="47"/>
      <c r="E60" s="92"/>
      <c r="F60" s="47"/>
      <c r="G60" s="52"/>
      <c r="H60" s="51"/>
      <c r="J60" s="49"/>
      <c r="K60" s="55"/>
      <c r="L60" s="49"/>
      <c r="M60" s="47"/>
      <c r="N60" s="47"/>
      <c r="O60" s="47"/>
      <c r="P60" s="55"/>
      <c r="Q60" s="55"/>
      <c r="R60" s="55"/>
      <c r="S60" s="36"/>
      <c r="T60" s="36"/>
      <c r="U60" s="36"/>
      <c r="Y60" s="1" t="s">
        <v>73</v>
      </c>
      <c r="Z60" s="1" t="s">
        <v>65</v>
      </c>
      <c r="AA60" s="1">
        <v>1</v>
      </c>
    </row>
    <row r="61" spans="1:27" x14ac:dyDescent="0.25">
      <c r="A61" s="47">
        <v>12</v>
      </c>
      <c r="B61" s="48"/>
      <c r="C61" s="54" t="s">
        <v>94</v>
      </c>
      <c r="D61" s="47" t="s">
        <v>40</v>
      </c>
      <c r="E61" s="92" t="s">
        <v>37</v>
      </c>
      <c r="F61" s="47">
        <v>0</v>
      </c>
      <c r="G61" s="52">
        <v>2000</v>
      </c>
      <c r="H61" s="51">
        <v>0</v>
      </c>
      <c r="I61" s="59">
        <v>1</v>
      </c>
      <c r="J61" s="49" t="s">
        <v>70</v>
      </c>
      <c r="K61" s="55"/>
      <c r="L61" s="49" t="s">
        <v>79</v>
      </c>
      <c r="M61" s="47">
        <f t="shared" si="0"/>
        <v>54</v>
      </c>
      <c r="N61" s="47">
        <f t="shared" si="1"/>
        <v>4</v>
      </c>
      <c r="O61" s="47">
        <f t="shared" si="14"/>
        <v>27660</v>
      </c>
      <c r="P61" s="55" t="str">
        <f t="shared" si="15"/>
        <v>0x6C0C</v>
      </c>
      <c r="Q61" s="55"/>
      <c r="R61" s="55"/>
      <c r="S61" s="36"/>
      <c r="T61" s="36"/>
      <c r="U61" s="36"/>
      <c r="Y61" s="1" t="s">
        <v>74</v>
      </c>
      <c r="Z61" s="1" t="s">
        <v>66</v>
      </c>
      <c r="AA61" s="1">
        <v>0</v>
      </c>
    </row>
    <row r="62" spans="1:27" x14ac:dyDescent="0.25">
      <c r="A62" s="47"/>
      <c r="B62" s="48"/>
      <c r="C62" s="54" t="s">
        <v>59</v>
      </c>
      <c r="D62" s="47"/>
      <c r="E62" s="92"/>
      <c r="F62" s="47"/>
      <c r="G62" s="52"/>
      <c r="H62" s="51"/>
      <c r="J62" s="49"/>
      <c r="K62" s="55"/>
      <c r="L62" s="49"/>
      <c r="M62" s="47"/>
      <c r="N62" s="47"/>
      <c r="O62" s="47"/>
      <c r="P62" s="55"/>
      <c r="Q62" s="55"/>
      <c r="R62" s="55"/>
      <c r="S62" s="36"/>
      <c r="T62" s="36"/>
      <c r="U62" s="36"/>
      <c r="Y62" s="1" t="s">
        <v>74</v>
      </c>
      <c r="Z62" s="1" t="s">
        <v>65</v>
      </c>
      <c r="AA62" s="1">
        <v>1</v>
      </c>
    </row>
    <row r="63" spans="1:27" x14ac:dyDescent="0.25">
      <c r="A63" s="47">
        <v>13</v>
      </c>
      <c r="B63" s="48"/>
      <c r="C63" s="54" t="s">
        <v>95</v>
      </c>
      <c r="D63" s="47" t="s">
        <v>40</v>
      </c>
      <c r="E63" s="92" t="s">
        <v>37</v>
      </c>
      <c r="F63" s="47">
        <v>0</v>
      </c>
      <c r="G63" s="52">
        <v>2000</v>
      </c>
      <c r="H63" s="51">
        <v>0</v>
      </c>
      <c r="I63" s="59">
        <v>1</v>
      </c>
      <c r="J63" s="49" t="s">
        <v>70</v>
      </c>
      <c r="K63" s="55"/>
      <c r="L63" s="49" t="s">
        <v>79</v>
      </c>
      <c r="M63" s="47">
        <f t="shared" si="0"/>
        <v>54</v>
      </c>
      <c r="N63" s="47">
        <f t="shared" si="1"/>
        <v>4</v>
      </c>
      <c r="O63" s="47">
        <f t="shared" si="14"/>
        <v>27661</v>
      </c>
      <c r="P63" s="55" t="str">
        <f t="shared" si="15"/>
        <v>0x6C0D</v>
      </c>
      <c r="Q63" s="55"/>
      <c r="R63" s="55"/>
      <c r="S63" s="36"/>
      <c r="T63" s="36"/>
      <c r="U63" s="36"/>
      <c r="Y63" s="1" t="s">
        <v>75</v>
      </c>
      <c r="Z63" s="1" t="s">
        <v>66</v>
      </c>
      <c r="AA63" s="1">
        <v>0</v>
      </c>
    </row>
    <row r="64" spans="1:27" x14ac:dyDescent="0.25">
      <c r="A64" s="47"/>
      <c r="B64" s="48"/>
      <c r="C64" s="54" t="s">
        <v>59</v>
      </c>
      <c r="D64" s="47"/>
      <c r="E64" s="55"/>
      <c r="F64" s="47"/>
      <c r="G64" s="52"/>
      <c r="H64" s="51"/>
      <c r="J64" s="49"/>
      <c r="K64" s="55"/>
      <c r="L64" s="49"/>
      <c r="M64" s="47"/>
      <c r="N64" s="47"/>
      <c r="O64" s="47" t="str">
        <f t="shared" ref="O64:O68" si="16">IF(A64&lt;&gt;"",M64*2^9+A64,"")</f>
        <v/>
      </c>
      <c r="P64" s="55" t="str">
        <f t="shared" si="5"/>
        <v/>
      </c>
      <c r="Q64" s="55"/>
      <c r="R64" s="55"/>
      <c r="S64" s="36"/>
      <c r="T64" s="36"/>
      <c r="U64" s="36"/>
      <c r="Y64" s="1" t="s">
        <v>75</v>
      </c>
      <c r="Z64" s="1" t="s">
        <v>65</v>
      </c>
      <c r="AA64" s="1">
        <v>1</v>
      </c>
    </row>
    <row r="65" spans="1:24" x14ac:dyDescent="0.25">
      <c r="A65" s="47">
        <v>14</v>
      </c>
      <c r="B65" s="48"/>
      <c r="C65" s="54" t="s">
        <v>156</v>
      </c>
      <c r="D65" s="47" t="s">
        <v>40</v>
      </c>
      <c r="E65" s="92" t="s">
        <v>35</v>
      </c>
      <c r="F65" s="47">
        <v>0</v>
      </c>
      <c r="G65" s="52">
        <v>2000</v>
      </c>
      <c r="H65" s="51">
        <v>0</v>
      </c>
      <c r="I65" s="59">
        <v>1</v>
      </c>
      <c r="J65" s="49" t="s">
        <v>70</v>
      </c>
      <c r="K65" s="55"/>
      <c r="L65" s="49" t="s">
        <v>164</v>
      </c>
      <c r="M65" s="47">
        <f t="shared" si="0"/>
        <v>54</v>
      </c>
      <c r="N65" s="47">
        <f t="shared" si="1"/>
        <v>4</v>
      </c>
      <c r="O65" s="47">
        <f t="shared" si="16"/>
        <v>27662</v>
      </c>
      <c r="P65" s="55" t="str">
        <f t="shared" ref="P65:P68" si="17">IF(A65&lt;&gt;"","0x" &amp;DEC2HEX( O65,4),"")</f>
        <v>0x6C0E</v>
      </c>
      <c r="Q65" s="55"/>
      <c r="R65" s="55"/>
      <c r="S65" s="36"/>
      <c r="T65" s="36"/>
      <c r="U65" s="36"/>
    </row>
    <row r="66" spans="1:24" x14ac:dyDescent="0.25">
      <c r="A66" s="47">
        <v>15</v>
      </c>
      <c r="B66" s="48"/>
      <c r="C66" s="54" t="s">
        <v>157</v>
      </c>
      <c r="D66" s="47" t="s">
        <v>40</v>
      </c>
      <c r="E66" s="92" t="s">
        <v>35</v>
      </c>
      <c r="F66" s="47">
        <v>0</v>
      </c>
      <c r="G66" s="52">
        <v>2000</v>
      </c>
      <c r="H66" s="51">
        <v>0</v>
      </c>
      <c r="I66" s="59">
        <v>1</v>
      </c>
      <c r="J66" s="49" t="s">
        <v>70</v>
      </c>
      <c r="K66" s="55"/>
      <c r="L66" s="49" t="s">
        <v>164</v>
      </c>
      <c r="M66" s="47">
        <f t="shared" si="0"/>
        <v>54</v>
      </c>
      <c r="N66" s="47">
        <f t="shared" si="1"/>
        <v>4</v>
      </c>
      <c r="O66" s="47">
        <f t="shared" si="16"/>
        <v>27663</v>
      </c>
      <c r="P66" s="55" t="str">
        <f t="shared" si="17"/>
        <v>0x6C0F</v>
      </c>
      <c r="Q66" s="55"/>
      <c r="R66" s="55"/>
      <c r="S66" s="36"/>
      <c r="T66" s="36"/>
      <c r="U66" s="36"/>
    </row>
    <row r="67" spans="1:24" x14ac:dyDescent="0.25">
      <c r="A67" s="47">
        <v>16</v>
      </c>
      <c r="B67" s="48"/>
      <c r="C67" s="54" t="s">
        <v>158</v>
      </c>
      <c r="D67" s="47" t="s">
        <v>40</v>
      </c>
      <c r="E67" s="92" t="s">
        <v>35</v>
      </c>
      <c r="F67" s="47">
        <v>0</v>
      </c>
      <c r="G67" s="52">
        <v>2000</v>
      </c>
      <c r="H67" s="51">
        <v>0</v>
      </c>
      <c r="I67" s="59">
        <v>1</v>
      </c>
      <c r="J67" s="49" t="s">
        <v>70</v>
      </c>
      <c r="K67" s="55"/>
      <c r="L67" s="49" t="s">
        <v>164</v>
      </c>
      <c r="M67" s="47">
        <f t="shared" si="0"/>
        <v>54</v>
      </c>
      <c r="N67" s="47">
        <f t="shared" si="1"/>
        <v>4</v>
      </c>
      <c r="O67" s="47">
        <f t="shared" si="16"/>
        <v>27664</v>
      </c>
      <c r="P67" s="55" t="str">
        <f t="shared" si="17"/>
        <v>0x6C10</v>
      </c>
      <c r="Q67" s="55"/>
      <c r="R67" s="55"/>
      <c r="S67" s="36"/>
      <c r="T67" s="36"/>
      <c r="U67" s="36"/>
    </row>
    <row r="68" spans="1:24" x14ac:dyDescent="0.25">
      <c r="A68" s="47">
        <v>17</v>
      </c>
      <c r="B68" s="48"/>
      <c r="C68" s="54" t="s">
        <v>159</v>
      </c>
      <c r="D68" s="47" t="s">
        <v>40</v>
      </c>
      <c r="E68" s="92" t="s">
        <v>35</v>
      </c>
      <c r="F68" s="47">
        <v>0</v>
      </c>
      <c r="G68" s="52">
        <v>2000</v>
      </c>
      <c r="H68" s="51">
        <v>0</v>
      </c>
      <c r="I68" s="59">
        <v>1</v>
      </c>
      <c r="J68" s="49" t="s">
        <v>70</v>
      </c>
      <c r="K68" s="55"/>
      <c r="L68" s="49" t="s">
        <v>164</v>
      </c>
      <c r="M68" s="47">
        <f t="shared" si="0"/>
        <v>54</v>
      </c>
      <c r="N68" s="47">
        <f t="shared" si="1"/>
        <v>4</v>
      </c>
      <c r="O68" s="47">
        <f t="shared" si="16"/>
        <v>27665</v>
      </c>
      <c r="P68" s="55" t="str">
        <f t="shared" si="17"/>
        <v>0x6C11</v>
      </c>
      <c r="Q68" s="55"/>
      <c r="R68" s="55"/>
      <c r="S68" s="36"/>
      <c r="T68" s="36"/>
      <c r="U68" s="36"/>
    </row>
    <row r="69" spans="1:24" x14ac:dyDescent="0.25">
      <c r="A69" s="47">
        <v>18</v>
      </c>
      <c r="B69" s="48"/>
      <c r="C69" s="49" t="s">
        <v>96</v>
      </c>
      <c r="D69" s="47" t="s">
        <v>40</v>
      </c>
      <c r="E69" s="92" t="s">
        <v>35</v>
      </c>
      <c r="F69" s="55">
        <v>0</v>
      </c>
      <c r="G69" s="51">
        <v>3</v>
      </c>
      <c r="H69" s="51">
        <v>0</v>
      </c>
      <c r="I69" s="59">
        <v>1</v>
      </c>
      <c r="J69" s="63" t="s">
        <v>100</v>
      </c>
      <c r="K69" s="64"/>
      <c r="L69" s="49" t="s">
        <v>81</v>
      </c>
      <c r="M69" s="47">
        <f t="shared" si="0"/>
        <v>54</v>
      </c>
      <c r="N69" s="47">
        <f t="shared" si="1"/>
        <v>4</v>
      </c>
      <c r="O69" s="47">
        <f>IF(A69&lt;&gt;"",M69*2^9+A69,"")</f>
        <v>27666</v>
      </c>
      <c r="P69" s="55" t="str">
        <f t="shared" si="5"/>
        <v>0x6C12</v>
      </c>
      <c r="Q69" s="55"/>
      <c r="R69" s="55"/>
      <c r="S69" s="36"/>
      <c r="T69" s="36"/>
      <c r="U69" s="36"/>
      <c r="V69" s="12" t="s">
        <v>80</v>
      </c>
      <c r="W69" s="13" t="s">
        <v>82</v>
      </c>
      <c r="X69" s="14">
        <v>0</v>
      </c>
    </row>
    <row r="70" spans="1:24" x14ac:dyDescent="0.25">
      <c r="A70" s="47"/>
      <c r="B70" s="48"/>
      <c r="C70" s="54" t="s">
        <v>59</v>
      </c>
      <c r="D70" s="47"/>
      <c r="E70" s="55"/>
      <c r="F70" s="47"/>
      <c r="G70" s="52"/>
      <c r="H70" s="51"/>
      <c r="J70" s="49"/>
      <c r="K70" s="55"/>
      <c r="L70" s="49"/>
      <c r="M70" s="47"/>
      <c r="N70" s="47"/>
      <c r="O70" s="47" t="str">
        <f t="shared" ref="O70:O73" si="18">IF(A70&lt;&gt;"",M70*2^9+A70,"")</f>
        <v/>
      </c>
      <c r="P70" s="55" t="str">
        <f t="shared" si="5"/>
        <v/>
      </c>
      <c r="Q70" s="55"/>
      <c r="R70" s="55"/>
      <c r="S70" s="36"/>
      <c r="T70" s="36"/>
      <c r="U70" s="36"/>
      <c r="V70" s="12" t="s">
        <v>80</v>
      </c>
      <c r="W70" s="13" t="s">
        <v>83</v>
      </c>
      <c r="X70" s="14">
        <v>1</v>
      </c>
    </row>
    <row r="71" spans="1:24" x14ac:dyDescent="0.25">
      <c r="A71" s="47"/>
      <c r="B71" s="48"/>
      <c r="C71" s="54" t="s">
        <v>59</v>
      </c>
      <c r="D71" s="47"/>
      <c r="E71" s="55"/>
      <c r="F71" s="47"/>
      <c r="G71" s="52"/>
      <c r="H71" s="51"/>
      <c r="J71" s="49"/>
      <c r="K71" s="55"/>
      <c r="L71" s="49"/>
      <c r="M71" s="47"/>
      <c r="N71" s="47"/>
      <c r="O71" s="47" t="str">
        <f t="shared" si="18"/>
        <v/>
      </c>
      <c r="P71" s="55" t="str">
        <f t="shared" si="5"/>
        <v/>
      </c>
      <c r="Q71" s="55"/>
      <c r="R71" s="55"/>
      <c r="S71" s="36"/>
      <c r="T71" s="36"/>
      <c r="U71" s="36"/>
      <c r="V71" s="12" t="s">
        <v>80</v>
      </c>
      <c r="W71" s="13" t="s">
        <v>84</v>
      </c>
      <c r="X71" s="14">
        <v>2</v>
      </c>
    </row>
    <row r="72" spans="1:24" x14ac:dyDescent="0.25">
      <c r="A72" s="47"/>
      <c r="B72" s="48"/>
      <c r="C72" s="54" t="s">
        <v>59</v>
      </c>
      <c r="D72" s="47"/>
      <c r="E72" s="55"/>
      <c r="F72" s="52"/>
      <c r="G72" s="52"/>
      <c r="H72" s="51"/>
      <c r="I72" s="60"/>
      <c r="J72" s="49"/>
      <c r="K72" s="55"/>
      <c r="L72" s="49"/>
      <c r="M72" s="47"/>
      <c r="N72" s="47"/>
      <c r="O72" s="47" t="str">
        <f t="shared" si="18"/>
        <v/>
      </c>
      <c r="P72" s="55" t="str">
        <f t="shared" si="5"/>
        <v/>
      </c>
      <c r="Q72" s="55"/>
      <c r="R72" s="55"/>
      <c r="S72" s="36"/>
      <c r="T72" s="36"/>
      <c r="U72" s="36"/>
      <c r="V72" s="12" t="s">
        <v>80</v>
      </c>
      <c r="W72" s="13" t="s">
        <v>85</v>
      </c>
      <c r="X72" s="14">
        <v>3</v>
      </c>
    </row>
    <row r="73" spans="1:24" x14ac:dyDescent="0.25">
      <c r="A73" s="47">
        <v>19</v>
      </c>
      <c r="B73" s="48"/>
      <c r="C73" s="54" t="s">
        <v>140</v>
      </c>
      <c r="D73" s="47" t="s">
        <v>40</v>
      </c>
      <c r="E73" s="92" t="s">
        <v>35</v>
      </c>
      <c r="F73" s="51">
        <v>0</v>
      </c>
      <c r="G73" s="51">
        <v>100</v>
      </c>
      <c r="H73" s="51">
        <v>0</v>
      </c>
      <c r="I73" s="60">
        <v>1</v>
      </c>
      <c r="J73" s="49" t="s">
        <v>86</v>
      </c>
      <c r="K73" s="55"/>
      <c r="L73" s="49" t="s">
        <v>139</v>
      </c>
      <c r="M73" s="47">
        <f t="shared" si="0"/>
        <v>54</v>
      </c>
      <c r="N73" s="47">
        <f t="shared" si="1"/>
        <v>4</v>
      </c>
      <c r="O73" s="47">
        <f t="shared" si="18"/>
        <v>27667</v>
      </c>
      <c r="P73" s="55" t="str">
        <f t="shared" si="5"/>
        <v>0x6C13</v>
      </c>
      <c r="Q73" s="55"/>
      <c r="R73" s="55"/>
      <c r="S73" s="36"/>
      <c r="T73" s="36"/>
      <c r="U73" s="36"/>
    </row>
    <row r="74" spans="1:24" x14ac:dyDescent="0.25">
      <c r="A74" s="47">
        <v>20</v>
      </c>
      <c r="B74" s="48"/>
      <c r="C74" s="54" t="s">
        <v>141</v>
      </c>
      <c r="D74" s="47" t="s">
        <v>40</v>
      </c>
      <c r="E74" s="92" t="s">
        <v>35</v>
      </c>
      <c r="F74" s="51">
        <v>0</v>
      </c>
      <c r="G74" s="51">
        <v>100</v>
      </c>
      <c r="H74" s="51">
        <v>0</v>
      </c>
      <c r="I74" s="60">
        <v>1</v>
      </c>
      <c r="J74" s="49" t="s">
        <v>86</v>
      </c>
      <c r="K74" s="55"/>
      <c r="L74" s="49" t="s">
        <v>139</v>
      </c>
      <c r="M74" s="47">
        <f t="shared" si="0"/>
        <v>54</v>
      </c>
      <c r="N74" s="47">
        <f t="shared" si="1"/>
        <v>4</v>
      </c>
      <c r="O74" s="47">
        <f t="shared" ref="O74:O75" si="19">IF(A74&lt;&gt;"",M74*2^9+A74,"")</f>
        <v>27668</v>
      </c>
      <c r="P74" s="55" t="str">
        <f t="shared" ref="P74:P75" si="20">IF(A74&lt;&gt;"","0x" &amp;DEC2HEX( O74,4),"")</f>
        <v>0x6C14</v>
      </c>
      <c r="Q74" s="55"/>
      <c r="R74" s="55"/>
      <c r="S74" s="36"/>
      <c r="T74" s="36"/>
      <c r="U74" s="36"/>
    </row>
    <row r="75" spans="1:24" x14ac:dyDescent="0.25">
      <c r="A75" s="47">
        <v>21</v>
      </c>
      <c r="B75" s="48"/>
      <c r="C75" s="54" t="s">
        <v>142</v>
      </c>
      <c r="D75" s="47" t="s">
        <v>40</v>
      </c>
      <c r="E75" s="92" t="s">
        <v>35</v>
      </c>
      <c r="F75" s="51">
        <v>0</v>
      </c>
      <c r="G75" s="51">
        <v>100</v>
      </c>
      <c r="H75" s="51">
        <v>0</v>
      </c>
      <c r="I75" s="60">
        <v>1</v>
      </c>
      <c r="J75" s="49" t="s">
        <v>86</v>
      </c>
      <c r="K75" s="55"/>
      <c r="L75" s="49" t="s">
        <v>139</v>
      </c>
      <c r="M75" s="47">
        <f t="shared" si="0"/>
        <v>54</v>
      </c>
      <c r="N75" s="47">
        <f t="shared" si="1"/>
        <v>4</v>
      </c>
      <c r="O75" s="47">
        <f t="shared" si="19"/>
        <v>27669</v>
      </c>
      <c r="P75" s="55" t="str">
        <f t="shared" si="20"/>
        <v>0x6C15</v>
      </c>
      <c r="Q75" s="55"/>
      <c r="R75" s="55"/>
      <c r="S75" s="36"/>
      <c r="T75" s="36"/>
      <c r="U75" s="36"/>
    </row>
    <row r="76" spans="1:24" x14ac:dyDescent="0.25">
      <c r="A76" s="47">
        <v>22</v>
      </c>
      <c r="B76" s="48"/>
      <c r="C76" s="54" t="s">
        <v>143</v>
      </c>
      <c r="D76" s="47" t="s">
        <v>40</v>
      </c>
      <c r="E76" s="92" t="s">
        <v>35</v>
      </c>
      <c r="F76" s="51">
        <v>0</v>
      </c>
      <c r="G76" s="51">
        <v>100</v>
      </c>
      <c r="H76" s="51">
        <v>0</v>
      </c>
      <c r="I76" s="60">
        <v>1</v>
      </c>
      <c r="J76" s="49" t="s">
        <v>86</v>
      </c>
      <c r="K76" s="55"/>
      <c r="L76" s="49" t="s">
        <v>139</v>
      </c>
      <c r="M76" s="47">
        <f t="shared" si="0"/>
        <v>54</v>
      </c>
      <c r="N76" s="47">
        <f t="shared" si="1"/>
        <v>4</v>
      </c>
      <c r="O76" s="47">
        <f t="shared" ref="O76:O79" si="21">IF(A76&lt;&gt;"",M76*2^9+A76,"")</f>
        <v>27670</v>
      </c>
      <c r="P76" s="55" t="str">
        <f t="shared" ref="P76:P79" si="22">IF(A76&lt;&gt;"","0x" &amp;DEC2HEX( O76,4),"")</f>
        <v>0x6C16</v>
      </c>
      <c r="Q76" s="55"/>
      <c r="R76" s="55"/>
      <c r="S76" s="36"/>
      <c r="T76" s="36"/>
      <c r="U76" s="36"/>
    </row>
    <row r="77" spans="1:24" x14ac:dyDescent="0.25">
      <c r="A77" s="47">
        <v>23</v>
      </c>
      <c r="B77" s="48"/>
      <c r="C77" s="54" t="s">
        <v>144</v>
      </c>
      <c r="D77" s="47" t="s">
        <v>40</v>
      </c>
      <c r="E77" s="92" t="s">
        <v>35</v>
      </c>
      <c r="F77" s="51">
        <v>0</v>
      </c>
      <c r="G77" s="51">
        <v>100</v>
      </c>
      <c r="H77" s="51">
        <v>0</v>
      </c>
      <c r="I77" s="60">
        <v>1</v>
      </c>
      <c r="J77" s="49" t="s">
        <v>86</v>
      </c>
      <c r="K77" s="55"/>
      <c r="L77" s="49" t="s">
        <v>139</v>
      </c>
      <c r="M77" s="47">
        <f t="shared" si="0"/>
        <v>54</v>
      </c>
      <c r="N77" s="47">
        <f t="shared" si="1"/>
        <v>4</v>
      </c>
      <c r="O77" s="47">
        <f t="shared" si="21"/>
        <v>27671</v>
      </c>
      <c r="P77" s="55" t="str">
        <f t="shared" si="22"/>
        <v>0x6C17</v>
      </c>
      <c r="Q77" s="55"/>
      <c r="R77" s="55"/>
      <c r="S77" s="36"/>
      <c r="T77" s="36"/>
      <c r="U77" s="36"/>
    </row>
    <row r="78" spans="1:24" x14ac:dyDescent="0.25">
      <c r="A78" s="47">
        <v>24</v>
      </c>
      <c r="B78" s="48"/>
      <c r="C78" s="54" t="s">
        <v>145</v>
      </c>
      <c r="D78" s="47" t="s">
        <v>40</v>
      </c>
      <c r="E78" s="92" t="s">
        <v>35</v>
      </c>
      <c r="F78" s="51">
        <v>0</v>
      </c>
      <c r="G78" s="51">
        <v>100</v>
      </c>
      <c r="H78" s="51">
        <v>0</v>
      </c>
      <c r="I78" s="60">
        <v>1</v>
      </c>
      <c r="J78" s="49" t="s">
        <v>86</v>
      </c>
      <c r="K78" s="55"/>
      <c r="L78" s="49" t="s">
        <v>139</v>
      </c>
      <c r="M78" s="47">
        <f t="shared" si="0"/>
        <v>54</v>
      </c>
      <c r="N78" s="47">
        <f t="shared" si="1"/>
        <v>4</v>
      </c>
      <c r="O78" s="47">
        <f t="shared" si="21"/>
        <v>27672</v>
      </c>
      <c r="P78" s="55" t="str">
        <f t="shared" si="22"/>
        <v>0x6C18</v>
      </c>
      <c r="Q78" s="55"/>
      <c r="R78" s="55"/>
      <c r="S78" s="36"/>
      <c r="T78" s="36"/>
      <c r="U78" s="36"/>
    </row>
    <row r="79" spans="1:24" x14ac:dyDescent="0.25">
      <c r="A79" s="47">
        <v>25</v>
      </c>
      <c r="B79" s="48"/>
      <c r="C79" s="54" t="s">
        <v>146</v>
      </c>
      <c r="D79" s="47" t="s">
        <v>40</v>
      </c>
      <c r="E79" s="92" t="s">
        <v>35</v>
      </c>
      <c r="F79" s="51">
        <v>0</v>
      </c>
      <c r="G79" s="51">
        <v>100</v>
      </c>
      <c r="H79" s="51">
        <v>0</v>
      </c>
      <c r="I79" s="60">
        <v>1</v>
      </c>
      <c r="J79" s="49" t="s">
        <v>86</v>
      </c>
      <c r="K79" s="55"/>
      <c r="L79" s="49" t="s">
        <v>139</v>
      </c>
      <c r="M79" s="47">
        <f t="shared" si="0"/>
        <v>54</v>
      </c>
      <c r="N79" s="47">
        <f t="shared" si="1"/>
        <v>4</v>
      </c>
      <c r="O79" s="47">
        <f t="shared" si="21"/>
        <v>27673</v>
      </c>
      <c r="P79" s="55" t="str">
        <f t="shared" si="22"/>
        <v>0x6C19</v>
      </c>
      <c r="Q79" s="55"/>
      <c r="R79" s="55"/>
      <c r="S79" s="36"/>
      <c r="T79" s="36"/>
      <c r="U79" s="36"/>
    </row>
    <row r="80" spans="1:24" x14ac:dyDescent="0.25">
      <c r="A80" s="47">
        <v>26</v>
      </c>
      <c r="B80" s="48"/>
      <c r="C80" s="54" t="s">
        <v>147</v>
      </c>
      <c r="D80" s="47" t="s">
        <v>40</v>
      </c>
      <c r="E80" s="92" t="s">
        <v>35</v>
      </c>
      <c r="F80" s="51">
        <v>0</v>
      </c>
      <c r="G80" s="51">
        <v>100</v>
      </c>
      <c r="H80" s="51">
        <v>0</v>
      </c>
      <c r="I80" s="60">
        <v>1</v>
      </c>
      <c r="J80" s="49" t="s">
        <v>86</v>
      </c>
      <c r="K80" s="55"/>
      <c r="L80" s="49" t="s">
        <v>139</v>
      </c>
      <c r="M80" s="47">
        <f t="shared" si="0"/>
        <v>54</v>
      </c>
      <c r="N80" s="47">
        <f t="shared" si="1"/>
        <v>4</v>
      </c>
      <c r="O80" s="47">
        <f t="shared" ref="O80" si="23">IF(A80&lt;&gt;"",M80*2^9+A80,"")</f>
        <v>27674</v>
      </c>
      <c r="P80" s="55" t="str">
        <f t="shared" ref="P80" si="24">IF(A80&lt;&gt;"","0x" &amp;DEC2HEX( O80,4),"")</f>
        <v>0x6C1A</v>
      </c>
      <c r="Q80" s="55"/>
      <c r="R80" s="55"/>
      <c r="S80" s="36"/>
      <c r="T80" s="36"/>
      <c r="U80" s="36"/>
    </row>
    <row r="81" spans="1:27" x14ac:dyDescent="0.25">
      <c r="A81" s="47">
        <v>27</v>
      </c>
      <c r="B81" s="48"/>
      <c r="C81" s="54" t="s">
        <v>97</v>
      </c>
      <c r="D81" s="47" t="s">
        <v>40</v>
      </c>
      <c r="E81" s="92" t="s">
        <v>37</v>
      </c>
      <c r="F81" s="51">
        <v>0</v>
      </c>
      <c r="G81" s="51">
        <v>0</v>
      </c>
      <c r="H81" s="51">
        <v>0</v>
      </c>
      <c r="I81" s="60">
        <v>1</v>
      </c>
      <c r="J81" s="49"/>
      <c r="K81" s="55"/>
      <c r="L81" s="49" t="s">
        <v>87</v>
      </c>
      <c r="M81" s="47">
        <f t="shared" si="0"/>
        <v>54</v>
      </c>
      <c r="N81" s="47">
        <f t="shared" si="1"/>
        <v>4</v>
      </c>
      <c r="O81" s="47">
        <f t="shared" ref="O81" si="25">IF(A81&lt;&gt;"",M81*2^9+A81,"")</f>
        <v>27675</v>
      </c>
      <c r="P81" s="55" t="str">
        <f t="shared" ref="P81" si="26">IF(A81&lt;&gt;"","0x" &amp;DEC2HEX( O81,4),"")</f>
        <v>0x6C1B</v>
      </c>
      <c r="Q81" s="55"/>
      <c r="R81" s="55"/>
      <c r="S81" s="36"/>
      <c r="T81" s="36"/>
      <c r="U81" s="36"/>
      <c r="Y81" s="1" t="s">
        <v>97</v>
      </c>
      <c r="Z81" s="1" t="s">
        <v>98</v>
      </c>
      <c r="AA81" s="1">
        <v>0</v>
      </c>
    </row>
    <row r="82" spans="1:27" x14ac:dyDescent="0.25">
      <c r="A82" s="47"/>
      <c r="B82" s="48"/>
      <c r="C82" s="54" t="s">
        <v>59</v>
      </c>
      <c r="D82" s="47"/>
      <c r="E82" s="55"/>
      <c r="F82" s="47"/>
      <c r="G82" s="52"/>
      <c r="H82" s="51"/>
      <c r="J82" s="49"/>
      <c r="K82" s="55"/>
      <c r="L82" s="49"/>
      <c r="M82" s="47"/>
      <c r="N82" s="47"/>
      <c r="O82" s="47" t="str">
        <f t="shared" si="2"/>
        <v/>
      </c>
      <c r="P82" s="55" t="str">
        <f t="shared" si="3"/>
        <v/>
      </c>
      <c r="Q82" s="55"/>
      <c r="R82" s="55"/>
      <c r="S82" s="36"/>
      <c r="T82" s="36"/>
      <c r="U82" s="36"/>
      <c r="Y82" s="1" t="s">
        <v>97</v>
      </c>
      <c r="Z82" s="1" t="s">
        <v>99</v>
      </c>
      <c r="AA82" s="1">
        <v>1</v>
      </c>
    </row>
    <row r="83" spans="1:27" x14ac:dyDescent="0.25">
      <c r="A83" s="47">
        <v>28</v>
      </c>
      <c r="B83" s="48"/>
      <c r="C83" s="54" t="s">
        <v>101</v>
      </c>
      <c r="D83" s="47" t="s">
        <v>40</v>
      </c>
      <c r="E83" s="92" t="s">
        <v>37</v>
      </c>
      <c r="F83" s="51">
        <v>0</v>
      </c>
      <c r="G83" s="51">
        <v>0</v>
      </c>
      <c r="H83" s="51">
        <v>0</v>
      </c>
      <c r="I83" s="60">
        <v>1</v>
      </c>
      <c r="J83" s="49"/>
      <c r="K83" s="55"/>
      <c r="L83" s="49" t="s">
        <v>102</v>
      </c>
      <c r="M83" s="47">
        <f t="shared" si="0"/>
        <v>54</v>
      </c>
      <c r="N83" s="47">
        <f t="shared" si="1"/>
        <v>4</v>
      </c>
      <c r="O83" s="47">
        <f t="shared" si="2"/>
        <v>27676</v>
      </c>
      <c r="P83" s="55" t="str">
        <f t="shared" si="3"/>
        <v>0x6C1C</v>
      </c>
      <c r="Q83" s="55"/>
      <c r="R83" s="55"/>
      <c r="S83" s="36"/>
      <c r="T83" s="36"/>
      <c r="U83" s="36"/>
      <c r="Y83" s="1" t="s">
        <v>101</v>
      </c>
      <c r="Z83" s="94" t="s">
        <v>103</v>
      </c>
      <c r="AA83" s="1">
        <v>0</v>
      </c>
    </row>
    <row r="84" spans="1:27" x14ac:dyDescent="0.25">
      <c r="A84" s="47"/>
      <c r="B84" s="48"/>
      <c r="C84" s="54" t="s">
        <v>59</v>
      </c>
      <c r="D84" s="47"/>
      <c r="E84" s="55"/>
      <c r="F84" s="47"/>
      <c r="G84" s="52"/>
      <c r="H84" s="51"/>
      <c r="J84" s="49"/>
      <c r="K84" s="55"/>
      <c r="L84" s="49"/>
      <c r="M84" s="47"/>
      <c r="N84" s="47"/>
      <c r="O84" s="47" t="str">
        <f t="shared" ref="O84:O90" si="27">IF(A84&lt;&gt;"",M84*2^9+A84,"")</f>
        <v/>
      </c>
      <c r="P84" s="55" t="str">
        <f t="shared" ref="P84:P91" si="28">IF(A84&lt;&gt;"","0x" &amp;DEC2HEX( O84,4),"")</f>
        <v/>
      </c>
      <c r="Q84" s="55"/>
      <c r="R84" s="55"/>
      <c r="S84" s="36"/>
      <c r="T84" s="36"/>
      <c r="U84" s="36"/>
      <c r="Y84" s="1" t="s">
        <v>101</v>
      </c>
      <c r="Z84" s="94" t="s">
        <v>104</v>
      </c>
      <c r="AA84" s="1">
        <v>1</v>
      </c>
    </row>
    <row r="85" spans="1:27" x14ac:dyDescent="0.25">
      <c r="A85" s="47">
        <v>29</v>
      </c>
      <c r="B85" s="48"/>
      <c r="C85" s="54" t="s">
        <v>105</v>
      </c>
      <c r="D85" s="47" t="s">
        <v>40</v>
      </c>
      <c r="E85" s="92" t="s">
        <v>35</v>
      </c>
      <c r="F85" s="47">
        <v>0</v>
      </c>
      <c r="G85" s="52">
        <v>255</v>
      </c>
      <c r="H85" s="51">
        <v>0</v>
      </c>
      <c r="I85" s="59">
        <v>1</v>
      </c>
      <c r="J85" s="49" t="s">
        <v>100</v>
      </c>
      <c r="K85" s="55"/>
      <c r="L85" s="49" t="s">
        <v>115</v>
      </c>
      <c r="M85" s="47">
        <f t="shared" si="0"/>
        <v>54</v>
      </c>
      <c r="N85" s="47">
        <f t="shared" si="1"/>
        <v>4</v>
      </c>
      <c r="O85" s="47">
        <f t="shared" si="27"/>
        <v>27677</v>
      </c>
      <c r="P85" s="55" t="str">
        <f t="shared" si="28"/>
        <v>0x6C1D</v>
      </c>
      <c r="Q85" s="55"/>
      <c r="R85" s="55"/>
      <c r="S85" s="36"/>
      <c r="T85" s="36"/>
      <c r="U85" s="36"/>
      <c r="V85" s="12" t="s">
        <v>105</v>
      </c>
      <c r="W85" s="13" t="s">
        <v>114</v>
      </c>
      <c r="X85" s="14">
        <v>0</v>
      </c>
    </row>
    <row r="86" spans="1:27" x14ac:dyDescent="0.25">
      <c r="A86" s="47"/>
      <c r="B86" s="48"/>
      <c r="C86" s="54" t="s">
        <v>59</v>
      </c>
      <c r="D86" s="47"/>
      <c r="E86" s="55"/>
      <c r="F86" s="47"/>
      <c r="G86" s="52"/>
      <c r="H86" s="51"/>
      <c r="J86" s="49"/>
      <c r="K86" s="55"/>
      <c r="L86" s="49"/>
      <c r="M86" s="47"/>
      <c r="N86" s="47"/>
      <c r="O86" s="47" t="str">
        <f t="shared" si="27"/>
        <v/>
      </c>
      <c r="P86" s="55" t="str">
        <f t="shared" si="28"/>
        <v/>
      </c>
      <c r="Q86" s="55"/>
      <c r="R86" s="55"/>
      <c r="S86" s="36"/>
      <c r="T86" s="36"/>
      <c r="U86" s="36"/>
      <c r="V86" s="12" t="s">
        <v>105</v>
      </c>
      <c r="W86" s="13" t="s">
        <v>106</v>
      </c>
      <c r="X86" s="14">
        <v>1</v>
      </c>
    </row>
    <row r="87" spans="1:27" x14ac:dyDescent="0.25">
      <c r="A87" s="47"/>
      <c r="B87" s="48"/>
      <c r="C87" s="54" t="s">
        <v>59</v>
      </c>
      <c r="D87" s="47"/>
      <c r="E87" s="55"/>
      <c r="F87" s="52"/>
      <c r="G87" s="52"/>
      <c r="H87" s="51"/>
      <c r="I87" s="60"/>
      <c r="J87" s="49"/>
      <c r="K87" s="55"/>
      <c r="L87" s="49"/>
      <c r="M87" s="47"/>
      <c r="N87" s="47"/>
      <c r="O87" s="47" t="str">
        <f t="shared" si="27"/>
        <v/>
      </c>
      <c r="P87" s="55" t="str">
        <f t="shared" si="28"/>
        <v/>
      </c>
      <c r="Q87" s="55"/>
      <c r="R87" s="55"/>
      <c r="S87" s="36"/>
      <c r="T87" s="36"/>
      <c r="U87" s="36"/>
      <c r="V87" s="12" t="s">
        <v>105</v>
      </c>
      <c r="W87" s="13" t="s">
        <v>107</v>
      </c>
      <c r="X87" s="14">
        <v>2</v>
      </c>
    </row>
    <row r="88" spans="1:27" x14ac:dyDescent="0.25">
      <c r="A88" s="47"/>
      <c r="B88" s="48"/>
      <c r="C88" s="54" t="s">
        <v>59</v>
      </c>
      <c r="D88" s="47"/>
      <c r="E88" s="55"/>
      <c r="F88" s="51"/>
      <c r="G88" s="51"/>
      <c r="H88" s="51"/>
      <c r="I88" s="60"/>
      <c r="J88" s="49"/>
      <c r="K88" s="55"/>
      <c r="L88" s="49"/>
      <c r="M88" s="47"/>
      <c r="N88" s="47"/>
      <c r="O88" s="47" t="str">
        <f t="shared" si="27"/>
        <v/>
      </c>
      <c r="P88" s="55" t="str">
        <f t="shared" si="28"/>
        <v/>
      </c>
      <c r="Q88" s="55"/>
      <c r="R88" s="55"/>
      <c r="S88" s="36"/>
      <c r="T88" s="36"/>
      <c r="U88" s="36"/>
      <c r="V88" s="12" t="s">
        <v>105</v>
      </c>
      <c r="W88" s="13" t="s">
        <v>108</v>
      </c>
      <c r="X88" s="14">
        <v>4</v>
      </c>
    </row>
    <row r="89" spans="1:27" x14ac:dyDescent="0.25">
      <c r="A89" s="47"/>
      <c r="B89" s="48"/>
      <c r="C89" s="54" t="s">
        <v>59</v>
      </c>
      <c r="D89" s="47"/>
      <c r="E89" s="55"/>
      <c r="F89" s="51"/>
      <c r="G89" s="51"/>
      <c r="H89" s="51"/>
      <c r="I89" s="61"/>
      <c r="J89" s="49"/>
      <c r="K89" s="55"/>
      <c r="L89" s="49"/>
      <c r="M89" s="47"/>
      <c r="N89" s="47"/>
      <c r="O89" s="47" t="str">
        <f t="shared" si="27"/>
        <v/>
      </c>
      <c r="P89" s="55" t="str">
        <f t="shared" si="28"/>
        <v/>
      </c>
      <c r="Q89" s="55"/>
      <c r="R89" s="55"/>
      <c r="S89" s="36"/>
      <c r="T89" s="36"/>
      <c r="U89" s="36"/>
      <c r="V89" s="12" t="s">
        <v>105</v>
      </c>
      <c r="W89" s="13" t="s">
        <v>109</v>
      </c>
      <c r="X89" s="14">
        <v>8</v>
      </c>
    </row>
    <row r="90" spans="1:27" x14ac:dyDescent="0.25">
      <c r="A90" s="47"/>
      <c r="B90" s="48"/>
      <c r="C90" s="54" t="s">
        <v>59</v>
      </c>
      <c r="D90" s="47"/>
      <c r="E90" s="55"/>
      <c r="F90" s="51"/>
      <c r="G90" s="51"/>
      <c r="H90" s="51"/>
      <c r="I90" s="62"/>
      <c r="J90" s="49"/>
      <c r="K90" s="55"/>
      <c r="L90" s="49"/>
      <c r="M90" s="47"/>
      <c r="N90" s="47"/>
      <c r="O90" s="47" t="str">
        <f t="shared" si="27"/>
        <v/>
      </c>
      <c r="P90" s="55" t="str">
        <f t="shared" si="28"/>
        <v/>
      </c>
      <c r="Q90" s="55"/>
      <c r="R90" s="55"/>
      <c r="S90" s="36"/>
      <c r="T90" s="36"/>
      <c r="U90" s="36"/>
      <c r="V90" s="12" t="s">
        <v>105</v>
      </c>
      <c r="W90" s="13" t="s">
        <v>110</v>
      </c>
      <c r="X90" s="14">
        <v>16</v>
      </c>
    </row>
    <row r="91" spans="1:27" x14ac:dyDescent="0.25">
      <c r="A91" s="47"/>
      <c r="B91" s="48"/>
      <c r="C91" s="54" t="s">
        <v>59</v>
      </c>
      <c r="D91" s="47"/>
      <c r="E91" s="55"/>
      <c r="F91" s="55"/>
      <c r="G91" s="51"/>
      <c r="H91" s="51"/>
      <c r="J91" s="63"/>
      <c r="K91" s="64"/>
      <c r="L91" s="49"/>
      <c r="M91" s="47"/>
      <c r="N91" s="47"/>
      <c r="O91" s="47" t="str">
        <f>IF(A91&lt;&gt;"",M91*2^9+A91,"")</f>
        <v/>
      </c>
      <c r="P91" s="55" t="str">
        <f t="shared" si="28"/>
        <v/>
      </c>
      <c r="Q91" s="55"/>
      <c r="R91" s="55"/>
      <c r="S91" s="36"/>
      <c r="T91" s="36"/>
      <c r="U91" s="36"/>
      <c r="V91" s="12" t="s">
        <v>105</v>
      </c>
      <c r="W91" s="13" t="s">
        <v>111</v>
      </c>
      <c r="X91" s="14">
        <v>32</v>
      </c>
    </row>
    <row r="92" spans="1:27" x14ac:dyDescent="0.25">
      <c r="A92" s="47"/>
      <c r="B92" s="48"/>
      <c r="C92" s="54" t="s">
        <v>59</v>
      </c>
      <c r="D92" s="47"/>
      <c r="E92" s="55"/>
      <c r="F92" s="51"/>
      <c r="G92" s="51"/>
      <c r="H92" s="51"/>
      <c r="I92" s="61"/>
      <c r="J92" s="49"/>
      <c r="K92" s="55"/>
      <c r="L92" s="49"/>
      <c r="M92" s="47"/>
      <c r="N92" s="47"/>
      <c r="O92" s="47" t="str">
        <f t="shared" ref="O92:O93" si="29">IF(A92&lt;&gt;"",M92*2^9+A92,"")</f>
        <v/>
      </c>
      <c r="P92" s="55" t="str">
        <f t="shared" ref="P92:P94" si="30">IF(A92&lt;&gt;"","0x" &amp;DEC2HEX( O92,4),"")</f>
        <v/>
      </c>
      <c r="Q92" s="55"/>
      <c r="R92" s="55"/>
      <c r="S92" s="36"/>
      <c r="T92" s="36"/>
      <c r="U92" s="36"/>
      <c r="V92" s="12" t="s">
        <v>105</v>
      </c>
      <c r="W92" s="13" t="s">
        <v>112</v>
      </c>
      <c r="X92" s="14">
        <v>64</v>
      </c>
    </row>
    <row r="93" spans="1:27" x14ac:dyDescent="0.25">
      <c r="A93" s="47"/>
      <c r="B93" s="48"/>
      <c r="C93" s="54" t="s">
        <v>59</v>
      </c>
      <c r="D93" s="47"/>
      <c r="E93" s="55"/>
      <c r="F93" s="51"/>
      <c r="G93" s="51"/>
      <c r="H93" s="51"/>
      <c r="I93" s="62"/>
      <c r="J93" s="49"/>
      <c r="K93" s="55"/>
      <c r="L93" s="49"/>
      <c r="M93" s="47"/>
      <c r="N93" s="47"/>
      <c r="O93" s="47" t="str">
        <f t="shared" si="29"/>
        <v/>
      </c>
      <c r="P93" s="55" t="str">
        <f t="shared" si="30"/>
        <v/>
      </c>
      <c r="Q93" s="55"/>
      <c r="R93" s="55"/>
      <c r="S93" s="36"/>
      <c r="T93" s="36"/>
      <c r="U93" s="36"/>
      <c r="V93" s="12" t="s">
        <v>105</v>
      </c>
      <c r="W93" s="13" t="s">
        <v>113</v>
      </c>
      <c r="X93" s="14">
        <v>128</v>
      </c>
    </row>
    <row r="94" spans="1:27" x14ac:dyDescent="0.25">
      <c r="A94" s="47">
        <v>34</v>
      </c>
      <c r="B94" s="48"/>
      <c r="C94" s="49" t="s">
        <v>116</v>
      </c>
      <c r="D94" s="47" t="s">
        <v>40</v>
      </c>
      <c r="E94" s="92" t="s">
        <v>35</v>
      </c>
      <c r="F94" s="55">
        <v>0</v>
      </c>
      <c r="G94" s="51">
        <v>7</v>
      </c>
      <c r="H94" s="51">
        <v>0</v>
      </c>
      <c r="I94" s="59">
        <v>1</v>
      </c>
      <c r="J94" s="63" t="s">
        <v>100</v>
      </c>
      <c r="K94" s="64"/>
      <c r="L94" s="49" t="s">
        <v>120</v>
      </c>
      <c r="M94" s="47">
        <f t="shared" si="0"/>
        <v>54</v>
      </c>
      <c r="N94" s="47">
        <f t="shared" si="1"/>
        <v>4</v>
      </c>
      <c r="O94" s="47">
        <f>IF(A94&lt;&gt;"",M94*2^9+A94,"")</f>
        <v>27682</v>
      </c>
      <c r="P94" s="55" t="str">
        <f t="shared" si="30"/>
        <v>0x6C22</v>
      </c>
      <c r="Q94" s="55"/>
      <c r="R94" s="55"/>
      <c r="S94" s="36"/>
      <c r="T94" s="36"/>
      <c r="U94" s="36"/>
      <c r="V94" s="12" t="s">
        <v>116</v>
      </c>
      <c r="W94" s="13" t="s">
        <v>114</v>
      </c>
      <c r="X94" s="14">
        <v>0</v>
      </c>
    </row>
    <row r="95" spans="1:27" x14ac:dyDescent="0.25">
      <c r="A95" s="47"/>
      <c r="B95" s="48"/>
      <c r="C95" s="54" t="s">
        <v>59</v>
      </c>
      <c r="D95" s="47"/>
      <c r="E95" s="55"/>
      <c r="F95" s="47"/>
      <c r="G95" s="52"/>
      <c r="H95" s="51"/>
      <c r="J95" s="49"/>
      <c r="K95" s="55"/>
      <c r="L95" s="49"/>
      <c r="M95" s="47"/>
      <c r="N95" s="47"/>
      <c r="O95" s="47" t="str">
        <f t="shared" ref="O95:O97" si="31">IF(A95&lt;&gt;"",M95*2^9+A95,"")</f>
        <v/>
      </c>
      <c r="P95" s="55" t="str">
        <f t="shared" ref="P95:P98" si="32">IF(A95&lt;&gt;"","0x" &amp;DEC2HEX( O95,4),"")</f>
        <v/>
      </c>
      <c r="Q95" s="55"/>
      <c r="R95" s="55"/>
      <c r="S95" s="36"/>
      <c r="T95" s="36"/>
      <c r="U95" s="36"/>
      <c r="V95" s="12" t="s">
        <v>116</v>
      </c>
      <c r="W95" s="13" t="s">
        <v>117</v>
      </c>
      <c r="X95" s="14">
        <v>1</v>
      </c>
    </row>
    <row r="96" spans="1:27" x14ac:dyDescent="0.25">
      <c r="A96" s="47"/>
      <c r="B96" s="48"/>
      <c r="C96" s="54" t="s">
        <v>59</v>
      </c>
      <c r="D96" s="47"/>
      <c r="E96" s="55"/>
      <c r="F96" s="47"/>
      <c r="G96" s="52"/>
      <c r="H96" s="51"/>
      <c r="J96" s="49"/>
      <c r="K96" s="55"/>
      <c r="L96" s="49"/>
      <c r="M96" s="47"/>
      <c r="N96" s="47"/>
      <c r="O96" s="47" t="str">
        <f t="shared" si="31"/>
        <v/>
      </c>
      <c r="P96" s="55" t="str">
        <f t="shared" si="32"/>
        <v/>
      </c>
      <c r="Q96" s="55"/>
      <c r="R96" s="55"/>
      <c r="S96" s="36"/>
      <c r="T96" s="36"/>
      <c r="U96" s="36"/>
      <c r="V96" s="12" t="s">
        <v>116</v>
      </c>
      <c r="W96" s="13" t="s">
        <v>118</v>
      </c>
      <c r="X96" s="14">
        <v>2</v>
      </c>
    </row>
    <row r="97" spans="1:27" x14ac:dyDescent="0.25">
      <c r="A97" s="47"/>
      <c r="B97" s="48"/>
      <c r="C97" s="54" t="s">
        <v>59</v>
      </c>
      <c r="D97" s="47"/>
      <c r="E97" s="55"/>
      <c r="F97" s="52"/>
      <c r="G97" s="52"/>
      <c r="H97" s="51"/>
      <c r="I97" s="60"/>
      <c r="J97" s="49"/>
      <c r="K97" s="55"/>
      <c r="L97" s="49"/>
      <c r="M97" s="47"/>
      <c r="N97" s="47"/>
      <c r="O97" s="47" t="str">
        <f t="shared" si="31"/>
        <v/>
      </c>
      <c r="P97" s="55" t="str">
        <f t="shared" si="32"/>
        <v/>
      </c>
      <c r="Q97" s="55"/>
      <c r="R97" s="55"/>
      <c r="S97" s="36"/>
      <c r="T97" s="36"/>
      <c r="U97" s="36"/>
      <c r="V97" s="12" t="s">
        <v>116</v>
      </c>
      <c r="W97" s="13" t="s">
        <v>119</v>
      </c>
      <c r="X97" s="14">
        <v>4</v>
      </c>
    </row>
    <row r="98" spans="1:27" x14ac:dyDescent="0.25">
      <c r="A98" s="47">
        <v>31</v>
      </c>
      <c r="B98" s="48"/>
      <c r="C98" s="49" t="s">
        <v>121</v>
      </c>
      <c r="D98" s="47" t="s">
        <v>40</v>
      </c>
      <c r="E98" s="92" t="s">
        <v>35</v>
      </c>
      <c r="F98" s="55">
        <v>0</v>
      </c>
      <c r="G98" s="51">
        <v>7</v>
      </c>
      <c r="H98" s="51">
        <v>0</v>
      </c>
      <c r="I98" s="59">
        <v>1</v>
      </c>
      <c r="J98" s="63" t="s">
        <v>100</v>
      </c>
      <c r="K98" s="64"/>
      <c r="L98" s="49" t="s">
        <v>120</v>
      </c>
      <c r="M98" s="47">
        <f t="shared" si="0"/>
        <v>54</v>
      </c>
      <c r="N98" s="47">
        <f t="shared" si="1"/>
        <v>4</v>
      </c>
      <c r="O98" s="47">
        <f>IF(A98&lt;&gt;"",M98*2^9+A98,"")</f>
        <v>27679</v>
      </c>
      <c r="P98" s="55" t="str">
        <f t="shared" si="32"/>
        <v>0x6C1F</v>
      </c>
      <c r="Q98" s="55"/>
      <c r="R98" s="55"/>
      <c r="S98" s="36"/>
      <c r="T98" s="36"/>
      <c r="U98" s="36"/>
      <c r="V98" s="12" t="s">
        <v>121</v>
      </c>
      <c r="W98" s="13" t="s">
        <v>114</v>
      </c>
      <c r="X98" s="14">
        <v>0</v>
      </c>
    </row>
    <row r="99" spans="1:27" x14ac:dyDescent="0.25">
      <c r="A99" s="47"/>
      <c r="B99" s="48"/>
      <c r="C99" s="54" t="s">
        <v>59</v>
      </c>
      <c r="D99" s="47"/>
      <c r="E99" s="55"/>
      <c r="F99" s="47"/>
      <c r="G99" s="52"/>
      <c r="H99" s="51"/>
      <c r="J99" s="49"/>
      <c r="K99" s="55"/>
      <c r="L99" s="49"/>
      <c r="M99" s="47"/>
      <c r="N99" s="47"/>
      <c r="O99" s="47" t="str">
        <f t="shared" ref="O99:O101" si="33">IF(A99&lt;&gt;"",M99*2^9+A99,"")</f>
        <v/>
      </c>
      <c r="P99" s="55" t="str">
        <f t="shared" ref="P99:P106" si="34">IF(A99&lt;&gt;"","0x" &amp;DEC2HEX( O99,4),"")</f>
        <v/>
      </c>
      <c r="Q99" s="55"/>
      <c r="R99" s="55"/>
      <c r="S99" s="36"/>
      <c r="T99" s="36"/>
      <c r="U99" s="36"/>
      <c r="V99" s="12" t="s">
        <v>121</v>
      </c>
      <c r="W99" s="13" t="s">
        <v>117</v>
      </c>
      <c r="X99" s="14">
        <v>1</v>
      </c>
    </row>
    <row r="100" spans="1:27" x14ac:dyDescent="0.25">
      <c r="A100" s="47"/>
      <c r="B100" s="48"/>
      <c r="C100" s="54" t="s">
        <v>59</v>
      </c>
      <c r="D100" s="47"/>
      <c r="E100" s="55"/>
      <c r="F100" s="47"/>
      <c r="G100" s="52"/>
      <c r="H100" s="51"/>
      <c r="J100" s="49"/>
      <c r="K100" s="55"/>
      <c r="L100" s="49"/>
      <c r="M100" s="47"/>
      <c r="N100" s="47"/>
      <c r="O100" s="47" t="str">
        <f t="shared" si="33"/>
        <v/>
      </c>
      <c r="P100" s="55" t="str">
        <f t="shared" si="34"/>
        <v/>
      </c>
      <c r="Q100" s="55"/>
      <c r="R100" s="55"/>
      <c r="S100" s="36"/>
      <c r="T100" s="36"/>
      <c r="U100" s="36"/>
      <c r="V100" s="12" t="s">
        <v>121</v>
      </c>
      <c r="W100" s="13" t="s">
        <v>118</v>
      </c>
      <c r="X100" s="14">
        <v>2</v>
      </c>
    </row>
    <row r="101" spans="1:27" x14ac:dyDescent="0.25">
      <c r="A101" s="47"/>
      <c r="B101" s="48"/>
      <c r="C101" s="54" t="s">
        <v>59</v>
      </c>
      <c r="D101" s="47"/>
      <c r="E101" s="55"/>
      <c r="F101" s="52"/>
      <c r="G101" s="52"/>
      <c r="H101" s="51"/>
      <c r="I101" s="60"/>
      <c r="J101" s="49"/>
      <c r="K101" s="55"/>
      <c r="L101" s="49"/>
      <c r="M101" s="47"/>
      <c r="N101" s="47"/>
      <c r="O101" s="47" t="str">
        <f t="shared" si="33"/>
        <v/>
      </c>
      <c r="P101" s="55" t="str">
        <f t="shared" si="34"/>
        <v/>
      </c>
      <c r="Q101" s="55"/>
      <c r="R101" s="55"/>
      <c r="S101" s="36"/>
      <c r="T101" s="36"/>
      <c r="U101" s="36"/>
      <c r="V101" s="12" t="s">
        <v>121</v>
      </c>
      <c r="W101" s="13" t="s">
        <v>119</v>
      </c>
      <c r="X101" s="14">
        <v>4</v>
      </c>
    </row>
    <row r="102" spans="1:27" x14ac:dyDescent="0.25">
      <c r="A102" s="47">
        <v>32</v>
      </c>
      <c r="B102" s="48"/>
      <c r="C102" s="49" t="s">
        <v>122</v>
      </c>
      <c r="D102" s="47" t="s">
        <v>40</v>
      </c>
      <c r="E102" s="92" t="s">
        <v>35</v>
      </c>
      <c r="F102" s="55">
        <v>0</v>
      </c>
      <c r="G102" s="51">
        <v>7</v>
      </c>
      <c r="H102" s="51">
        <v>0</v>
      </c>
      <c r="I102" s="59">
        <v>1</v>
      </c>
      <c r="J102" s="63" t="s">
        <v>100</v>
      </c>
      <c r="K102" s="64"/>
      <c r="L102" s="49" t="s">
        <v>120</v>
      </c>
      <c r="M102" s="47">
        <f t="shared" si="0"/>
        <v>54</v>
      </c>
      <c r="N102" s="47">
        <f t="shared" si="1"/>
        <v>4</v>
      </c>
      <c r="O102" s="47">
        <f>IF(A102&lt;&gt;"",M102*2^9+A102,"")</f>
        <v>27680</v>
      </c>
      <c r="P102" s="55" t="str">
        <f t="shared" si="34"/>
        <v>0x6C20</v>
      </c>
      <c r="Q102" s="55"/>
      <c r="R102" s="55"/>
      <c r="S102" s="36"/>
      <c r="T102" s="36"/>
      <c r="U102" s="36"/>
      <c r="V102" s="12" t="s">
        <v>122</v>
      </c>
      <c r="W102" s="13" t="s">
        <v>114</v>
      </c>
      <c r="X102" s="14">
        <v>0</v>
      </c>
    </row>
    <row r="103" spans="1:27" x14ac:dyDescent="0.25">
      <c r="A103" s="47"/>
      <c r="B103" s="48"/>
      <c r="C103" s="54" t="s">
        <v>59</v>
      </c>
      <c r="D103" s="47"/>
      <c r="E103" s="55"/>
      <c r="F103" s="47"/>
      <c r="G103" s="52"/>
      <c r="H103" s="51"/>
      <c r="J103" s="49"/>
      <c r="K103" s="55"/>
      <c r="L103" s="49"/>
      <c r="M103" s="47"/>
      <c r="N103" s="47"/>
      <c r="O103" s="47" t="str">
        <f t="shared" ref="O103:O105" si="35">IF(A103&lt;&gt;"",M103*2^9+A103,"")</f>
        <v/>
      </c>
      <c r="P103" s="55" t="str">
        <f t="shared" si="34"/>
        <v/>
      </c>
      <c r="Q103" s="55"/>
      <c r="R103" s="55"/>
      <c r="S103" s="36"/>
      <c r="T103" s="36"/>
      <c r="U103" s="36"/>
      <c r="V103" s="12" t="s">
        <v>122</v>
      </c>
      <c r="W103" s="13" t="s">
        <v>117</v>
      </c>
      <c r="X103" s="14">
        <v>1</v>
      </c>
    </row>
    <row r="104" spans="1:27" x14ac:dyDescent="0.25">
      <c r="A104" s="47"/>
      <c r="B104" s="48"/>
      <c r="C104" s="54" t="s">
        <v>59</v>
      </c>
      <c r="D104" s="47"/>
      <c r="E104" s="55"/>
      <c r="F104" s="47"/>
      <c r="G104" s="52"/>
      <c r="H104" s="51"/>
      <c r="J104" s="49"/>
      <c r="K104" s="55"/>
      <c r="L104" s="49"/>
      <c r="M104" s="47"/>
      <c r="N104" s="47"/>
      <c r="O104" s="47" t="str">
        <f t="shared" si="35"/>
        <v/>
      </c>
      <c r="P104" s="55" t="str">
        <f t="shared" si="34"/>
        <v/>
      </c>
      <c r="Q104" s="55"/>
      <c r="R104" s="55"/>
      <c r="S104" s="36"/>
      <c r="T104" s="36"/>
      <c r="U104" s="36"/>
      <c r="V104" s="12" t="s">
        <v>122</v>
      </c>
      <c r="W104" s="13" t="s">
        <v>118</v>
      </c>
      <c r="X104" s="14">
        <v>2</v>
      </c>
    </row>
    <row r="105" spans="1:27" x14ac:dyDescent="0.25">
      <c r="A105" s="47"/>
      <c r="B105" s="48"/>
      <c r="C105" s="54" t="s">
        <v>59</v>
      </c>
      <c r="D105" s="47"/>
      <c r="E105" s="55"/>
      <c r="F105" s="52"/>
      <c r="G105" s="52"/>
      <c r="H105" s="51"/>
      <c r="I105" s="60"/>
      <c r="J105" s="49"/>
      <c r="K105" s="55"/>
      <c r="L105" s="49"/>
      <c r="M105" s="47"/>
      <c r="N105" s="47"/>
      <c r="O105" s="47" t="str">
        <f t="shared" si="35"/>
        <v/>
      </c>
      <c r="P105" s="55" t="str">
        <f t="shared" si="34"/>
        <v/>
      </c>
      <c r="Q105" s="55"/>
      <c r="R105" s="55"/>
      <c r="S105" s="36"/>
      <c r="T105" s="36"/>
      <c r="U105" s="36"/>
      <c r="V105" s="12" t="s">
        <v>122</v>
      </c>
      <c r="W105" s="13" t="s">
        <v>119</v>
      </c>
      <c r="X105" s="14">
        <v>4</v>
      </c>
    </row>
    <row r="106" spans="1:27" x14ac:dyDescent="0.25">
      <c r="A106" s="47">
        <v>33</v>
      </c>
      <c r="B106" s="48"/>
      <c r="C106" s="49" t="s">
        <v>123</v>
      </c>
      <c r="D106" s="47" t="s">
        <v>40</v>
      </c>
      <c r="E106" s="92" t="s">
        <v>35</v>
      </c>
      <c r="F106" s="55">
        <v>0</v>
      </c>
      <c r="G106" s="51">
        <v>7</v>
      </c>
      <c r="H106" s="51">
        <v>0</v>
      </c>
      <c r="I106" s="59">
        <v>1</v>
      </c>
      <c r="J106" s="63" t="s">
        <v>100</v>
      </c>
      <c r="K106" s="64"/>
      <c r="L106" s="49" t="s">
        <v>120</v>
      </c>
      <c r="M106" s="47">
        <f t="shared" si="0"/>
        <v>54</v>
      </c>
      <c r="N106" s="47">
        <f t="shared" si="1"/>
        <v>4</v>
      </c>
      <c r="O106" s="47">
        <f>IF(A106&lt;&gt;"",M106*2^9+A106,"")</f>
        <v>27681</v>
      </c>
      <c r="P106" s="55" t="str">
        <f t="shared" si="34"/>
        <v>0x6C21</v>
      </c>
      <c r="Q106" s="55"/>
      <c r="R106" s="55"/>
      <c r="S106" s="36"/>
      <c r="T106" s="36"/>
      <c r="U106" s="36"/>
      <c r="V106" s="12" t="s">
        <v>123</v>
      </c>
      <c r="W106" s="13" t="s">
        <v>114</v>
      </c>
      <c r="X106" s="14">
        <v>0</v>
      </c>
    </row>
    <row r="107" spans="1:27" x14ac:dyDescent="0.25">
      <c r="A107" s="47"/>
      <c r="B107" s="48"/>
      <c r="C107" s="54" t="s">
        <v>59</v>
      </c>
      <c r="D107" s="47"/>
      <c r="E107" s="55"/>
      <c r="F107" s="47"/>
      <c r="G107" s="52"/>
      <c r="H107" s="51"/>
      <c r="J107" s="49"/>
      <c r="K107" s="55"/>
      <c r="L107" s="49"/>
      <c r="M107" s="47"/>
      <c r="N107" s="47"/>
      <c r="O107" s="47" t="str">
        <f t="shared" ref="O107:O111" si="36">IF(A107&lt;&gt;"",M107*2^9+A107,"")</f>
        <v/>
      </c>
      <c r="P107" s="55" t="str">
        <f t="shared" ref="P107:P111" si="37">IF(A107&lt;&gt;"","0x" &amp;DEC2HEX( O107,4),"")</f>
        <v/>
      </c>
      <c r="Q107" s="55"/>
      <c r="R107" s="55"/>
      <c r="S107" s="36"/>
      <c r="T107" s="36"/>
      <c r="U107" s="36"/>
      <c r="V107" s="12" t="s">
        <v>123</v>
      </c>
      <c r="W107" s="13" t="s">
        <v>117</v>
      </c>
      <c r="X107" s="14">
        <v>1</v>
      </c>
    </row>
    <row r="108" spans="1:27" x14ac:dyDescent="0.25">
      <c r="A108" s="47"/>
      <c r="B108" s="48"/>
      <c r="C108" s="54" t="s">
        <v>59</v>
      </c>
      <c r="D108" s="47"/>
      <c r="E108" s="55"/>
      <c r="F108" s="47"/>
      <c r="G108" s="52"/>
      <c r="H108" s="51"/>
      <c r="J108" s="49"/>
      <c r="K108" s="55"/>
      <c r="L108" s="49"/>
      <c r="M108" s="47"/>
      <c r="N108" s="47"/>
      <c r="O108" s="47" t="str">
        <f t="shared" si="36"/>
        <v/>
      </c>
      <c r="P108" s="55" t="str">
        <f t="shared" si="37"/>
        <v/>
      </c>
      <c r="Q108" s="55"/>
      <c r="R108" s="55"/>
      <c r="S108" s="36"/>
      <c r="T108" s="36"/>
      <c r="U108" s="36"/>
      <c r="V108" s="12" t="s">
        <v>123</v>
      </c>
      <c r="W108" s="13" t="s">
        <v>118</v>
      </c>
      <c r="X108" s="14">
        <v>2</v>
      </c>
    </row>
    <row r="109" spans="1:27" x14ac:dyDescent="0.25">
      <c r="A109" s="47"/>
      <c r="B109" s="48"/>
      <c r="C109" s="54" t="s">
        <v>59</v>
      </c>
      <c r="D109" s="47"/>
      <c r="E109" s="55"/>
      <c r="F109" s="52"/>
      <c r="G109" s="52"/>
      <c r="H109" s="51"/>
      <c r="I109" s="60"/>
      <c r="J109" s="49"/>
      <c r="K109" s="55"/>
      <c r="L109" s="49"/>
      <c r="M109" s="47"/>
      <c r="N109" s="47"/>
      <c r="O109" s="47" t="str">
        <f t="shared" si="36"/>
        <v/>
      </c>
      <c r="P109" s="55" t="str">
        <f t="shared" si="37"/>
        <v/>
      </c>
      <c r="Q109" s="55"/>
      <c r="R109" s="55"/>
      <c r="S109" s="36"/>
      <c r="T109" s="36"/>
      <c r="U109" s="36"/>
      <c r="V109" s="12" t="s">
        <v>123</v>
      </c>
      <c r="W109" s="13" t="s">
        <v>119</v>
      </c>
      <c r="X109" s="14">
        <v>4</v>
      </c>
    </row>
    <row r="110" spans="1:27" x14ac:dyDescent="0.25">
      <c r="A110" s="47">
        <v>30</v>
      </c>
      <c r="B110" s="48"/>
      <c r="C110" s="54" t="s">
        <v>124</v>
      </c>
      <c r="D110" s="47" t="s">
        <v>125</v>
      </c>
      <c r="E110" s="92" t="s">
        <v>37</v>
      </c>
      <c r="F110" s="47">
        <v>0</v>
      </c>
      <c r="G110" s="52">
        <v>56596</v>
      </c>
      <c r="H110" s="51">
        <v>0</v>
      </c>
      <c r="I110" s="59">
        <v>1</v>
      </c>
      <c r="J110" s="49"/>
      <c r="K110" s="55"/>
      <c r="L110" s="49" t="s">
        <v>126</v>
      </c>
      <c r="M110" s="47">
        <f t="shared" si="0"/>
        <v>54</v>
      </c>
      <c r="N110" s="47">
        <f t="shared" si="1"/>
        <v>4</v>
      </c>
      <c r="O110" s="47">
        <f t="shared" si="36"/>
        <v>27678</v>
      </c>
      <c r="P110" s="55" t="str">
        <f t="shared" si="37"/>
        <v>0x6C1E</v>
      </c>
      <c r="Q110" s="55"/>
      <c r="R110" s="55"/>
      <c r="S110" s="36"/>
      <c r="T110" s="36"/>
      <c r="U110" s="36" t="s">
        <v>131</v>
      </c>
      <c r="Y110" s="1" t="s">
        <v>124</v>
      </c>
      <c r="Z110" s="1" t="s">
        <v>67</v>
      </c>
      <c r="AA110" s="1">
        <v>0</v>
      </c>
    </row>
    <row r="111" spans="1:27" x14ac:dyDescent="0.25">
      <c r="A111" s="47"/>
      <c r="B111" s="48"/>
      <c r="C111" s="54" t="s">
        <v>59</v>
      </c>
      <c r="D111" s="47"/>
      <c r="E111" s="55"/>
      <c r="F111" s="47"/>
      <c r="G111" s="52"/>
      <c r="H111" s="51"/>
      <c r="J111" s="49"/>
      <c r="K111" s="55"/>
      <c r="L111" s="49"/>
      <c r="M111" s="47"/>
      <c r="N111" s="47"/>
      <c r="O111" s="47" t="str">
        <f t="shared" si="36"/>
        <v/>
      </c>
      <c r="P111" s="55" t="str">
        <f t="shared" si="37"/>
        <v/>
      </c>
      <c r="Q111" s="55"/>
      <c r="R111" s="55"/>
      <c r="S111" s="36"/>
      <c r="T111" s="36"/>
      <c r="U111" s="36"/>
      <c r="Y111" s="1" t="s">
        <v>124</v>
      </c>
      <c r="Z111" s="1" t="s">
        <v>68</v>
      </c>
      <c r="AA111" s="1">
        <v>1</v>
      </c>
    </row>
    <row r="112" spans="1:27" x14ac:dyDescent="0.25">
      <c r="A112" s="47">
        <v>35</v>
      </c>
      <c r="B112" s="48"/>
      <c r="C112" s="54" t="s">
        <v>127</v>
      </c>
      <c r="D112" s="47" t="s">
        <v>40</v>
      </c>
      <c r="E112" s="92" t="s">
        <v>37</v>
      </c>
      <c r="F112" s="47">
        <v>0</v>
      </c>
      <c r="G112" s="52">
        <v>65535</v>
      </c>
      <c r="H112" s="51">
        <v>0</v>
      </c>
      <c r="I112" s="59">
        <v>1</v>
      </c>
      <c r="J112" s="49"/>
      <c r="K112" s="55"/>
      <c r="L112" s="49" t="s">
        <v>128</v>
      </c>
      <c r="M112" s="47">
        <f t="shared" si="0"/>
        <v>54</v>
      </c>
      <c r="N112" s="47">
        <f t="shared" si="1"/>
        <v>4</v>
      </c>
      <c r="O112" s="47">
        <f t="shared" ref="O112:O115" si="38">IF(A112&lt;&gt;"",M112*2^9+A112,"")</f>
        <v>27683</v>
      </c>
      <c r="P112" s="55" t="str">
        <f t="shared" ref="P112:P115" si="39">IF(A112&lt;&gt;"","0x" &amp;DEC2HEX( O112,4),"")</f>
        <v>0x6C23</v>
      </c>
      <c r="Q112" s="55"/>
      <c r="R112" s="55"/>
      <c r="S112" s="36"/>
      <c r="T112" s="36"/>
      <c r="U112" s="36"/>
      <c r="Y112" s="1" t="s">
        <v>127</v>
      </c>
      <c r="Z112" s="1" t="s">
        <v>67</v>
      </c>
      <c r="AA112" s="1">
        <v>0</v>
      </c>
    </row>
    <row r="113" spans="1:27" x14ac:dyDescent="0.25">
      <c r="A113" s="47"/>
      <c r="B113" s="48"/>
      <c r="C113" s="54" t="s">
        <v>59</v>
      </c>
      <c r="D113" s="47"/>
      <c r="E113" s="55"/>
      <c r="F113" s="47"/>
      <c r="G113" s="52"/>
      <c r="H113" s="51"/>
      <c r="J113" s="49"/>
      <c r="K113" s="55"/>
      <c r="L113" s="49"/>
      <c r="M113" s="47"/>
      <c r="N113" s="47"/>
      <c r="O113" s="47" t="str">
        <f t="shared" si="38"/>
        <v/>
      </c>
      <c r="P113" s="55" t="str">
        <f t="shared" si="39"/>
        <v/>
      </c>
      <c r="Q113" s="55"/>
      <c r="R113" s="55"/>
      <c r="S113" s="36"/>
      <c r="T113" s="36"/>
      <c r="U113" s="36"/>
      <c r="Y113" s="1" t="s">
        <v>127</v>
      </c>
      <c r="Z113" s="1" t="s">
        <v>68</v>
      </c>
      <c r="AA113" s="1">
        <v>1</v>
      </c>
    </row>
    <row r="114" spans="1:27" x14ac:dyDescent="0.25">
      <c r="A114" s="47">
        <v>36</v>
      </c>
      <c r="B114" s="48"/>
      <c r="C114" s="54" t="s">
        <v>129</v>
      </c>
      <c r="D114" s="47" t="s">
        <v>36</v>
      </c>
      <c r="E114" s="92" t="s">
        <v>35</v>
      </c>
      <c r="F114" s="47">
        <v>0</v>
      </c>
      <c r="G114" s="52">
        <v>65535</v>
      </c>
      <c r="H114" s="51">
        <v>0</v>
      </c>
      <c r="I114" s="59">
        <v>1</v>
      </c>
      <c r="J114" s="49"/>
      <c r="K114" s="55"/>
      <c r="L114" s="49" t="s">
        <v>130</v>
      </c>
      <c r="M114" s="47">
        <f t="shared" si="0"/>
        <v>54</v>
      </c>
      <c r="N114" s="47">
        <f t="shared" si="1"/>
        <v>4</v>
      </c>
      <c r="O114" s="47">
        <f t="shared" si="38"/>
        <v>27684</v>
      </c>
      <c r="P114" s="55" t="str">
        <f t="shared" si="39"/>
        <v>0x6C24</v>
      </c>
      <c r="Q114" s="55"/>
      <c r="R114" s="55"/>
      <c r="S114" s="36"/>
      <c r="T114" s="36"/>
      <c r="U114" s="36" t="s">
        <v>131</v>
      </c>
    </row>
    <row r="115" spans="1:27" x14ac:dyDescent="0.25">
      <c r="A115" s="47">
        <v>37</v>
      </c>
      <c r="B115" s="48"/>
      <c r="C115" s="54" t="s">
        <v>132</v>
      </c>
      <c r="D115" s="47" t="s">
        <v>40</v>
      </c>
      <c r="E115" s="92" t="s">
        <v>35</v>
      </c>
      <c r="F115" s="47">
        <v>0</v>
      </c>
      <c r="G115" s="52">
        <v>22</v>
      </c>
      <c r="H115" s="51"/>
      <c r="I115" s="59">
        <v>1E-3</v>
      </c>
      <c r="J115" s="49"/>
      <c r="K115" s="55" t="s">
        <v>136</v>
      </c>
      <c r="L115" s="49" t="s">
        <v>137</v>
      </c>
      <c r="M115" s="47">
        <f t="shared" si="0"/>
        <v>54</v>
      </c>
      <c r="N115" s="47">
        <f t="shared" si="1"/>
        <v>4</v>
      </c>
      <c r="O115" s="47">
        <f t="shared" si="38"/>
        <v>27685</v>
      </c>
      <c r="P115" s="55" t="str">
        <f t="shared" si="39"/>
        <v>0x6C25</v>
      </c>
      <c r="Q115" s="55"/>
      <c r="R115" s="55"/>
      <c r="S115" s="36"/>
      <c r="T115" s="36"/>
      <c r="U115" s="36"/>
    </row>
    <row r="116" spans="1:27" x14ac:dyDescent="0.25">
      <c r="A116" s="47">
        <v>38</v>
      </c>
      <c r="B116" s="48"/>
      <c r="C116" s="54" t="s">
        <v>133</v>
      </c>
      <c r="D116" s="47" t="s">
        <v>40</v>
      </c>
      <c r="E116" s="92" t="s">
        <v>35</v>
      </c>
      <c r="F116" s="47">
        <v>0</v>
      </c>
      <c r="G116" s="52">
        <v>22</v>
      </c>
      <c r="H116" s="51"/>
      <c r="I116" s="59">
        <v>1E-3</v>
      </c>
      <c r="J116" s="49"/>
      <c r="K116" s="55" t="s">
        <v>136</v>
      </c>
      <c r="L116" s="49" t="s">
        <v>137</v>
      </c>
      <c r="M116" s="47">
        <f t="shared" si="0"/>
        <v>54</v>
      </c>
      <c r="N116" s="47">
        <f t="shared" si="1"/>
        <v>4</v>
      </c>
      <c r="O116" s="47">
        <f t="shared" ref="O116:O119" si="40">IF(A116&lt;&gt;"",M116*2^9+A116,"")</f>
        <v>27686</v>
      </c>
      <c r="P116" s="55" t="str">
        <f t="shared" ref="P116:P119" si="41">IF(A116&lt;&gt;"","0x" &amp;DEC2HEX( O116,4),"")</f>
        <v>0x6C26</v>
      </c>
      <c r="Q116" s="55"/>
      <c r="R116" s="55"/>
      <c r="S116" s="36"/>
      <c r="T116" s="36"/>
      <c r="U116" s="36"/>
    </row>
    <row r="117" spans="1:27" x14ac:dyDescent="0.25">
      <c r="A117" s="47">
        <v>39</v>
      </c>
      <c r="B117" s="48"/>
      <c r="C117" s="54" t="s">
        <v>134</v>
      </c>
      <c r="D117" s="47" t="s">
        <v>40</v>
      </c>
      <c r="E117" s="92" t="s">
        <v>35</v>
      </c>
      <c r="F117" s="47">
        <v>0</v>
      </c>
      <c r="G117" s="52">
        <v>22</v>
      </c>
      <c r="H117" s="51"/>
      <c r="I117" s="59">
        <v>1E-3</v>
      </c>
      <c r="J117" s="49"/>
      <c r="K117" s="55" t="s">
        <v>136</v>
      </c>
      <c r="L117" s="49" t="s">
        <v>137</v>
      </c>
      <c r="M117" s="47">
        <f t="shared" si="0"/>
        <v>54</v>
      </c>
      <c r="N117" s="47">
        <f t="shared" si="1"/>
        <v>4</v>
      </c>
      <c r="O117" s="47">
        <f t="shared" si="40"/>
        <v>27687</v>
      </c>
      <c r="P117" s="55" t="str">
        <f t="shared" si="41"/>
        <v>0x6C27</v>
      </c>
      <c r="Q117" s="55"/>
      <c r="R117" s="55"/>
      <c r="S117" s="36"/>
      <c r="T117" s="36"/>
      <c r="U117" s="36"/>
    </row>
    <row r="118" spans="1:27" x14ac:dyDescent="0.25">
      <c r="A118" s="47">
        <v>40</v>
      </c>
      <c r="B118" s="48"/>
      <c r="C118" s="54" t="s">
        <v>135</v>
      </c>
      <c r="D118" s="47" t="s">
        <v>40</v>
      </c>
      <c r="E118" s="92" t="s">
        <v>35</v>
      </c>
      <c r="F118" s="47">
        <v>0</v>
      </c>
      <c r="G118" s="52">
        <v>22</v>
      </c>
      <c r="H118" s="51"/>
      <c r="I118" s="59">
        <v>1E-3</v>
      </c>
      <c r="J118" s="49"/>
      <c r="K118" s="55" t="s">
        <v>136</v>
      </c>
      <c r="L118" s="49" t="s">
        <v>137</v>
      </c>
      <c r="M118" s="47">
        <f t="shared" si="0"/>
        <v>54</v>
      </c>
      <c r="N118" s="47">
        <f t="shared" si="1"/>
        <v>4</v>
      </c>
      <c r="O118" s="47">
        <f t="shared" si="40"/>
        <v>27688</v>
      </c>
      <c r="P118" s="55" t="str">
        <f t="shared" si="41"/>
        <v>0x6C28</v>
      </c>
      <c r="Q118" s="55"/>
      <c r="R118" s="55"/>
      <c r="S118" s="36"/>
      <c r="T118" s="36"/>
      <c r="U118" s="36"/>
    </row>
    <row r="119" spans="1:27" x14ac:dyDescent="0.25">
      <c r="A119" s="47">
        <v>41</v>
      </c>
      <c r="B119" s="48"/>
      <c r="C119" s="54" t="s">
        <v>148</v>
      </c>
      <c r="D119" s="47" t="s">
        <v>40</v>
      </c>
      <c r="E119" s="92" t="s">
        <v>35</v>
      </c>
      <c r="F119" s="47">
        <v>0</v>
      </c>
      <c r="G119" s="52">
        <v>4000</v>
      </c>
      <c r="H119" s="51"/>
      <c r="I119" s="59">
        <v>0.1</v>
      </c>
      <c r="J119" s="49"/>
      <c r="K119" s="55" t="s">
        <v>136</v>
      </c>
      <c r="L119" s="49" t="s">
        <v>138</v>
      </c>
      <c r="M119" s="47">
        <f t="shared" si="0"/>
        <v>54</v>
      </c>
      <c r="N119" s="47">
        <f t="shared" si="1"/>
        <v>4</v>
      </c>
      <c r="O119" s="47">
        <f t="shared" si="40"/>
        <v>27689</v>
      </c>
      <c r="P119" s="55" t="str">
        <f t="shared" si="41"/>
        <v>0x6C29</v>
      </c>
      <c r="Q119" s="55"/>
      <c r="R119" s="55"/>
      <c r="S119" s="36"/>
      <c r="T119" s="36"/>
      <c r="U119" s="36"/>
    </row>
    <row r="120" spans="1:27" x14ac:dyDescent="0.25">
      <c r="A120" s="47">
        <v>42</v>
      </c>
      <c r="B120" s="48"/>
      <c r="C120" s="54" t="s">
        <v>149</v>
      </c>
      <c r="D120" s="47" t="s">
        <v>40</v>
      </c>
      <c r="E120" s="92" t="s">
        <v>35</v>
      </c>
      <c r="F120" s="47">
        <v>0</v>
      </c>
      <c r="G120" s="52">
        <v>4000</v>
      </c>
      <c r="H120" s="51"/>
      <c r="I120" s="59">
        <v>0.1</v>
      </c>
      <c r="J120" s="49"/>
      <c r="K120" s="55" t="s">
        <v>136</v>
      </c>
      <c r="L120" s="49" t="s">
        <v>138</v>
      </c>
      <c r="M120" s="47">
        <f t="shared" si="0"/>
        <v>54</v>
      </c>
      <c r="N120" s="47">
        <f t="shared" si="1"/>
        <v>4</v>
      </c>
      <c r="O120" s="47">
        <f t="shared" ref="O120:O133" si="42">IF(A120&lt;&gt;"",M120*2^9+A120,"")</f>
        <v>27690</v>
      </c>
      <c r="P120" s="55" t="str">
        <f t="shared" ref="P120:P133" si="43">IF(A120&lt;&gt;"","0x" &amp;DEC2HEX( O120,4),"")</f>
        <v>0x6C2A</v>
      </c>
      <c r="Q120" s="55"/>
      <c r="R120" s="55"/>
      <c r="S120" s="36"/>
      <c r="T120" s="36"/>
      <c r="U120" s="36"/>
    </row>
    <row r="121" spans="1:27" x14ac:dyDescent="0.25">
      <c r="A121" s="47">
        <v>43</v>
      </c>
      <c r="B121" s="48"/>
      <c r="C121" s="54" t="s">
        <v>150</v>
      </c>
      <c r="D121" s="47" t="s">
        <v>40</v>
      </c>
      <c r="E121" s="92" t="s">
        <v>35</v>
      </c>
      <c r="F121" s="47">
        <v>0</v>
      </c>
      <c r="G121" s="52">
        <v>4000</v>
      </c>
      <c r="H121" s="51"/>
      <c r="I121" s="59">
        <v>0.1</v>
      </c>
      <c r="J121" s="49"/>
      <c r="K121" s="55" t="s">
        <v>136</v>
      </c>
      <c r="L121" s="49" t="s">
        <v>138</v>
      </c>
      <c r="M121" s="47">
        <f t="shared" si="0"/>
        <v>54</v>
      </c>
      <c r="N121" s="47">
        <f t="shared" si="1"/>
        <v>4</v>
      </c>
      <c r="O121" s="47">
        <f t="shared" si="42"/>
        <v>27691</v>
      </c>
      <c r="P121" s="55" t="str">
        <f t="shared" si="43"/>
        <v>0x6C2B</v>
      </c>
      <c r="Q121" s="55"/>
      <c r="R121" s="55"/>
      <c r="S121" s="36"/>
      <c r="T121" s="36"/>
      <c r="U121" s="36"/>
    </row>
    <row r="122" spans="1:27" x14ac:dyDescent="0.25">
      <c r="A122" s="47">
        <v>44</v>
      </c>
      <c r="B122" s="48"/>
      <c r="C122" s="54" t="s">
        <v>151</v>
      </c>
      <c r="D122" s="47" t="s">
        <v>40</v>
      </c>
      <c r="E122" s="92" t="s">
        <v>35</v>
      </c>
      <c r="F122" s="47">
        <v>0</v>
      </c>
      <c r="G122" s="52">
        <v>4000</v>
      </c>
      <c r="H122" s="51"/>
      <c r="I122" s="59">
        <v>0.1</v>
      </c>
      <c r="J122" s="49"/>
      <c r="K122" s="55" t="s">
        <v>136</v>
      </c>
      <c r="L122" s="49" t="s">
        <v>138</v>
      </c>
      <c r="M122" s="47">
        <f t="shared" si="0"/>
        <v>54</v>
      </c>
      <c r="N122" s="47">
        <f t="shared" si="1"/>
        <v>4</v>
      </c>
      <c r="O122" s="47">
        <f t="shared" si="42"/>
        <v>27692</v>
      </c>
      <c r="P122" s="55" t="str">
        <f t="shared" si="43"/>
        <v>0x6C2C</v>
      </c>
      <c r="Q122" s="55"/>
      <c r="R122" s="55"/>
      <c r="S122" s="36"/>
      <c r="T122" s="36"/>
      <c r="U122" s="36"/>
    </row>
    <row r="123" spans="1:27" x14ac:dyDescent="0.25">
      <c r="A123" s="47">
        <v>45</v>
      </c>
      <c r="B123" s="48"/>
      <c r="C123" s="54" t="s">
        <v>152</v>
      </c>
      <c r="D123" s="47" t="s">
        <v>40</v>
      </c>
      <c r="E123" s="92" t="s">
        <v>35</v>
      </c>
      <c r="F123" s="47">
        <v>0</v>
      </c>
      <c r="G123" s="52">
        <v>4000</v>
      </c>
      <c r="H123" s="51"/>
      <c r="I123" s="59">
        <v>0.1</v>
      </c>
      <c r="J123" s="49"/>
      <c r="K123" s="55" t="s">
        <v>136</v>
      </c>
      <c r="L123" s="49" t="s">
        <v>138</v>
      </c>
      <c r="M123" s="47">
        <f t="shared" si="0"/>
        <v>54</v>
      </c>
      <c r="N123" s="47">
        <f t="shared" si="1"/>
        <v>4</v>
      </c>
      <c r="O123" s="47">
        <f t="shared" si="42"/>
        <v>27693</v>
      </c>
      <c r="P123" s="55" t="str">
        <f t="shared" si="43"/>
        <v>0x6C2D</v>
      </c>
      <c r="Q123" s="55"/>
      <c r="R123" s="55"/>
      <c r="S123" s="36"/>
      <c r="T123" s="36"/>
      <c r="U123" s="36"/>
    </row>
    <row r="124" spans="1:27" x14ac:dyDescent="0.25">
      <c r="A124" s="47">
        <v>46</v>
      </c>
      <c r="B124" s="48"/>
      <c r="C124" s="54" t="s">
        <v>153</v>
      </c>
      <c r="D124" s="47" t="s">
        <v>40</v>
      </c>
      <c r="E124" s="92" t="s">
        <v>35</v>
      </c>
      <c r="F124" s="47">
        <v>0</v>
      </c>
      <c r="G124" s="52">
        <v>4000</v>
      </c>
      <c r="H124" s="51"/>
      <c r="I124" s="59">
        <v>0.1</v>
      </c>
      <c r="J124" s="49"/>
      <c r="K124" s="55" t="s">
        <v>136</v>
      </c>
      <c r="L124" s="49" t="s">
        <v>138</v>
      </c>
      <c r="M124" s="47">
        <f t="shared" si="0"/>
        <v>54</v>
      </c>
      <c r="N124" s="47">
        <f t="shared" si="1"/>
        <v>4</v>
      </c>
      <c r="O124" s="47">
        <f t="shared" si="42"/>
        <v>27694</v>
      </c>
      <c r="P124" s="55" t="str">
        <f t="shared" si="43"/>
        <v>0x6C2E</v>
      </c>
      <c r="Q124" s="55"/>
      <c r="R124" s="55"/>
      <c r="S124" s="36"/>
      <c r="T124" s="36"/>
      <c r="U124" s="36"/>
    </row>
    <row r="125" spans="1:27" x14ac:dyDescent="0.25">
      <c r="A125" s="47">
        <v>47</v>
      </c>
      <c r="B125" s="48"/>
      <c r="C125" s="54" t="s">
        <v>154</v>
      </c>
      <c r="D125" s="47" t="s">
        <v>40</v>
      </c>
      <c r="E125" s="92" t="s">
        <v>35</v>
      </c>
      <c r="F125" s="47">
        <v>0</v>
      </c>
      <c r="G125" s="52">
        <v>4000</v>
      </c>
      <c r="H125" s="51"/>
      <c r="I125" s="59">
        <v>0.1</v>
      </c>
      <c r="J125" s="49"/>
      <c r="K125" s="55" t="s">
        <v>136</v>
      </c>
      <c r="L125" s="49" t="s">
        <v>138</v>
      </c>
      <c r="M125" s="47">
        <f t="shared" si="0"/>
        <v>54</v>
      </c>
      <c r="N125" s="47">
        <f t="shared" si="1"/>
        <v>4</v>
      </c>
      <c r="O125" s="47">
        <f t="shared" si="42"/>
        <v>27695</v>
      </c>
      <c r="P125" s="55" t="str">
        <f t="shared" si="43"/>
        <v>0x6C2F</v>
      </c>
      <c r="Q125" s="55"/>
      <c r="R125" s="55"/>
      <c r="S125" s="36"/>
      <c r="T125" s="36"/>
      <c r="U125" s="36"/>
    </row>
    <row r="126" spans="1:27" x14ac:dyDescent="0.25">
      <c r="A126" s="47">
        <v>48</v>
      </c>
      <c r="B126" s="48"/>
      <c r="C126" s="54" t="s">
        <v>155</v>
      </c>
      <c r="D126" s="47" t="s">
        <v>40</v>
      </c>
      <c r="E126" s="92" t="s">
        <v>35</v>
      </c>
      <c r="F126" s="47">
        <v>0</v>
      </c>
      <c r="G126" s="52">
        <v>4000</v>
      </c>
      <c r="H126" s="51"/>
      <c r="I126" s="59">
        <v>0.1</v>
      </c>
      <c r="J126" s="49"/>
      <c r="K126" s="55" t="s">
        <v>136</v>
      </c>
      <c r="L126" s="49" t="s">
        <v>138</v>
      </c>
      <c r="M126" s="47">
        <f t="shared" si="0"/>
        <v>54</v>
      </c>
      <c r="N126" s="47">
        <f t="shared" si="1"/>
        <v>4</v>
      </c>
      <c r="O126" s="47">
        <f t="shared" si="42"/>
        <v>27696</v>
      </c>
      <c r="P126" s="55" t="str">
        <f t="shared" si="43"/>
        <v>0x6C30</v>
      </c>
      <c r="Q126" s="55"/>
      <c r="R126" s="55"/>
      <c r="S126" s="36"/>
      <c r="T126" s="36"/>
      <c r="U126" s="36"/>
    </row>
    <row r="127" spans="1:27" x14ac:dyDescent="0.25">
      <c r="A127" s="47">
        <v>49</v>
      </c>
      <c r="B127" s="48"/>
      <c r="C127" s="54" t="s">
        <v>160</v>
      </c>
      <c r="D127" s="47" t="s">
        <v>40</v>
      </c>
      <c r="E127" s="92" t="s">
        <v>37</v>
      </c>
      <c r="F127" s="47">
        <v>0</v>
      </c>
      <c r="G127" s="52">
        <v>2000</v>
      </c>
      <c r="H127" s="51">
        <v>0</v>
      </c>
      <c r="I127" s="59">
        <v>1</v>
      </c>
      <c r="J127" s="49" t="s">
        <v>70</v>
      </c>
      <c r="K127" s="55"/>
      <c r="L127" s="49" t="s">
        <v>165</v>
      </c>
      <c r="M127" s="47">
        <f t="shared" si="0"/>
        <v>54</v>
      </c>
      <c r="N127" s="47">
        <f t="shared" si="1"/>
        <v>4</v>
      </c>
      <c r="O127" s="47">
        <f t="shared" si="42"/>
        <v>27697</v>
      </c>
      <c r="P127" s="55" t="str">
        <f t="shared" si="43"/>
        <v>0x6C31</v>
      </c>
      <c r="Q127" s="55"/>
      <c r="R127" s="55"/>
      <c r="S127" s="36"/>
      <c r="T127" s="36"/>
      <c r="U127" s="36"/>
      <c r="Y127" s="54" t="s">
        <v>160</v>
      </c>
      <c r="Z127" s="1" t="s">
        <v>66</v>
      </c>
      <c r="AA127" s="1">
        <v>0</v>
      </c>
    </row>
    <row r="128" spans="1:27" x14ac:dyDescent="0.25">
      <c r="A128" s="47"/>
      <c r="B128" s="48"/>
      <c r="C128" s="54" t="s">
        <v>59</v>
      </c>
      <c r="D128" s="47"/>
      <c r="E128" s="92"/>
      <c r="F128" s="47"/>
      <c r="G128" s="52"/>
      <c r="H128" s="51"/>
      <c r="J128" s="49"/>
      <c r="K128" s="55"/>
      <c r="L128" s="49"/>
      <c r="M128" s="47"/>
      <c r="N128" s="47"/>
      <c r="O128" s="47"/>
      <c r="P128" s="55"/>
      <c r="Q128" s="55"/>
      <c r="R128" s="55"/>
      <c r="S128" s="36"/>
      <c r="T128" s="36"/>
      <c r="U128" s="36"/>
      <c r="Y128" s="54" t="s">
        <v>160</v>
      </c>
      <c r="Z128" s="1" t="s">
        <v>65</v>
      </c>
      <c r="AA128" s="1">
        <v>1</v>
      </c>
    </row>
    <row r="129" spans="1:27" x14ac:dyDescent="0.25">
      <c r="A129" s="47">
        <v>50</v>
      </c>
      <c r="B129" s="48"/>
      <c r="C129" s="54" t="s">
        <v>161</v>
      </c>
      <c r="D129" s="47" t="s">
        <v>40</v>
      </c>
      <c r="E129" s="92" t="s">
        <v>37</v>
      </c>
      <c r="F129" s="47">
        <v>0</v>
      </c>
      <c r="G129" s="52">
        <v>2000</v>
      </c>
      <c r="H129" s="51">
        <v>0</v>
      </c>
      <c r="I129" s="59">
        <v>1</v>
      </c>
      <c r="J129" s="49" t="s">
        <v>70</v>
      </c>
      <c r="K129" s="55"/>
      <c r="L129" s="49" t="s">
        <v>165</v>
      </c>
      <c r="M129" s="47">
        <f t="shared" si="0"/>
        <v>54</v>
      </c>
      <c r="N129" s="47">
        <f t="shared" si="1"/>
        <v>4</v>
      </c>
      <c r="O129" s="47">
        <f t="shared" si="42"/>
        <v>27698</v>
      </c>
      <c r="P129" s="55" t="str">
        <f t="shared" si="43"/>
        <v>0x6C32</v>
      </c>
      <c r="Q129" s="55"/>
      <c r="R129" s="55"/>
      <c r="S129" s="36"/>
      <c r="T129" s="36"/>
      <c r="U129" s="36"/>
      <c r="Y129" s="54" t="s">
        <v>161</v>
      </c>
      <c r="Z129" s="1" t="s">
        <v>66</v>
      </c>
      <c r="AA129" s="1">
        <v>0</v>
      </c>
    </row>
    <row r="130" spans="1:27" x14ac:dyDescent="0.25">
      <c r="A130" s="47"/>
      <c r="B130" s="48"/>
      <c r="C130" s="54" t="s">
        <v>59</v>
      </c>
      <c r="D130" s="47"/>
      <c r="E130" s="92"/>
      <c r="F130" s="47"/>
      <c r="G130" s="52"/>
      <c r="H130" s="51"/>
      <c r="J130" s="49"/>
      <c r="K130" s="55"/>
      <c r="L130" s="49"/>
      <c r="M130" s="47"/>
      <c r="N130" s="47"/>
      <c r="O130" s="47"/>
      <c r="P130" s="55"/>
      <c r="Q130" s="55"/>
      <c r="R130" s="55"/>
      <c r="S130" s="36"/>
      <c r="T130" s="36"/>
      <c r="U130" s="36"/>
      <c r="Y130" s="54" t="s">
        <v>161</v>
      </c>
      <c r="Z130" s="1" t="s">
        <v>65</v>
      </c>
      <c r="AA130" s="1">
        <v>1</v>
      </c>
    </row>
    <row r="131" spans="1:27" x14ac:dyDescent="0.25">
      <c r="A131" s="47">
        <v>51</v>
      </c>
      <c r="B131" s="48"/>
      <c r="C131" s="54" t="s">
        <v>162</v>
      </c>
      <c r="D131" s="47" t="s">
        <v>40</v>
      </c>
      <c r="E131" s="92" t="s">
        <v>37</v>
      </c>
      <c r="F131" s="47">
        <v>0</v>
      </c>
      <c r="G131" s="52">
        <v>2000</v>
      </c>
      <c r="H131" s="51">
        <v>0</v>
      </c>
      <c r="I131" s="59">
        <v>1</v>
      </c>
      <c r="J131" s="49" t="s">
        <v>70</v>
      </c>
      <c r="K131" s="55"/>
      <c r="L131" s="49" t="s">
        <v>165</v>
      </c>
      <c r="M131" s="47">
        <f t="shared" si="0"/>
        <v>54</v>
      </c>
      <c r="N131" s="47">
        <f t="shared" si="1"/>
        <v>4</v>
      </c>
      <c r="O131" s="47">
        <f t="shared" si="42"/>
        <v>27699</v>
      </c>
      <c r="P131" s="55" t="str">
        <f t="shared" si="43"/>
        <v>0x6C33</v>
      </c>
      <c r="Q131" s="55"/>
      <c r="R131" s="55"/>
      <c r="S131" s="36"/>
      <c r="T131" s="36"/>
      <c r="U131" s="36"/>
      <c r="Y131" s="54" t="s">
        <v>162</v>
      </c>
      <c r="Z131" s="1" t="s">
        <v>66</v>
      </c>
      <c r="AA131" s="1">
        <v>0</v>
      </c>
    </row>
    <row r="132" spans="1:27" x14ac:dyDescent="0.25">
      <c r="A132" s="47"/>
      <c r="B132" s="48"/>
      <c r="C132" s="54" t="s">
        <v>59</v>
      </c>
      <c r="D132" s="47"/>
      <c r="E132" s="92"/>
      <c r="F132" s="47"/>
      <c r="G132" s="52"/>
      <c r="H132" s="51"/>
      <c r="J132" s="49"/>
      <c r="K132" s="55"/>
      <c r="L132" s="49"/>
      <c r="M132" s="47"/>
      <c r="N132" s="47"/>
      <c r="O132" s="47"/>
      <c r="P132" s="55"/>
      <c r="Q132" s="55"/>
      <c r="R132" s="55"/>
      <c r="S132" s="36"/>
      <c r="T132" s="36"/>
      <c r="U132" s="36"/>
      <c r="Y132" s="54" t="s">
        <v>162</v>
      </c>
      <c r="Z132" s="1" t="s">
        <v>65</v>
      </c>
      <c r="AA132" s="1">
        <v>1</v>
      </c>
    </row>
    <row r="133" spans="1:27" x14ac:dyDescent="0.25">
      <c r="A133" s="47">
        <v>52</v>
      </c>
      <c r="B133" s="48"/>
      <c r="C133" s="54" t="s">
        <v>163</v>
      </c>
      <c r="D133" s="47" t="s">
        <v>40</v>
      </c>
      <c r="E133" s="92" t="s">
        <v>37</v>
      </c>
      <c r="F133" s="47">
        <v>0</v>
      </c>
      <c r="G133" s="52">
        <v>2000</v>
      </c>
      <c r="H133" s="51">
        <v>0</v>
      </c>
      <c r="I133" s="59">
        <v>1</v>
      </c>
      <c r="J133" s="49" t="s">
        <v>70</v>
      </c>
      <c r="K133" s="55"/>
      <c r="L133" s="49" t="s">
        <v>165</v>
      </c>
      <c r="M133" s="47">
        <f t="shared" si="0"/>
        <v>54</v>
      </c>
      <c r="N133" s="47">
        <f t="shared" si="1"/>
        <v>4</v>
      </c>
      <c r="O133" s="47">
        <f t="shared" si="42"/>
        <v>27700</v>
      </c>
      <c r="P133" s="55" t="str">
        <f t="shared" si="43"/>
        <v>0x6C34</v>
      </c>
      <c r="Q133" s="55"/>
      <c r="R133" s="55"/>
      <c r="S133" s="36"/>
      <c r="T133" s="36"/>
      <c r="U133" s="36"/>
      <c r="Y133" s="54" t="s">
        <v>163</v>
      </c>
      <c r="Z133" s="1" t="s">
        <v>66</v>
      </c>
      <c r="AA133" s="1">
        <v>0</v>
      </c>
    </row>
    <row r="134" spans="1:27" x14ac:dyDescent="0.25">
      <c r="A134" s="47"/>
      <c r="B134" s="48"/>
      <c r="C134" s="54" t="s">
        <v>59</v>
      </c>
      <c r="D134" s="47"/>
      <c r="E134" s="55"/>
      <c r="F134" s="51"/>
      <c r="G134" s="51"/>
      <c r="H134" s="51"/>
      <c r="I134" s="60"/>
      <c r="J134" s="49"/>
      <c r="K134" s="55"/>
      <c r="L134" s="49"/>
      <c r="M134" s="47">
        <f t="shared" si="0"/>
        <v>54</v>
      </c>
      <c r="N134" s="47">
        <f t="shared" si="1"/>
        <v>4</v>
      </c>
      <c r="O134" s="47" t="str">
        <f t="shared" si="2"/>
        <v/>
      </c>
      <c r="P134" s="55" t="str">
        <f t="shared" si="3"/>
        <v/>
      </c>
      <c r="Q134" s="55"/>
      <c r="R134" s="55"/>
      <c r="S134" s="36"/>
      <c r="T134" s="36"/>
      <c r="U134" s="36"/>
      <c r="Y134" s="54" t="s">
        <v>163</v>
      </c>
      <c r="Z134" s="1" t="s">
        <v>65</v>
      </c>
      <c r="AA134" s="1">
        <v>1</v>
      </c>
    </row>
    <row r="135" spans="1:27" x14ac:dyDescent="0.25">
      <c r="A135" s="47"/>
      <c r="B135" s="48"/>
      <c r="C135" s="54"/>
      <c r="D135" s="47"/>
      <c r="E135" s="55"/>
      <c r="F135" s="51"/>
      <c r="G135" s="51"/>
      <c r="H135" s="51"/>
      <c r="I135" s="61"/>
      <c r="J135" s="49"/>
      <c r="K135" s="55"/>
      <c r="L135" s="49"/>
      <c r="M135" s="47">
        <f t="shared" si="0"/>
        <v>54</v>
      </c>
      <c r="N135" s="47">
        <f t="shared" si="1"/>
        <v>4</v>
      </c>
      <c r="O135" s="47" t="str">
        <f t="shared" si="2"/>
        <v/>
      </c>
      <c r="P135" s="55" t="str">
        <f t="shared" si="3"/>
        <v/>
      </c>
      <c r="Q135" s="55"/>
      <c r="R135" s="55"/>
      <c r="S135" s="36"/>
      <c r="T135" s="36"/>
      <c r="U135" s="36"/>
    </row>
    <row r="136" spans="1:27" x14ac:dyDescent="0.25">
      <c r="A136" s="47"/>
      <c r="B136" s="48"/>
      <c r="C136" s="54"/>
      <c r="D136" s="47"/>
      <c r="E136" s="55"/>
      <c r="F136" s="51"/>
      <c r="G136" s="51"/>
      <c r="H136" s="51"/>
      <c r="I136" s="62"/>
      <c r="J136" s="49"/>
      <c r="K136" s="55"/>
      <c r="L136" s="49"/>
      <c r="M136" s="47">
        <f t="shared" si="0"/>
        <v>54</v>
      </c>
      <c r="N136" s="47">
        <f t="shared" si="1"/>
        <v>4</v>
      </c>
      <c r="O136" s="47" t="str">
        <f t="shared" si="2"/>
        <v/>
      </c>
      <c r="P136" s="55" t="str">
        <f t="shared" si="3"/>
        <v/>
      </c>
      <c r="Q136" s="55"/>
      <c r="R136" s="55"/>
      <c r="S136" s="36"/>
      <c r="T136" s="36"/>
      <c r="U136" s="36"/>
    </row>
    <row r="137" spans="1:27" x14ac:dyDescent="0.25">
      <c r="A137" s="47"/>
      <c r="B137" s="48"/>
      <c r="C137" s="49"/>
      <c r="D137" s="47"/>
      <c r="E137" s="55"/>
      <c r="F137" s="55"/>
      <c r="G137" s="51"/>
      <c r="H137" s="51"/>
      <c r="J137" s="63"/>
      <c r="K137" s="64"/>
      <c r="L137" s="49"/>
      <c r="M137" s="47">
        <f t="shared" si="0"/>
        <v>54</v>
      </c>
      <c r="N137" s="47">
        <f t="shared" si="1"/>
        <v>4</v>
      </c>
      <c r="O137" s="47" t="str">
        <f>IF(A137&lt;&gt;"",M137*2^9+A137,"")</f>
        <v/>
      </c>
      <c r="P137" s="55" t="str">
        <f t="shared" si="3"/>
        <v/>
      </c>
      <c r="Q137" s="55"/>
      <c r="R137" s="55"/>
      <c r="S137" s="36"/>
      <c r="T137" s="36"/>
      <c r="U137" s="36"/>
    </row>
    <row r="138" spans="1:27" x14ac:dyDescent="0.25">
      <c r="A138" s="47">
        <v>494</v>
      </c>
      <c r="B138" s="48"/>
      <c r="C138" s="49" t="str">
        <f>"GD_ID_"&amp;$D$3&amp;"_ErrorManagement"</f>
        <v>GD_ID_HC_ErrorManagement</v>
      </c>
      <c r="D138" s="65" t="s">
        <v>36</v>
      </c>
      <c r="E138" s="66" t="s">
        <v>37</v>
      </c>
      <c r="F138" s="65">
        <v>0</v>
      </c>
      <c r="G138" s="67">
        <v>255</v>
      </c>
      <c r="H138" s="67"/>
      <c r="I138" s="65"/>
      <c r="J138" s="68"/>
      <c r="K138" s="69" t="s">
        <v>38</v>
      </c>
      <c r="L138" s="70" t="s">
        <v>39</v>
      </c>
      <c r="M138" s="47">
        <f t="shared" si="0"/>
        <v>54</v>
      </c>
      <c r="N138" s="47">
        <f t="shared" si="1"/>
        <v>4</v>
      </c>
      <c r="O138" s="47">
        <f>IF(A138&lt;&gt;"",M138*2^9+A138,"")</f>
        <v>28142</v>
      </c>
      <c r="P138" s="55" t="str">
        <f t="shared" si="3"/>
        <v>0x6DEE</v>
      </c>
      <c r="Q138" s="55"/>
      <c r="R138" s="55"/>
      <c r="S138" s="36"/>
      <c r="T138" s="36"/>
      <c r="U138" s="36"/>
    </row>
    <row r="139" spans="1:27" x14ac:dyDescent="0.25">
      <c r="A139" s="47"/>
      <c r="B139" s="71"/>
      <c r="C139" s="49"/>
      <c r="D139" s="47"/>
      <c r="E139" s="55"/>
      <c r="F139" s="55"/>
      <c r="G139" s="51"/>
      <c r="H139" s="91"/>
      <c r="J139" s="49"/>
      <c r="K139" s="55"/>
      <c r="L139" s="49"/>
      <c r="M139" s="47">
        <f t="shared" si="0"/>
        <v>54</v>
      </c>
      <c r="N139" s="47">
        <f t="shared" si="1"/>
        <v>4</v>
      </c>
      <c r="O139" s="47" t="str">
        <f>IF(A139&lt;&gt;"",M139*2^9+A139,"")</f>
        <v/>
      </c>
      <c r="P139" s="55" t="str">
        <f t="shared" si="3"/>
        <v/>
      </c>
      <c r="Q139" s="55"/>
      <c r="R139" s="55"/>
      <c r="S139" s="36"/>
      <c r="T139" s="36"/>
      <c r="U139" s="36"/>
    </row>
    <row r="140" spans="1:27" x14ac:dyDescent="0.25">
      <c r="A140" s="72">
        <v>511</v>
      </c>
      <c r="B140" s="73"/>
      <c r="C140" s="74" t="str">
        <f>"GD_ID_"&amp;$D$3&amp;"_LifeMessage"</f>
        <v>GD_ID_HC_LifeMessage</v>
      </c>
      <c r="D140" s="75" t="s">
        <v>40</v>
      </c>
      <c r="E140" s="76" t="s">
        <v>35</v>
      </c>
      <c r="F140" s="77">
        <v>0</v>
      </c>
      <c r="G140" s="77">
        <v>65535</v>
      </c>
      <c r="H140" s="77"/>
      <c r="I140" s="77">
        <v>1</v>
      </c>
      <c r="J140" s="75" t="s">
        <v>41</v>
      </c>
      <c r="K140" s="78" t="s">
        <v>42</v>
      </c>
      <c r="L140" s="74" t="s">
        <v>76</v>
      </c>
      <c r="M140" s="79">
        <f>$D$5</f>
        <v>54</v>
      </c>
      <c r="N140" s="79">
        <f>$D$4</f>
        <v>4</v>
      </c>
      <c r="O140" s="79">
        <f xml:space="preserve"> (M140*512+A140)</f>
        <v>28159</v>
      </c>
      <c r="P140" s="72" t="str">
        <f t="shared" si="3"/>
        <v>0x6DFF</v>
      </c>
      <c r="Q140" s="72"/>
      <c r="R140" s="72"/>
      <c r="S140" s="36"/>
      <c r="T140" s="36"/>
      <c r="U140" s="36"/>
    </row>
    <row r="141" spans="1:27" x14ac:dyDescent="0.25">
      <c r="A141" s="80" t="s">
        <v>43</v>
      </c>
      <c r="B141" s="71"/>
      <c r="Q141" s="55"/>
      <c r="R141" s="36"/>
      <c r="S141" s="36"/>
      <c r="T141" s="36"/>
      <c r="U141" s="36"/>
    </row>
    <row r="142" spans="1:27" x14ac:dyDescent="0.25">
      <c r="B142" s="71"/>
      <c r="Q142" s="55"/>
      <c r="R142" s="36"/>
      <c r="S142" s="36"/>
      <c r="T142" s="36"/>
      <c r="U142" s="36"/>
    </row>
    <row r="143" spans="1:27" x14ac:dyDescent="0.25">
      <c r="A143" s="81" t="s">
        <v>44</v>
      </c>
      <c r="B143" s="71"/>
      <c r="G143" s="81"/>
      <c r="H143" s="81"/>
      <c r="J143" s="80"/>
      <c r="Q143" s="55"/>
      <c r="R143" s="36"/>
      <c r="S143" s="36"/>
      <c r="T143" s="36"/>
      <c r="U143" s="36"/>
    </row>
    <row r="144" spans="1:27" x14ac:dyDescent="0.25">
      <c r="A144" s="82"/>
      <c r="B144" s="71"/>
      <c r="C144" s="83" t="s">
        <v>45</v>
      </c>
      <c r="J144" s="59"/>
      <c r="Q144" s="55"/>
      <c r="R144" s="36"/>
      <c r="S144" s="36"/>
      <c r="T144" s="36"/>
      <c r="U144" s="36"/>
    </row>
    <row r="145" spans="1:21" x14ac:dyDescent="0.25">
      <c r="B145" s="71"/>
      <c r="C145" s="83" t="s">
        <v>46</v>
      </c>
      <c r="J145" s="59"/>
      <c r="Q145" s="55"/>
      <c r="R145" s="36"/>
      <c r="S145" s="36"/>
      <c r="T145" s="36"/>
      <c r="U145" s="36"/>
    </row>
    <row r="146" spans="1:21" x14ac:dyDescent="0.25">
      <c r="B146" s="71"/>
      <c r="C146" s="1" t="s">
        <v>47</v>
      </c>
      <c r="J146" s="59"/>
      <c r="Q146" s="55"/>
      <c r="R146" s="36"/>
      <c r="S146" s="36"/>
      <c r="T146" s="36"/>
      <c r="U146" s="36"/>
    </row>
    <row r="147" spans="1:21" x14ac:dyDescent="0.25">
      <c r="B147" s="71"/>
      <c r="J147" s="59"/>
      <c r="Q147" s="55"/>
      <c r="R147" s="36"/>
      <c r="S147" s="36"/>
      <c r="T147" s="36"/>
      <c r="U147" s="36"/>
    </row>
    <row r="148" spans="1:21" x14ac:dyDescent="0.25">
      <c r="B148" s="71"/>
      <c r="D148" s="1"/>
      <c r="E148" s="1"/>
      <c r="Q148" s="55"/>
      <c r="R148" s="36"/>
      <c r="S148" s="36"/>
      <c r="T148" s="36"/>
      <c r="U148" s="36"/>
    </row>
    <row r="149" spans="1:21" x14ac:dyDescent="0.25">
      <c r="B149" s="71"/>
      <c r="Q149" s="55"/>
      <c r="R149" s="36"/>
      <c r="S149" s="36"/>
      <c r="T149" s="36"/>
      <c r="U149" s="36"/>
    </row>
    <row r="150" spans="1:21" x14ac:dyDescent="0.25">
      <c r="A150" s="81"/>
      <c r="B150" s="71"/>
      <c r="Q150" s="55"/>
      <c r="R150" s="36"/>
      <c r="S150" s="36"/>
      <c r="T150" s="36"/>
      <c r="U150" s="36"/>
    </row>
    <row r="151" spans="1:21" x14ac:dyDescent="0.25">
      <c r="B151" s="71"/>
      <c r="Q151" s="55"/>
      <c r="R151" s="36"/>
      <c r="S151" s="36"/>
      <c r="T151" s="36"/>
      <c r="U151" s="36"/>
    </row>
    <row r="152" spans="1:21" x14ac:dyDescent="0.25">
      <c r="A152" s="81"/>
      <c r="B152" s="71"/>
      <c r="Q152" s="55"/>
      <c r="R152" s="36"/>
      <c r="S152" s="36"/>
      <c r="T152" s="36"/>
      <c r="U152" s="36"/>
    </row>
    <row r="153" spans="1:21" x14ac:dyDescent="0.25">
      <c r="B153" s="71"/>
      <c r="Q153" s="55"/>
      <c r="R153" s="36"/>
      <c r="S153" s="36"/>
      <c r="T153" s="36"/>
      <c r="U153" s="36"/>
    </row>
    <row r="154" spans="1:21" x14ac:dyDescent="0.25">
      <c r="B154" s="71"/>
      <c r="Q154" s="55"/>
      <c r="R154" s="36"/>
      <c r="S154" s="36"/>
      <c r="T154" s="36"/>
      <c r="U154" s="36"/>
    </row>
    <row r="155" spans="1:21" x14ac:dyDescent="0.25">
      <c r="B155" s="71"/>
      <c r="Q155" s="55"/>
      <c r="R155" s="36"/>
      <c r="S155" s="36"/>
      <c r="T155" s="36"/>
      <c r="U155" s="36"/>
    </row>
    <row r="156" spans="1:21" x14ac:dyDescent="0.25">
      <c r="B156" s="71"/>
      <c r="Q156" s="55"/>
      <c r="R156" s="36"/>
      <c r="S156" s="36"/>
      <c r="T156" s="36"/>
      <c r="U156" s="36"/>
    </row>
    <row r="157" spans="1:21" x14ac:dyDescent="0.25">
      <c r="B157" s="71"/>
      <c r="Q157" s="55"/>
      <c r="R157" s="36"/>
      <c r="S157" s="36"/>
      <c r="T157" s="36"/>
      <c r="U157" s="36"/>
    </row>
    <row r="158" spans="1:21" x14ac:dyDescent="0.25">
      <c r="B158" s="71"/>
      <c r="Q158" s="55"/>
      <c r="R158" s="36"/>
      <c r="S158" s="36"/>
      <c r="T158" s="36"/>
      <c r="U158" s="36"/>
    </row>
    <row r="159" spans="1:21" x14ac:dyDescent="0.25">
      <c r="B159" s="71"/>
      <c r="Q159" s="55"/>
      <c r="R159" s="36"/>
      <c r="S159" s="36"/>
      <c r="T159" s="36"/>
      <c r="U159" s="36"/>
    </row>
    <row r="160" spans="1:21" x14ac:dyDescent="0.25">
      <c r="B160" s="71"/>
      <c r="Q160" s="55"/>
      <c r="R160" s="36"/>
      <c r="S160" s="36"/>
      <c r="T160" s="36"/>
      <c r="U160" s="36"/>
    </row>
    <row r="161" spans="1:21" x14ac:dyDescent="0.25">
      <c r="B161" s="71"/>
      <c r="Q161" s="55"/>
      <c r="R161" s="36"/>
      <c r="S161" s="36"/>
      <c r="T161" s="36"/>
      <c r="U161" s="36"/>
    </row>
    <row r="162" spans="1:21" x14ac:dyDescent="0.25">
      <c r="B162" s="71"/>
      <c r="Q162" s="55"/>
      <c r="R162" s="36"/>
      <c r="S162" s="36"/>
      <c r="T162" s="36"/>
      <c r="U162" s="36"/>
    </row>
    <row r="163" spans="1:21" x14ac:dyDescent="0.25">
      <c r="B163" s="71"/>
      <c r="Q163" s="55"/>
      <c r="R163" s="36"/>
      <c r="S163" s="36"/>
      <c r="T163" s="36"/>
      <c r="U163" s="36"/>
    </row>
    <row r="164" spans="1:21" x14ac:dyDescent="0.25">
      <c r="B164" s="71"/>
      <c r="Q164" s="55"/>
      <c r="R164" s="36"/>
      <c r="S164" s="36"/>
      <c r="T164" s="36"/>
      <c r="U164" s="36"/>
    </row>
    <row r="165" spans="1:21" x14ac:dyDescent="0.25">
      <c r="B165" s="71"/>
      <c r="Q165" s="55"/>
      <c r="R165" s="36"/>
      <c r="S165" s="36"/>
      <c r="T165" s="36"/>
      <c r="U165" s="36"/>
    </row>
    <row r="166" spans="1:21" x14ac:dyDescent="0.25">
      <c r="B166" s="71"/>
      <c r="Q166" s="55"/>
      <c r="R166" s="36"/>
      <c r="S166" s="36"/>
      <c r="T166" s="36"/>
      <c r="U166" s="36"/>
    </row>
    <row r="167" spans="1:21" x14ac:dyDescent="0.25">
      <c r="B167" s="71"/>
      <c r="Q167" s="55"/>
      <c r="R167" s="36"/>
      <c r="S167" s="36"/>
      <c r="T167" s="36"/>
      <c r="U167" s="36"/>
    </row>
    <row r="168" spans="1:21" x14ac:dyDescent="0.25">
      <c r="A168" s="81"/>
      <c r="B168" s="71"/>
      <c r="Q168" s="55"/>
      <c r="R168" s="36"/>
      <c r="S168" s="36"/>
      <c r="T168" s="36"/>
      <c r="U168" s="36"/>
    </row>
    <row r="169" spans="1:21" x14ac:dyDescent="0.25">
      <c r="B169" s="71"/>
      <c r="C169" s="59"/>
      <c r="D169" s="59"/>
      <c r="Q169" s="55"/>
      <c r="R169" s="36"/>
      <c r="S169" s="36"/>
      <c r="T169" s="36"/>
      <c r="U169" s="36"/>
    </row>
    <row r="170" spans="1:21" x14ac:dyDescent="0.25">
      <c r="B170" s="71"/>
      <c r="C170" s="59"/>
      <c r="D170" s="59"/>
      <c r="Q170" s="55"/>
      <c r="R170" s="36"/>
      <c r="S170" s="36"/>
      <c r="T170" s="36"/>
      <c r="U170" s="36"/>
    </row>
    <row r="171" spans="1:21" x14ac:dyDescent="0.25">
      <c r="B171" s="71"/>
      <c r="C171" s="59"/>
      <c r="D171" s="59"/>
      <c r="Q171" s="55"/>
      <c r="R171" s="36"/>
      <c r="S171" s="36"/>
      <c r="T171" s="36"/>
      <c r="U171" s="36"/>
    </row>
    <row r="172" spans="1:21" x14ac:dyDescent="0.25">
      <c r="B172" s="71"/>
      <c r="C172" s="59"/>
      <c r="D172" s="59"/>
      <c r="Q172" s="55"/>
      <c r="R172" s="36"/>
      <c r="S172" s="36"/>
      <c r="T172" s="36"/>
      <c r="U172" s="36"/>
    </row>
    <row r="173" spans="1:21" x14ac:dyDescent="0.25">
      <c r="B173" s="71"/>
      <c r="C173" s="59"/>
      <c r="D173" s="59"/>
      <c r="Q173" s="55"/>
      <c r="R173" s="36"/>
      <c r="S173" s="36"/>
      <c r="T173" s="36"/>
      <c r="U173" s="36"/>
    </row>
    <row r="174" spans="1:21" x14ac:dyDescent="0.25">
      <c r="B174" s="71"/>
      <c r="C174" s="59"/>
      <c r="D174" s="59"/>
      <c r="Q174" s="55"/>
      <c r="R174" s="36"/>
      <c r="S174" s="36"/>
      <c r="T174" s="36"/>
      <c r="U174" s="36"/>
    </row>
    <row r="175" spans="1:21" x14ac:dyDescent="0.25">
      <c r="B175" s="71"/>
      <c r="Q175" s="55"/>
      <c r="R175" s="36"/>
      <c r="S175" s="36"/>
      <c r="T175" s="36"/>
      <c r="U175" s="36"/>
    </row>
    <row r="176" spans="1:21" x14ac:dyDescent="0.25">
      <c r="B176" s="71"/>
      <c r="Q176" s="55"/>
      <c r="R176" s="36"/>
      <c r="S176" s="36"/>
      <c r="T176" s="36"/>
      <c r="U176" s="36"/>
    </row>
    <row r="177" spans="1:21" x14ac:dyDescent="0.25">
      <c r="A177" s="81"/>
      <c r="B177" s="71"/>
      <c r="Q177" s="55"/>
      <c r="R177" s="36"/>
      <c r="S177" s="36"/>
      <c r="T177" s="36"/>
      <c r="U177" s="36"/>
    </row>
    <row r="178" spans="1:21" x14ac:dyDescent="0.25">
      <c r="B178" s="71"/>
      <c r="D178" s="59"/>
      <c r="Q178" s="55"/>
      <c r="R178" s="36"/>
      <c r="S178" s="36"/>
      <c r="T178" s="36"/>
      <c r="U178" s="36"/>
    </row>
    <row r="179" spans="1:21" x14ac:dyDescent="0.25">
      <c r="B179" s="71"/>
      <c r="D179" s="59"/>
      <c r="Q179" s="55"/>
      <c r="R179" s="36"/>
      <c r="S179" s="36"/>
      <c r="T179" s="36"/>
      <c r="U179" s="36"/>
    </row>
    <row r="180" spans="1:21" x14ac:dyDescent="0.25">
      <c r="B180" s="71"/>
      <c r="D180" s="59"/>
      <c r="Q180" s="55"/>
      <c r="R180" s="36"/>
      <c r="S180" s="36"/>
      <c r="T180" s="36"/>
      <c r="U180" s="36"/>
    </row>
    <row r="181" spans="1:21" x14ac:dyDescent="0.25">
      <c r="B181" s="71"/>
      <c r="Q181" s="55"/>
      <c r="R181" s="36"/>
      <c r="S181" s="36"/>
      <c r="T181" s="36"/>
      <c r="U181" s="36"/>
    </row>
    <row r="182" spans="1:21" x14ac:dyDescent="0.25">
      <c r="B182" s="71"/>
      <c r="Q182" s="55"/>
      <c r="R182" s="36"/>
      <c r="S182" s="36"/>
      <c r="T182" s="36"/>
      <c r="U182" s="36"/>
    </row>
    <row r="183" spans="1:21" x14ac:dyDescent="0.25">
      <c r="B183" s="71"/>
      <c r="Q183" s="55"/>
      <c r="R183" s="36"/>
      <c r="S183" s="36"/>
      <c r="T183" s="36"/>
      <c r="U183" s="36"/>
    </row>
    <row r="184" spans="1:21" x14ac:dyDescent="0.25">
      <c r="B184" s="71"/>
      <c r="Q184" s="55"/>
      <c r="R184" s="36"/>
      <c r="S184" s="36"/>
      <c r="T184" s="36"/>
      <c r="U184" s="36"/>
    </row>
    <row r="185" spans="1:21" x14ac:dyDescent="0.25">
      <c r="B185" s="71"/>
      <c r="Q185" s="55"/>
      <c r="R185" s="36"/>
      <c r="S185" s="36"/>
      <c r="T185" s="36"/>
      <c r="U185" s="36"/>
    </row>
    <row r="186" spans="1:21" x14ac:dyDescent="0.25">
      <c r="B186" s="71"/>
      <c r="Q186" s="55"/>
      <c r="R186" s="36"/>
      <c r="S186" s="36"/>
      <c r="T186" s="36"/>
      <c r="U186" s="36"/>
    </row>
    <row r="187" spans="1:21" x14ac:dyDescent="0.25">
      <c r="B187" s="71"/>
      <c r="Q187" s="55"/>
      <c r="R187" s="36"/>
      <c r="S187" s="36"/>
      <c r="T187" s="36"/>
      <c r="U187" s="36"/>
    </row>
    <row r="188" spans="1:21" x14ac:dyDescent="0.25">
      <c r="B188" s="71"/>
      <c r="Q188" s="55"/>
      <c r="R188" s="36"/>
      <c r="S188" s="36"/>
      <c r="T188" s="36"/>
      <c r="U188" s="36"/>
    </row>
    <row r="189" spans="1:21" x14ac:dyDescent="0.25">
      <c r="B189" s="71"/>
      <c r="Q189" s="55"/>
      <c r="R189" s="36"/>
      <c r="S189" s="36"/>
      <c r="T189" s="36"/>
      <c r="U189" s="36"/>
    </row>
    <row r="190" spans="1:21" x14ac:dyDescent="0.25">
      <c r="B190" s="71"/>
      <c r="Q190" s="55"/>
      <c r="R190" s="36"/>
      <c r="S190" s="36"/>
      <c r="T190" s="36"/>
      <c r="U190" s="36"/>
    </row>
    <row r="191" spans="1:21" x14ac:dyDescent="0.25">
      <c r="B191" s="71"/>
      <c r="Q191" s="55"/>
      <c r="R191" s="36"/>
      <c r="S191" s="36"/>
      <c r="T191" s="36"/>
      <c r="U191" s="36"/>
    </row>
    <row r="192" spans="1:21" x14ac:dyDescent="0.25">
      <c r="B192" s="71"/>
      <c r="Q192" s="55"/>
      <c r="R192" s="36"/>
      <c r="S192" s="36"/>
      <c r="T192" s="36"/>
      <c r="U192" s="36"/>
    </row>
    <row r="193" spans="2:21" x14ac:dyDescent="0.25">
      <c r="B193" s="71"/>
      <c r="Q193" s="55"/>
      <c r="R193" s="36"/>
      <c r="S193" s="36"/>
      <c r="T193" s="36"/>
      <c r="U193" s="36"/>
    </row>
    <row r="194" spans="2:21" x14ac:dyDescent="0.25">
      <c r="B194" s="71"/>
      <c r="Q194" s="55"/>
      <c r="R194" s="36"/>
      <c r="S194" s="36"/>
      <c r="T194" s="36"/>
      <c r="U194" s="36"/>
    </row>
    <row r="195" spans="2:21" x14ac:dyDescent="0.25">
      <c r="B195" s="71"/>
      <c r="Q195" s="55"/>
      <c r="R195" s="36"/>
      <c r="S195" s="36"/>
      <c r="T195" s="36"/>
      <c r="U195" s="36"/>
    </row>
    <row r="196" spans="2:21" x14ac:dyDescent="0.25">
      <c r="B196" s="71"/>
      <c r="Q196" s="55"/>
      <c r="R196" s="36"/>
      <c r="S196" s="36"/>
      <c r="T196" s="36"/>
      <c r="U196" s="36"/>
    </row>
    <row r="197" spans="2:21" x14ac:dyDescent="0.25">
      <c r="B197" s="71"/>
      <c r="Q197" s="55"/>
      <c r="R197" s="36"/>
      <c r="S197" s="36"/>
      <c r="T197" s="36"/>
      <c r="U197" s="36"/>
    </row>
    <row r="198" spans="2:21" x14ac:dyDescent="0.25">
      <c r="B198" s="71"/>
      <c r="Q198" s="55"/>
      <c r="R198" s="36"/>
      <c r="S198" s="36"/>
      <c r="T198" s="36"/>
      <c r="U198" s="36"/>
    </row>
    <row r="199" spans="2:21" x14ac:dyDescent="0.25">
      <c r="B199" s="71"/>
      <c r="Q199" s="55"/>
      <c r="R199" s="36"/>
      <c r="S199" s="36"/>
      <c r="T199" s="36"/>
      <c r="U199" s="36"/>
    </row>
    <row r="200" spans="2:21" x14ac:dyDescent="0.25">
      <c r="B200" s="71"/>
      <c r="Q200" s="55"/>
      <c r="R200" s="36"/>
      <c r="S200" s="36"/>
      <c r="T200" s="36"/>
      <c r="U200" s="36"/>
    </row>
    <row r="201" spans="2:21" x14ac:dyDescent="0.25">
      <c r="B201" s="71"/>
      <c r="Q201" s="55"/>
      <c r="R201" s="36"/>
      <c r="S201" s="36"/>
      <c r="T201" s="36"/>
      <c r="U201" s="36"/>
    </row>
    <row r="202" spans="2:21" x14ac:dyDescent="0.25">
      <c r="B202" s="71"/>
      <c r="Q202" s="55"/>
      <c r="R202" s="36"/>
      <c r="S202" s="36"/>
      <c r="T202" s="36"/>
      <c r="U202" s="36"/>
    </row>
    <row r="203" spans="2:21" x14ac:dyDescent="0.25">
      <c r="B203" s="71"/>
      <c r="Q203" s="55"/>
      <c r="R203" s="36"/>
      <c r="S203" s="36"/>
      <c r="T203" s="36"/>
      <c r="U203" s="36"/>
    </row>
    <row r="204" spans="2:21" x14ac:dyDescent="0.25">
      <c r="B204" s="71"/>
      <c r="Q204" s="55"/>
      <c r="R204" s="36"/>
      <c r="S204" s="36"/>
      <c r="T204" s="36"/>
      <c r="U204" s="36"/>
    </row>
    <row r="205" spans="2:21" x14ac:dyDescent="0.25">
      <c r="B205" s="71"/>
      <c r="Q205" s="55"/>
      <c r="R205" s="36"/>
      <c r="S205" s="36"/>
      <c r="T205" s="36"/>
      <c r="U205" s="36"/>
    </row>
    <row r="206" spans="2:21" x14ac:dyDescent="0.25">
      <c r="B206" s="71"/>
      <c r="Q206" s="55"/>
      <c r="R206" s="36"/>
      <c r="S206" s="36"/>
      <c r="T206" s="36"/>
      <c r="U206" s="36"/>
    </row>
    <row r="207" spans="2:21" x14ac:dyDescent="0.25">
      <c r="B207" s="71"/>
      <c r="Q207" s="55"/>
      <c r="R207" s="36"/>
      <c r="S207" s="36"/>
      <c r="T207" s="36"/>
      <c r="U207" s="36"/>
    </row>
    <row r="208" spans="2:21" x14ac:dyDescent="0.25">
      <c r="B208" s="71"/>
      <c r="Q208" s="55"/>
      <c r="R208" s="36"/>
      <c r="S208" s="36"/>
      <c r="T208" s="36"/>
      <c r="U208" s="36"/>
    </row>
    <row r="209" spans="2:21" x14ac:dyDescent="0.25">
      <c r="B209" s="71"/>
      <c r="Q209" s="55"/>
      <c r="R209" s="36"/>
      <c r="S209" s="36"/>
      <c r="T209" s="36"/>
      <c r="U209" s="36"/>
    </row>
    <row r="210" spans="2:21" x14ac:dyDescent="0.25">
      <c r="B210" s="71"/>
      <c r="Q210" s="55"/>
      <c r="R210" s="36"/>
      <c r="S210" s="36"/>
      <c r="T210" s="36"/>
      <c r="U210" s="36"/>
    </row>
    <row r="211" spans="2:21" x14ac:dyDescent="0.25">
      <c r="B211" s="71"/>
      <c r="Q211" s="55"/>
      <c r="R211" s="36"/>
      <c r="S211" s="36"/>
      <c r="T211" s="36"/>
      <c r="U211" s="36"/>
    </row>
    <row r="212" spans="2:21" x14ac:dyDescent="0.25">
      <c r="B212" s="71"/>
      <c r="Q212" s="55"/>
      <c r="R212" s="36"/>
      <c r="S212" s="36"/>
      <c r="T212" s="36"/>
      <c r="U212" s="36"/>
    </row>
    <row r="213" spans="2:21" x14ac:dyDescent="0.25">
      <c r="B213" s="71"/>
      <c r="Q213" s="55"/>
      <c r="R213" s="36"/>
      <c r="S213" s="36"/>
      <c r="T213" s="36"/>
      <c r="U213" s="36"/>
    </row>
    <row r="214" spans="2:21" x14ac:dyDescent="0.25">
      <c r="B214" s="71"/>
      <c r="Q214" s="55"/>
      <c r="R214" s="36"/>
      <c r="S214" s="36"/>
      <c r="T214" s="36"/>
      <c r="U214" s="36"/>
    </row>
    <row r="215" spans="2:21" x14ac:dyDescent="0.25">
      <c r="B215" s="71"/>
      <c r="Q215" s="55"/>
      <c r="R215" s="36"/>
      <c r="S215" s="36"/>
      <c r="T215" s="36"/>
      <c r="U215" s="36"/>
    </row>
    <row r="216" spans="2:21" x14ac:dyDescent="0.25">
      <c r="B216" s="71"/>
      <c r="Q216" s="55"/>
      <c r="R216" s="36"/>
      <c r="S216" s="36"/>
      <c r="T216" s="36"/>
      <c r="U216" s="36"/>
    </row>
    <row r="217" spans="2:21" x14ac:dyDescent="0.25">
      <c r="B217" s="71"/>
      <c r="Q217" s="55"/>
      <c r="R217" s="36"/>
      <c r="S217" s="36"/>
      <c r="T217" s="36"/>
      <c r="U217" s="36"/>
    </row>
    <row r="218" spans="2:21" x14ac:dyDescent="0.25">
      <c r="B218" s="71"/>
      <c r="Q218" s="55"/>
      <c r="R218" s="36"/>
      <c r="S218" s="36"/>
      <c r="T218" s="36"/>
      <c r="U218" s="36"/>
    </row>
    <row r="219" spans="2:21" x14ac:dyDescent="0.25">
      <c r="B219" s="71"/>
      <c r="Q219" s="55"/>
      <c r="R219" s="36"/>
      <c r="S219" s="36"/>
      <c r="T219" s="36"/>
      <c r="U219" s="36"/>
    </row>
    <row r="220" spans="2:21" x14ac:dyDescent="0.25">
      <c r="B220" s="71"/>
      <c r="Q220" s="55"/>
      <c r="R220" s="36"/>
      <c r="S220" s="36"/>
      <c r="T220" s="36"/>
      <c r="U220" s="36"/>
    </row>
    <row r="221" spans="2:21" x14ac:dyDescent="0.25">
      <c r="B221" s="71"/>
      <c r="Q221" s="55"/>
      <c r="R221" s="36"/>
      <c r="S221" s="36"/>
      <c r="T221" s="36"/>
      <c r="U221" s="36"/>
    </row>
    <row r="222" spans="2:21" x14ac:dyDescent="0.25">
      <c r="B222" s="71"/>
      <c r="Q222" s="55"/>
      <c r="R222" s="36"/>
      <c r="S222" s="36"/>
      <c r="T222" s="36"/>
      <c r="U222" s="36"/>
    </row>
    <row r="223" spans="2:21" x14ac:dyDescent="0.25">
      <c r="B223" s="71"/>
      <c r="Q223" s="55"/>
      <c r="R223" s="36"/>
      <c r="S223" s="36"/>
      <c r="T223" s="36"/>
      <c r="U223" s="36"/>
    </row>
    <row r="224" spans="2:21" x14ac:dyDescent="0.25">
      <c r="B224" s="71"/>
      <c r="Q224" s="55"/>
      <c r="R224" s="36"/>
      <c r="S224" s="36"/>
      <c r="T224" s="36"/>
      <c r="U224" s="36"/>
    </row>
    <row r="225" spans="2:21" x14ac:dyDescent="0.25">
      <c r="B225" s="71"/>
      <c r="Q225" s="55"/>
      <c r="R225" s="36"/>
      <c r="S225" s="36"/>
      <c r="T225" s="36"/>
      <c r="U225" s="36"/>
    </row>
    <row r="226" spans="2:21" x14ac:dyDescent="0.25">
      <c r="B226" s="71"/>
      <c r="Q226" s="55"/>
      <c r="R226" s="36"/>
      <c r="S226" s="36"/>
      <c r="T226" s="36"/>
      <c r="U226" s="36"/>
    </row>
    <row r="227" spans="2:21" x14ac:dyDescent="0.25">
      <c r="B227" s="71"/>
      <c r="Q227" s="55"/>
      <c r="R227" s="36"/>
      <c r="S227" s="36"/>
      <c r="T227" s="36"/>
      <c r="U227" s="36"/>
    </row>
    <row r="228" spans="2:21" x14ac:dyDescent="0.25">
      <c r="B228" s="71"/>
      <c r="Q228" s="55"/>
      <c r="R228" s="36"/>
      <c r="S228" s="36"/>
      <c r="T228" s="36"/>
      <c r="U228" s="36"/>
    </row>
    <row r="229" spans="2:21" x14ac:dyDescent="0.25">
      <c r="B229" s="71"/>
      <c r="Q229" s="55"/>
      <c r="R229" s="36"/>
      <c r="S229" s="36"/>
      <c r="T229" s="36"/>
      <c r="U229" s="36"/>
    </row>
    <row r="230" spans="2:21" x14ac:dyDescent="0.25">
      <c r="B230" s="71"/>
      <c r="Q230" s="55"/>
      <c r="R230" s="36"/>
      <c r="S230" s="36"/>
      <c r="T230" s="36"/>
      <c r="U230" s="36"/>
    </row>
    <row r="231" spans="2:21" x14ac:dyDescent="0.25">
      <c r="B231" s="71"/>
      <c r="Q231" s="55"/>
      <c r="R231" s="36"/>
      <c r="S231" s="36"/>
      <c r="T231" s="36"/>
      <c r="U231" s="36"/>
    </row>
    <row r="232" spans="2:21" x14ac:dyDescent="0.25">
      <c r="B232" s="71"/>
      <c r="Q232" s="55"/>
      <c r="R232" s="36"/>
      <c r="S232" s="36"/>
      <c r="T232" s="36"/>
      <c r="U232" s="36"/>
    </row>
    <row r="233" spans="2:21" x14ac:dyDescent="0.25">
      <c r="B233" s="71"/>
      <c r="Q233" s="55"/>
      <c r="R233" s="36"/>
      <c r="S233" s="36"/>
      <c r="T233" s="36"/>
      <c r="U233" s="36"/>
    </row>
    <row r="234" spans="2:21" x14ac:dyDescent="0.25">
      <c r="B234" s="71"/>
      <c r="Q234" s="55"/>
      <c r="R234" s="36"/>
      <c r="S234" s="36"/>
      <c r="T234" s="36"/>
      <c r="U234" s="36"/>
    </row>
    <row r="235" spans="2:21" x14ac:dyDescent="0.25">
      <c r="B235" s="71"/>
      <c r="Q235" s="55"/>
      <c r="R235" s="36"/>
      <c r="S235" s="36"/>
      <c r="T235" s="36"/>
      <c r="U235" s="36"/>
    </row>
    <row r="236" spans="2:21" x14ac:dyDescent="0.25">
      <c r="B236" s="71"/>
      <c r="Q236" s="55"/>
      <c r="R236" s="36"/>
      <c r="S236" s="36"/>
      <c r="T236" s="36"/>
      <c r="U236" s="36"/>
    </row>
    <row r="237" spans="2:21" x14ac:dyDescent="0.25">
      <c r="B237" s="71"/>
      <c r="Q237" s="55"/>
      <c r="R237" s="36"/>
      <c r="S237" s="36"/>
      <c r="T237" s="36"/>
      <c r="U237" s="36"/>
    </row>
    <row r="238" spans="2:21" x14ac:dyDescent="0.25">
      <c r="B238" s="71"/>
      <c r="Q238" s="55"/>
      <c r="R238" s="36"/>
      <c r="S238" s="36"/>
      <c r="T238" s="36"/>
      <c r="U238" s="36"/>
    </row>
    <row r="239" spans="2:21" x14ac:dyDescent="0.25">
      <c r="B239" s="71"/>
      <c r="Q239" s="55"/>
      <c r="R239" s="36"/>
      <c r="S239" s="36"/>
      <c r="T239" s="36"/>
      <c r="U239" s="36"/>
    </row>
    <row r="240" spans="2:21" x14ac:dyDescent="0.25">
      <c r="B240" s="84"/>
      <c r="Q240" s="55"/>
      <c r="R240" s="36"/>
      <c r="S240" s="36"/>
      <c r="T240" s="36"/>
      <c r="U240" s="36"/>
    </row>
    <row r="241" spans="2:21" x14ac:dyDescent="0.25">
      <c r="B241" s="84"/>
      <c r="Q241" s="55"/>
      <c r="R241" s="36"/>
      <c r="S241" s="36"/>
      <c r="T241" s="36"/>
      <c r="U241" s="36"/>
    </row>
    <row r="242" spans="2:21" x14ac:dyDescent="0.25">
      <c r="B242" s="71"/>
      <c r="Q242" s="55"/>
      <c r="R242" s="36"/>
      <c r="S242" s="36"/>
      <c r="T242" s="36"/>
      <c r="U242" s="36"/>
    </row>
    <row r="243" spans="2:21" x14ac:dyDescent="0.25">
      <c r="B243" s="71"/>
      <c r="Q243" s="55"/>
      <c r="R243" s="36"/>
      <c r="S243" s="36"/>
      <c r="T243" s="36"/>
      <c r="U243" s="36"/>
    </row>
    <row r="244" spans="2:21" x14ac:dyDescent="0.25">
      <c r="B244" s="71"/>
      <c r="Q244" s="55"/>
      <c r="R244" s="36"/>
      <c r="S244" s="36"/>
      <c r="T244" s="36"/>
      <c r="U244" s="36"/>
    </row>
    <row r="245" spans="2:21" x14ac:dyDescent="0.25">
      <c r="B245" s="71"/>
      <c r="Q245" s="55"/>
      <c r="R245" s="36"/>
      <c r="S245" s="36"/>
      <c r="T245" s="36"/>
      <c r="U245" s="36"/>
    </row>
    <row r="246" spans="2:21" x14ac:dyDescent="0.25">
      <c r="B246" s="71"/>
      <c r="Q246" s="55"/>
      <c r="R246" s="36"/>
      <c r="S246" s="36"/>
      <c r="T246" s="36"/>
      <c r="U246" s="36"/>
    </row>
    <row r="247" spans="2:21" x14ac:dyDescent="0.25">
      <c r="B247" s="71"/>
      <c r="Q247" s="55"/>
      <c r="R247" s="36"/>
      <c r="S247" s="36"/>
      <c r="T247" s="36"/>
      <c r="U247" s="36"/>
    </row>
    <row r="248" spans="2:21" x14ac:dyDescent="0.25">
      <c r="B248" s="71"/>
      <c r="Q248" s="55"/>
      <c r="R248" s="36"/>
      <c r="S248" s="36"/>
      <c r="T248" s="36"/>
      <c r="U248" s="36"/>
    </row>
    <row r="249" spans="2:21" x14ac:dyDescent="0.25">
      <c r="B249" s="71"/>
      <c r="Q249" s="55"/>
      <c r="R249" s="36"/>
      <c r="S249" s="36"/>
      <c r="T249" s="36"/>
      <c r="U249" s="36"/>
    </row>
    <row r="250" spans="2:21" x14ac:dyDescent="0.25">
      <c r="B250" s="71"/>
      <c r="Q250" s="55"/>
      <c r="R250" s="36"/>
      <c r="S250" s="36"/>
      <c r="T250" s="36"/>
      <c r="U250" s="36"/>
    </row>
    <row r="251" spans="2:21" x14ac:dyDescent="0.25">
      <c r="B251" s="71"/>
      <c r="Q251" s="55"/>
      <c r="R251" s="36"/>
      <c r="S251" s="36"/>
      <c r="T251" s="36"/>
      <c r="U251" s="36"/>
    </row>
    <row r="252" spans="2:21" x14ac:dyDescent="0.25">
      <c r="B252" s="71"/>
      <c r="Q252" s="55"/>
      <c r="R252" s="36"/>
      <c r="S252" s="36"/>
      <c r="T252" s="36"/>
      <c r="U252" s="36"/>
    </row>
    <row r="253" spans="2:21" x14ac:dyDescent="0.25">
      <c r="B253" s="71"/>
      <c r="Q253" s="55"/>
      <c r="R253" s="36"/>
      <c r="S253" s="36"/>
      <c r="T253" s="36"/>
      <c r="U253" s="36"/>
    </row>
    <row r="254" spans="2:21" x14ac:dyDescent="0.25">
      <c r="B254" s="71"/>
      <c r="Q254" s="55"/>
      <c r="R254" s="36"/>
      <c r="S254" s="36"/>
      <c r="T254" s="36"/>
      <c r="U254" s="36"/>
    </row>
    <row r="255" spans="2:21" x14ac:dyDescent="0.25">
      <c r="B255" s="71"/>
      <c r="Q255" s="55"/>
      <c r="R255" s="36"/>
      <c r="S255" s="36"/>
      <c r="T255" s="36"/>
      <c r="U255" s="36"/>
    </row>
    <row r="256" spans="2:21" x14ac:dyDescent="0.25">
      <c r="B256" s="71"/>
      <c r="Q256" s="55"/>
      <c r="R256" s="36"/>
      <c r="S256" s="36"/>
      <c r="T256" s="36"/>
      <c r="U256" s="36"/>
    </row>
    <row r="257" spans="2:21" x14ac:dyDescent="0.25">
      <c r="B257" s="71"/>
      <c r="Q257" s="55"/>
      <c r="R257" s="36"/>
      <c r="S257" s="36"/>
      <c r="T257" s="36"/>
      <c r="U257" s="36"/>
    </row>
    <row r="258" spans="2:21" x14ac:dyDescent="0.25">
      <c r="B258" s="71"/>
      <c r="Q258" s="55"/>
      <c r="R258" s="36"/>
      <c r="S258" s="36"/>
      <c r="T258" s="36"/>
      <c r="U258" s="36"/>
    </row>
    <row r="259" spans="2:21" x14ac:dyDescent="0.25">
      <c r="B259" s="71"/>
      <c r="Q259" s="55"/>
      <c r="R259" s="36"/>
      <c r="S259" s="36"/>
      <c r="T259" s="36"/>
      <c r="U259" s="36"/>
    </row>
    <row r="260" spans="2:21" x14ac:dyDescent="0.25">
      <c r="B260" s="71"/>
      <c r="Q260" s="55"/>
      <c r="R260" s="36"/>
      <c r="S260" s="36"/>
      <c r="T260" s="36"/>
      <c r="U260" s="36"/>
    </row>
    <row r="261" spans="2:21" x14ac:dyDescent="0.25">
      <c r="B261" s="71"/>
      <c r="Q261" s="55"/>
      <c r="R261" s="36"/>
      <c r="S261" s="36"/>
      <c r="T261" s="36"/>
      <c r="U261" s="36"/>
    </row>
    <row r="262" spans="2:21" x14ac:dyDescent="0.25">
      <c r="B262" s="71"/>
      <c r="Q262" s="55"/>
      <c r="R262" s="36"/>
      <c r="S262" s="36"/>
      <c r="T262" s="36"/>
      <c r="U262" s="36"/>
    </row>
    <row r="263" spans="2:21" x14ac:dyDescent="0.25">
      <c r="B263" s="71"/>
      <c r="Q263" s="55"/>
      <c r="R263" s="36"/>
      <c r="S263" s="36"/>
      <c r="T263" s="36"/>
      <c r="U263" s="36"/>
    </row>
    <row r="264" spans="2:21" x14ac:dyDescent="0.25">
      <c r="B264" s="71"/>
      <c r="Q264" s="55"/>
      <c r="R264" s="36"/>
      <c r="S264" s="36"/>
      <c r="T264" s="36"/>
      <c r="U264" s="36"/>
    </row>
    <row r="265" spans="2:21" x14ac:dyDescent="0.25">
      <c r="B265" s="71"/>
      <c r="Q265" s="55"/>
      <c r="R265" s="36"/>
      <c r="S265" s="36"/>
      <c r="T265" s="36"/>
      <c r="U265" s="36"/>
    </row>
    <row r="266" spans="2:21" x14ac:dyDescent="0.25">
      <c r="B266" s="71"/>
      <c r="Q266" s="55"/>
      <c r="R266" s="36"/>
      <c r="S266" s="36"/>
      <c r="T266" s="36"/>
      <c r="U266" s="36"/>
    </row>
    <row r="267" spans="2:21" x14ac:dyDescent="0.25">
      <c r="B267" s="71"/>
      <c r="Q267" s="55"/>
      <c r="R267" s="36"/>
      <c r="S267" s="36"/>
      <c r="T267" s="36"/>
      <c r="U267" s="36"/>
    </row>
    <row r="268" spans="2:21" x14ac:dyDescent="0.25">
      <c r="B268" s="71"/>
      <c r="Q268" s="55"/>
      <c r="R268" s="36"/>
      <c r="S268" s="36"/>
      <c r="T268" s="36"/>
      <c r="U268" s="36"/>
    </row>
    <row r="269" spans="2:21" x14ac:dyDescent="0.25">
      <c r="B269" s="71"/>
      <c r="Q269" s="55"/>
      <c r="R269" s="36"/>
      <c r="S269" s="36"/>
      <c r="T269" s="36"/>
      <c r="U269" s="36"/>
    </row>
    <row r="270" spans="2:21" x14ac:dyDescent="0.25">
      <c r="B270" s="71"/>
      <c r="Q270" s="55"/>
      <c r="R270" s="36"/>
      <c r="S270" s="36"/>
      <c r="T270" s="36"/>
      <c r="U270" s="36"/>
    </row>
    <row r="271" spans="2:21" x14ac:dyDescent="0.25">
      <c r="B271" s="71"/>
      <c r="Q271" s="55"/>
      <c r="R271" s="36"/>
      <c r="S271" s="36"/>
      <c r="T271" s="36"/>
      <c r="U271" s="36"/>
    </row>
    <row r="272" spans="2:21" x14ac:dyDescent="0.25">
      <c r="B272" s="71"/>
      <c r="Q272" s="55"/>
      <c r="R272" s="36"/>
      <c r="S272" s="36"/>
      <c r="T272" s="36"/>
      <c r="U272" s="36"/>
    </row>
    <row r="273" spans="2:21" x14ac:dyDescent="0.25">
      <c r="B273" s="71"/>
      <c r="Q273" s="55"/>
      <c r="R273" s="36"/>
      <c r="S273" s="36"/>
      <c r="T273" s="36"/>
      <c r="U273" s="36"/>
    </row>
    <row r="274" spans="2:21" x14ac:dyDescent="0.25">
      <c r="B274" s="71"/>
      <c r="Q274" s="55"/>
      <c r="R274" s="36"/>
      <c r="S274" s="36"/>
      <c r="T274" s="36"/>
      <c r="U274" s="36"/>
    </row>
    <row r="275" spans="2:21" x14ac:dyDescent="0.25">
      <c r="B275" s="71"/>
      <c r="Q275" s="55"/>
      <c r="R275" s="36"/>
      <c r="S275" s="36"/>
      <c r="T275" s="36"/>
      <c r="U275" s="36"/>
    </row>
    <row r="276" spans="2:21" x14ac:dyDescent="0.25">
      <c r="B276" s="71"/>
      <c r="Q276" s="55"/>
      <c r="R276" s="36"/>
      <c r="S276" s="36"/>
      <c r="T276" s="36"/>
      <c r="U276" s="36"/>
    </row>
    <row r="277" spans="2:21" x14ac:dyDescent="0.25">
      <c r="B277" s="71"/>
      <c r="Q277" s="55"/>
      <c r="R277" s="36"/>
      <c r="S277" s="36"/>
      <c r="T277" s="36"/>
      <c r="U277" s="36"/>
    </row>
    <row r="278" spans="2:21" x14ac:dyDescent="0.25">
      <c r="B278" s="71"/>
      <c r="Q278" s="55"/>
      <c r="R278" s="36"/>
      <c r="S278" s="36"/>
      <c r="T278" s="36"/>
      <c r="U278" s="36"/>
    </row>
    <row r="279" spans="2:21" x14ac:dyDescent="0.25">
      <c r="Q279" s="55"/>
      <c r="R279" s="36"/>
      <c r="S279" s="36"/>
      <c r="T279" s="36"/>
      <c r="U279" s="36"/>
    </row>
    <row r="280" spans="2:21" x14ac:dyDescent="0.25">
      <c r="B280" s="86"/>
      <c r="Q280" s="55"/>
      <c r="R280" s="36"/>
      <c r="S280" s="36"/>
      <c r="T280" s="36"/>
      <c r="U280" s="36"/>
    </row>
    <row r="281" spans="2:21" x14ac:dyDescent="0.25">
      <c r="B281" s="86"/>
      <c r="Q281" s="55"/>
      <c r="R281" s="36"/>
      <c r="S281" s="36"/>
      <c r="T281" s="36"/>
      <c r="U281" s="36"/>
    </row>
    <row r="282" spans="2:21" x14ac:dyDescent="0.25">
      <c r="B282" s="86"/>
      <c r="Q282" s="55"/>
      <c r="R282" s="36"/>
      <c r="S282" s="36"/>
      <c r="T282" s="36"/>
      <c r="U282" s="36"/>
    </row>
    <row r="283" spans="2:21" x14ac:dyDescent="0.25">
      <c r="B283" s="86"/>
      <c r="Q283" s="55"/>
      <c r="R283" s="36"/>
      <c r="S283" s="36"/>
      <c r="T283" s="36"/>
      <c r="U283" s="36"/>
    </row>
    <row r="284" spans="2:21" x14ac:dyDescent="0.25">
      <c r="B284" s="86"/>
      <c r="Q284" s="55"/>
      <c r="R284" s="36"/>
      <c r="S284" s="36"/>
      <c r="T284" s="36"/>
      <c r="U284" s="36"/>
    </row>
    <row r="285" spans="2:21" x14ac:dyDescent="0.25">
      <c r="B285" s="86"/>
      <c r="Q285" s="55"/>
      <c r="R285" s="36"/>
      <c r="S285" s="36"/>
      <c r="T285" s="36"/>
      <c r="U285" s="36"/>
    </row>
    <row r="286" spans="2:21" x14ac:dyDescent="0.25">
      <c r="B286" s="86"/>
      <c r="Q286" s="55"/>
      <c r="R286" s="36"/>
      <c r="S286" s="36"/>
      <c r="T286" s="36"/>
      <c r="U286" s="36"/>
    </row>
    <row r="287" spans="2:21" x14ac:dyDescent="0.25">
      <c r="B287" s="86"/>
      <c r="Q287" s="55"/>
      <c r="R287" s="36"/>
      <c r="S287" s="36"/>
      <c r="T287" s="36"/>
      <c r="U287" s="36"/>
    </row>
    <row r="288" spans="2:21" x14ac:dyDescent="0.25">
      <c r="B288" s="86"/>
      <c r="Q288" s="55"/>
      <c r="R288" s="36"/>
      <c r="S288" s="36"/>
      <c r="T288" s="36"/>
      <c r="U288" s="36"/>
    </row>
    <row r="289" spans="2:21" x14ac:dyDescent="0.25">
      <c r="B289" s="86"/>
      <c r="Q289" s="55"/>
      <c r="R289" s="36"/>
      <c r="S289" s="36"/>
      <c r="T289" s="36"/>
      <c r="U289" s="36"/>
    </row>
    <row r="290" spans="2:21" x14ac:dyDescent="0.25">
      <c r="B290" s="86"/>
      <c r="Q290" s="55"/>
      <c r="R290" s="36"/>
      <c r="S290" s="36"/>
      <c r="T290" s="36"/>
      <c r="U290" s="36"/>
    </row>
    <row r="291" spans="2:21" x14ac:dyDescent="0.25">
      <c r="B291" s="86"/>
      <c r="Q291" s="55"/>
      <c r="R291" s="36"/>
      <c r="S291" s="36"/>
      <c r="T291" s="36"/>
      <c r="U291" s="36"/>
    </row>
    <row r="292" spans="2:21" x14ac:dyDescent="0.25">
      <c r="B292" s="86"/>
      <c r="Q292" s="55"/>
      <c r="R292" s="36"/>
      <c r="S292" s="36"/>
      <c r="T292" s="36"/>
      <c r="U292" s="36"/>
    </row>
    <row r="293" spans="2:21" x14ac:dyDescent="0.25">
      <c r="B293" s="86"/>
      <c r="Q293" s="55"/>
      <c r="R293" s="36"/>
      <c r="S293" s="36"/>
      <c r="T293" s="36"/>
      <c r="U293" s="36"/>
    </row>
    <row r="294" spans="2:21" x14ac:dyDescent="0.25">
      <c r="B294" s="86"/>
      <c r="Q294" s="55"/>
      <c r="R294" s="36"/>
      <c r="S294" s="36"/>
      <c r="T294" s="36"/>
      <c r="U294" s="36"/>
    </row>
    <row r="295" spans="2:21" x14ac:dyDescent="0.25">
      <c r="B295" s="86"/>
      <c r="Q295" s="55"/>
      <c r="R295" s="36"/>
      <c r="S295" s="36"/>
      <c r="T295" s="36"/>
      <c r="U295" s="36"/>
    </row>
    <row r="296" spans="2:21" x14ac:dyDescent="0.25">
      <c r="B296" s="86"/>
      <c r="Q296" s="55"/>
      <c r="R296" s="36"/>
      <c r="S296" s="36"/>
      <c r="T296" s="36"/>
      <c r="U296" s="36"/>
    </row>
    <row r="297" spans="2:21" x14ac:dyDescent="0.25">
      <c r="B297" s="86"/>
      <c r="Q297" s="55"/>
      <c r="R297" s="36"/>
      <c r="S297" s="36"/>
      <c r="T297" s="36"/>
      <c r="U297" s="36"/>
    </row>
    <row r="298" spans="2:21" x14ac:dyDescent="0.25">
      <c r="B298" s="86"/>
      <c r="Q298" s="55"/>
      <c r="R298" s="36"/>
      <c r="S298" s="36"/>
      <c r="T298" s="36"/>
      <c r="U298" s="36"/>
    </row>
    <row r="299" spans="2:21" x14ac:dyDescent="0.25">
      <c r="B299" s="86"/>
      <c r="Q299" s="55"/>
      <c r="R299" s="36"/>
      <c r="S299" s="36"/>
      <c r="T299" s="36"/>
      <c r="U299" s="36"/>
    </row>
    <row r="300" spans="2:21" x14ac:dyDescent="0.25">
      <c r="B300" s="86"/>
      <c r="Q300" s="55"/>
      <c r="R300" s="36"/>
      <c r="S300" s="36"/>
      <c r="T300" s="36"/>
      <c r="U300" s="36"/>
    </row>
    <row r="301" spans="2:21" x14ac:dyDescent="0.25">
      <c r="B301" s="86"/>
      <c r="Q301" s="55"/>
      <c r="R301" s="36"/>
      <c r="S301" s="36"/>
      <c r="T301" s="36"/>
      <c r="U301" s="36"/>
    </row>
    <row r="302" spans="2:21" x14ac:dyDescent="0.25">
      <c r="B302" s="86"/>
      <c r="Q302" s="55"/>
      <c r="R302" s="36"/>
      <c r="S302" s="36"/>
      <c r="T302" s="36"/>
      <c r="U302" s="36"/>
    </row>
    <row r="303" spans="2:21" x14ac:dyDescent="0.25">
      <c r="B303" s="86"/>
      <c r="Q303" s="55"/>
      <c r="R303" s="36"/>
      <c r="S303" s="36"/>
      <c r="T303" s="36"/>
      <c r="U303" s="36"/>
    </row>
    <row r="304" spans="2:21" x14ac:dyDescent="0.25">
      <c r="B304" s="86"/>
      <c r="Q304" s="55"/>
      <c r="R304" s="36"/>
      <c r="S304" s="36"/>
      <c r="T304" s="36"/>
      <c r="U304" s="36"/>
    </row>
    <row r="305" spans="2:21" x14ac:dyDescent="0.25">
      <c r="B305" s="86"/>
      <c r="Q305" s="55"/>
      <c r="R305" s="36"/>
      <c r="S305" s="36"/>
      <c r="T305" s="36"/>
      <c r="U305" s="36"/>
    </row>
    <row r="306" spans="2:21" x14ac:dyDescent="0.25">
      <c r="B306" s="86"/>
      <c r="Q306" s="55"/>
      <c r="R306" s="36"/>
      <c r="S306" s="36"/>
      <c r="T306" s="36"/>
      <c r="U306" s="36"/>
    </row>
    <row r="307" spans="2:21" x14ac:dyDescent="0.25">
      <c r="B307" s="86"/>
      <c r="Q307" s="55"/>
      <c r="R307" s="36"/>
      <c r="S307" s="36"/>
      <c r="T307" s="36"/>
      <c r="U307" s="36"/>
    </row>
    <row r="308" spans="2:21" x14ac:dyDescent="0.25">
      <c r="B308" s="86"/>
      <c r="Q308" s="55"/>
      <c r="R308" s="36"/>
      <c r="S308" s="36"/>
      <c r="T308" s="36"/>
      <c r="U308" s="36"/>
    </row>
    <row r="309" spans="2:21" x14ac:dyDescent="0.25">
      <c r="B309" s="86"/>
      <c r="Q309" s="55"/>
      <c r="R309" s="36"/>
      <c r="S309" s="36"/>
      <c r="T309" s="36"/>
      <c r="U309" s="36"/>
    </row>
    <row r="310" spans="2:21" x14ac:dyDescent="0.25">
      <c r="B310" s="86"/>
      <c r="Q310" s="55"/>
      <c r="R310" s="36"/>
      <c r="S310" s="36"/>
      <c r="T310" s="36"/>
      <c r="U310" s="36"/>
    </row>
    <row r="311" spans="2:21" x14ac:dyDescent="0.25">
      <c r="B311" s="86"/>
      <c r="Q311" s="55"/>
      <c r="R311" s="36"/>
      <c r="S311" s="36"/>
      <c r="T311" s="36"/>
      <c r="U311" s="36"/>
    </row>
    <row r="312" spans="2:21" x14ac:dyDescent="0.25">
      <c r="Q312" s="55"/>
      <c r="R312" s="36"/>
      <c r="S312" s="36"/>
      <c r="T312" s="36"/>
      <c r="U312" s="36"/>
    </row>
    <row r="313" spans="2:21" x14ac:dyDescent="0.25">
      <c r="B313" s="86"/>
      <c r="Q313" s="55"/>
      <c r="R313" s="36"/>
      <c r="S313" s="36"/>
      <c r="T313" s="36"/>
      <c r="U313" s="36"/>
    </row>
    <row r="314" spans="2:21" x14ac:dyDescent="0.25">
      <c r="B314" s="86"/>
      <c r="Q314" s="55"/>
      <c r="R314" s="36"/>
      <c r="S314" s="36"/>
      <c r="T314" s="36"/>
      <c r="U314" s="36"/>
    </row>
    <row r="315" spans="2:21" x14ac:dyDescent="0.25">
      <c r="B315" s="86"/>
      <c r="Q315" s="55"/>
      <c r="R315" s="36"/>
      <c r="S315" s="36"/>
      <c r="T315" s="36"/>
      <c r="U315" s="36"/>
    </row>
    <row r="316" spans="2:21" x14ac:dyDescent="0.25">
      <c r="B316" s="86"/>
      <c r="Q316" s="55"/>
      <c r="R316" s="36"/>
      <c r="S316" s="36"/>
      <c r="T316" s="36"/>
      <c r="U316" s="36"/>
    </row>
    <row r="317" spans="2:21" x14ac:dyDescent="0.25">
      <c r="B317" s="86"/>
      <c r="Q317" s="55"/>
      <c r="R317" s="36"/>
      <c r="S317" s="36"/>
      <c r="T317" s="36"/>
      <c r="U317" s="36"/>
    </row>
    <row r="318" spans="2:21" x14ac:dyDescent="0.25">
      <c r="B318" s="86"/>
      <c r="Q318" s="55"/>
      <c r="R318" s="36"/>
      <c r="S318" s="36"/>
      <c r="T318" s="36"/>
      <c r="U318" s="36"/>
    </row>
    <row r="319" spans="2:21" x14ac:dyDescent="0.25">
      <c r="B319" s="86"/>
      <c r="Q319" s="55"/>
      <c r="R319" s="36"/>
      <c r="S319" s="36"/>
      <c r="T319" s="36"/>
      <c r="U319" s="36"/>
    </row>
    <row r="320" spans="2:21" x14ac:dyDescent="0.25">
      <c r="B320" s="86"/>
      <c r="Q320" s="55"/>
      <c r="R320" s="36"/>
      <c r="S320" s="36"/>
      <c r="T320" s="36"/>
      <c r="U320" s="36"/>
    </row>
    <row r="321" spans="2:21" x14ac:dyDescent="0.25">
      <c r="B321" s="86"/>
      <c r="Q321" s="55"/>
      <c r="R321" s="36"/>
      <c r="S321" s="36"/>
      <c r="T321" s="36"/>
      <c r="U321" s="36"/>
    </row>
    <row r="322" spans="2:21" x14ac:dyDescent="0.25">
      <c r="B322" s="86"/>
      <c r="Q322" s="55"/>
      <c r="R322" s="36"/>
      <c r="S322" s="36"/>
      <c r="T322" s="36"/>
      <c r="U322" s="36"/>
    </row>
    <row r="323" spans="2:21" x14ac:dyDescent="0.25">
      <c r="B323" s="86"/>
      <c r="Q323" s="55"/>
      <c r="R323" s="36"/>
      <c r="S323" s="36"/>
      <c r="T323" s="36"/>
      <c r="U323" s="36"/>
    </row>
    <row r="324" spans="2:21" x14ac:dyDescent="0.25">
      <c r="B324" s="86"/>
      <c r="Q324" s="55"/>
      <c r="R324" s="36"/>
      <c r="S324" s="36"/>
      <c r="T324" s="36"/>
      <c r="U324" s="36"/>
    </row>
    <row r="325" spans="2:21" x14ac:dyDescent="0.25">
      <c r="B325" s="86"/>
      <c r="Q325" s="55"/>
      <c r="R325" s="36"/>
      <c r="S325" s="36"/>
      <c r="T325" s="36"/>
      <c r="U325" s="36"/>
    </row>
    <row r="326" spans="2:21" x14ac:dyDescent="0.25">
      <c r="B326" s="86"/>
      <c r="Q326" s="55"/>
      <c r="R326" s="36"/>
      <c r="S326" s="36"/>
      <c r="T326" s="36"/>
      <c r="U326" s="36"/>
    </row>
    <row r="327" spans="2:21" x14ac:dyDescent="0.25">
      <c r="B327" s="86"/>
      <c r="Q327" s="55"/>
      <c r="R327" s="36"/>
      <c r="S327" s="36"/>
      <c r="T327" s="36"/>
      <c r="U327" s="36"/>
    </row>
    <row r="328" spans="2:21" x14ac:dyDescent="0.25">
      <c r="B328" s="86"/>
      <c r="Q328" s="55"/>
      <c r="R328" s="36"/>
      <c r="S328" s="36"/>
      <c r="T328" s="36"/>
      <c r="U328" s="36"/>
    </row>
    <row r="329" spans="2:21" x14ac:dyDescent="0.25">
      <c r="B329" s="86"/>
      <c r="Q329" s="55"/>
      <c r="R329" s="36"/>
      <c r="S329" s="36"/>
      <c r="T329" s="36"/>
      <c r="U329" s="36"/>
    </row>
    <row r="330" spans="2:21" x14ac:dyDescent="0.25">
      <c r="B330" s="86"/>
      <c r="Q330" s="55"/>
      <c r="R330" s="36"/>
      <c r="S330" s="36"/>
      <c r="T330" s="36"/>
      <c r="U330" s="36"/>
    </row>
    <row r="331" spans="2:21" x14ac:dyDescent="0.25">
      <c r="B331" s="86"/>
      <c r="Q331" s="55"/>
      <c r="R331" s="36"/>
      <c r="S331" s="36"/>
      <c r="T331" s="36"/>
      <c r="U331" s="36"/>
    </row>
    <row r="332" spans="2:21" x14ac:dyDescent="0.25">
      <c r="Q332" s="55"/>
      <c r="R332" s="36"/>
      <c r="S332" s="36"/>
      <c r="T332" s="36"/>
      <c r="U332" s="36"/>
    </row>
    <row r="333" spans="2:21" x14ac:dyDescent="0.25">
      <c r="Q333" s="55"/>
      <c r="R333" s="36"/>
      <c r="S333" s="36"/>
      <c r="T333" s="36"/>
      <c r="U333" s="36"/>
    </row>
    <row r="334" spans="2:21" x14ac:dyDescent="0.25">
      <c r="B334" s="86"/>
      <c r="Q334" s="55"/>
      <c r="R334" s="36"/>
      <c r="S334" s="36"/>
      <c r="T334" s="36"/>
      <c r="U334" s="36"/>
    </row>
    <row r="335" spans="2:21" x14ac:dyDescent="0.25">
      <c r="B335" s="86"/>
      <c r="Q335" s="55"/>
      <c r="R335" s="36"/>
      <c r="S335" s="36"/>
      <c r="T335" s="36"/>
      <c r="U335" s="36"/>
    </row>
    <row r="336" spans="2:21" x14ac:dyDescent="0.25">
      <c r="B336" s="86"/>
      <c r="Q336" s="55"/>
      <c r="R336" s="36"/>
      <c r="S336" s="36"/>
      <c r="T336" s="36"/>
      <c r="U336" s="36"/>
    </row>
    <row r="337" spans="2:21" x14ac:dyDescent="0.25">
      <c r="B337" s="86"/>
      <c r="Q337" s="55"/>
      <c r="R337" s="36"/>
      <c r="S337" s="36"/>
      <c r="T337" s="36"/>
      <c r="U337" s="36"/>
    </row>
    <row r="338" spans="2:21" x14ac:dyDescent="0.25">
      <c r="B338" s="86"/>
      <c r="Q338" s="55"/>
      <c r="R338" s="36"/>
      <c r="S338" s="36"/>
      <c r="T338" s="36"/>
      <c r="U338" s="36"/>
    </row>
    <row r="339" spans="2:21" x14ac:dyDescent="0.25">
      <c r="B339" s="86"/>
      <c r="Q339" s="55"/>
      <c r="R339" s="36"/>
      <c r="S339" s="36"/>
      <c r="T339" s="36"/>
      <c r="U339" s="36"/>
    </row>
    <row r="340" spans="2:21" x14ac:dyDescent="0.25">
      <c r="B340" s="86"/>
      <c r="Q340" s="55"/>
      <c r="R340" s="36"/>
      <c r="S340" s="36"/>
      <c r="T340" s="36"/>
      <c r="U340" s="36"/>
    </row>
    <row r="341" spans="2:21" x14ac:dyDescent="0.25">
      <c r="Q341" s="55"/>
      <c r="R341" s="36"/>
      <c r="S341" s="36"/>
      <c r="T341" s="36"/>
      <c r="U341" s="36"/>
    </row>
    <row r="342" spans="2:21" x14ac:dyDescent="0.25">
      <c r="Q342" s="55"/>
      <c r="R342" s="36"/>
      <c r="S342" s="36"/>
      <c r="T342" s="36"/>
      <c r="U342" s="36"/>
    </row>
    <row r="343" spans="2:21" x14ac:dyDescent="0.25">
      <c r="B343" s="86"/>
      <c r="Q343" s="55"/>
      <c r="R343" s="36"/>
      <c r="S343" s="36"/>
      <c r="T343" s="36"/>
      <c r="U343" s="36"/>
    </row>
    <row r="344" spans="2:21" x14ac:dyDescent="0.25">
      <c r="B344" s="86"/>
      <c r="Q344" s="55"/>
      <c r="R344" s="36"/>
      <c r="S344" s="36"/>
      <c r="T344" s="36"/>
      <c r="U344" s="36"/>
    </row>
    <row r="345" spans="2:21" x14ac:dyDescent="0.25">
      <c r="B345" s="86"/>
      <c r="Q345" s="55"/>
      <c r="R345" s="36"/>
      <c r="S345" s="36"/>
      <c r="T345" s="36"/>
      <c r="U345" s="36"/>
    </row>
    <row r="346" spans="2:21" x14ac:dyDescent="0.25">
      <c r="B346" s="86"/>
      <c r="Q346" s="55"/>
      <c r="R346" s="36"/>
      <c r="S346" s="36"/>
      <c r="T346" s="36"/>
      <c r="U346" s="36"/>
    </row>
    <row r="347" spans="2:21" x14ac:dyDescent="0.25">
      <c r="B347" s="86"/>
      <c r="Q347" s="55"/>
      <c r="R347" s="36"/>
      <c r="S347" s="36"/>
      <c r="T347" s="36"/>
      <c r="U347" s="36"/>
    </row>
    <row r="348" spans="2:21" x14ac:dyDescent="0.25">
      <c r="B348" s="86"/>
      <c r="Q348" s="55"/>
      <c r="R348" s="36"/>
      <c r="S348" s="36"/>
      <c r="T348" s="36"/>
      <c r="U348" s="36"/>
    </row>
    <row r="349" spans="2:21" x14ac:dyDescent="0.25">
      <c r="B349" s="86"/>
      <c r="Q349" s="55"/>
      <c r="R349" s="36"/>
      <c r="S349" s="36"/>
      <c r="T349" s="36"/>
      <c r="U349" s="36"/>
    </row>
    <row r="350" spans="2:21" x14ac:dyDescent="0.25">
      <c r="B350" s="86"/>
      <c r="Q350" s="55"/>
      <c r="R350" s="36"/>
      <c r="S350" s="36"/>
      <c r="T350" s="36"/>
      <c r="U350" s="36"/>
    </row>
    <row r="351" spans="2:21" x14ac:dyDescent="0.25">
      <c r="B351" s="86"/>
      <c r="Q351" s="55"/>
      <c r="R351" s="36"/>
      <c r="S351" s="36"/>
      <c r="T351" s="36"/>
      <c r="U351" s="36"/>
    </row>
    <row r="352" spans="2:21" x14ac:dyDescent="0.25">
      <c r="B352" s="86"/>
      <c r="Q352" s="55"/>
      <c r="R352" s="36"/>
      <c r="S352" s="36"/>
      <c r="T352" s="36"/>
      <c r="U352" s="36"/>
    </row>
    <row r="353" spans="2:21" x14ac:dyDescent="0.25">
      <c r="B353" s="86"/>
      <c r="Q353" s="55"/>
      <c r="R353" s="36"/>
      <c r="S353" s="36"/>
      <c r="T353" s="36"/>
      <c r="U353" s="36"/>
    </row>
    <row r="354" spans="2:21" x14ac:dyDescent="0.25">
      <c r="Q354" s="55"/>
      <c r="R354" s="36"/>
      <c r="S354" s="36"/>
      <c r="T354" s="36"/>
      <c r="U354" s="36"/>
    </row>
    <row r="355" spans="2:21" x14ac:dyDescent="0.25">
      <c r="Q355" s="55"/>
      <c r="R355" s="36"/>
      <c r="S355" s="36"/>
      <c r="T355" s="36"/>
      <c r="U355" s="36"/>
    </row>
    <row r="356" spans="2:21" x14ac:dyDescent="0.25">
      <c r="B356" s="86"/>
      <c r="Q356" s="55"/>
      <c r="R356" s="36"/>
      <c r="S356" s="36"/>
      <c r="T356" s="36"/>
      <c r="U356" s="36"/>
    </row>
    <row r="357" spans="2:21" x14ac:dyDescent="0.25">
      <c r="B357" s="86"/>
    </row>
    <row r="358" spans="2:21" x14ac:dyDescent="0.25">
      <c r="B358" s="86"/>
    </row>
    <row r="359" spans="2:21" x14ac:dyDescent="0.25">
      <c r="B359" s="86"/>
    </row>
    <row r="360" spans="2:21" x14ac:dyDescent="0.25">
      <c r="B360" s="86"/>
    </row>
    <row r="361" spans="2:21" x14ac:dyDescent="0.25">
      <c r="B361" s="86"/>
    </row>
    <row r="362" spans="2:21" x14ac:dyDescent="0.25">
      <c r="B362" s="86"/>
    </row>
    <row r="365" spans="2:21" x14ac:dyDescent="0.25">
      <c r="B365" s="86"/>
    </row>
    <row r="366" spans="2:21" x14ac:dyDescent="0.25">
      <c r="B366" s="86"/>
    </row>
    <row r="367" spans="2:21" x14ac:dyDescent="0.25">
      <c r="B367" s="86"/>
    </row>
    <row r="368" spans="2:21" x14ac:dyDescent="0.25">
      <c r="B368" s="86"/>
    </row>
    <row r="369" spans="2:2" x14ac:dyDescent="0.25">
      <c r="B369" s="86"/>
    </row>
    <row r="370" spans="2:2" x14ac:dyDescent="0.25">
      <c r="B370" s="86"/>
    </row>
    <row r="371" spans="2:2" x14ac:dyDescent="0.25">
      <c r="B371" s="86"/>
    </row>
    <row r="372" spans="2:2" x14ac:dyDescent="0.25">
      <c r="B372" s="84"/>
    </row>
    <row r="373" spans="2:2" x14ac:dyDescent="0.25">
      <c r="B373" s="84"/>
    </row>
    <row r="374" spans="2:2" x14ac:dyDescent="0.25">
      <c r="B374" s="84"/>
    </row>
    <row r="375" spans="2:2" x14ac:dyDescent="0.25">
      <c r="B375" s="84"/>
    </row>
    <row r="376" spans="2:2" x14ac:dyDescent="0.25">
      <c r="B376" s="84"/>
    </row>
    <row r="377" spans="2:2" x14ac:dyDescent="0.25">
      <c r="B377" s="84"/>
    </row>
    <row r="378" spans="2:2" x14ac:dyDescent="0.25">
      <c r="B378" s="84"/>
    </row>
    <row r="379" spans="2:2" x14ac:dyDescent="0.25">
      <c r="B379" s="84"/>
    </row>
    <row r="380" spans="2:2" x14ac:dyDescent="0.25">
      <c r="B380" s="84"/>
    </row>
    <row r="381" spans="2:2" x14ac:dyDescent="0.25">
      <c r="B381" s="84"/>
    </row>
    <row r="382" spans="2:2" x14ac:dyDescent="0.25">
      <c r="B382" s="84"/>
    </row>
    <row r="383" spans="2:2" x14ac:dyDescent="0.25">
      <c r="B383" s="84"/>
    </row>
    <row r="384" spans="2:2" x14ac:dyDescent="0.25">
      <c r="B384" s="87"/>
    </row>
    <row r="385" spans="2:2" ht="13.8" thickBot="1" x14ac:dyDescent="0.3">
      <c r="B385" s="87"/>
    </row>
    <row r="386" spans="2:2" ht="13.8" thickBot="1" x14ac:dyDescent="0.3">
      <c r="B386" s="88"/>
    </row>
    <row r="389" spans="2:2" x14ac:dyDescent="0.25">
      <c r="B389" s="89"/>
    </row>
    <row r="390" spans="2:2" x14ac:dyDescent="0.25">
      <c r="B390" s="90"/>
    </row>
    <row r="396" spans="2:2" x14ac:dyDescent="0.25">
      <c r="B396" s="89"/>
    </row>
    <row r="398" spans="2:2" x14ac:dyDescent="0.25">
      <c r="B398" s="89"/>
    </row>
    <row r="414" spans="2:2" x14ac:dyDescent="0.25">
      <c r="B414" s="89"/>
    </row>
    <row r="423" spans="2:2" x14ac:dyDescent="0.25">
      <c r="B423" s="89"/>
    </row>
  </sheetData>
  <mergeCells count="10">
    <mergeCell ref="O8:P8"/>
    <mergeCell ref="Q8:Q9"/>
    <mergeCell ref="A1:M1"/>
    <mergeCell ref="A8:A9"/>
    <mergeCell ref="C8:C9"/>
    <mergeCell ref="D8:D9"/>
    <mergeCell ref="F8:G8"/>
    <mergeCell ref="K8:K9"/>
    <mergeCell ref="L8:L9"/>
    <mergeCell ref="M8:N8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9" r:id="rId4" name="btnGenerate">
          <controlPr defaultSize="0" autoLine="0" r:id="rId5">
            <anchor moveWithCells="1" sizeWithCells="1">
              <from>
                <xdr:col>4</xdr:col>
                <xdr:colOff>449580</xdr:colOff>
                <xdr:row>2</xdr:row>
                <xdr:rowOff>114300</xdr:rowOff>
              </from>
              <to>
                <xdr:col>7</xdr:col>
                <xdr:colOff>312420</xdr:colOff>
                <xdr:row>4</xdr:row>
                <xdr:rowOff>30480</xdr:rowOff>
              </to>
            </anchor>
          </controlPr>
        </control>
      </mc:Choice>
      <mc:Fallback>
        <control shapeId="1039" r:id="rId4" name="btn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HC</vt:lpstr>
    </vt:vector>
  </TitlesOfParts>
  <Company>AGCO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lemaya</cp:lastModifiedBy>
  <dcterms:created xsi:type="dcterms:W3CDTF">2017-02-06T14:12:24Z</dcterms:created>
  <dcterms:modified xsi:type="dcterms:W3CDTF">2018-12-07T14:13:21Z</dcterms:modified>
</cp:coreProperties>
</file>