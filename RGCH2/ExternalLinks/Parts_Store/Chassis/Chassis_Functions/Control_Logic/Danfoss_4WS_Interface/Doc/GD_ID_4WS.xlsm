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Chassis_Development\RG_RavenPropA\ExternalLinks\Parts_Store\Chassis\Chassis_Functions\Control_Logic\Danfoss_4WS_Interface\Doc\"/>
    </mc:Choice>
  </mc:AlternateContent>
  <bookViews>
    <workbookView xWindow="11505" yWindow="-15" windowWidth="11550" windowHeight="11310"/>
  </bookViews>
  <sheets>
    <sheet name="4WS" sheetId="1" r:id="rId1"/>
  </sheets>
  <functionGroups builtInGroupCount="18"/>
  <externalReferences>
    <externalReference r:id="rId2"/>
    <externalReference r:id="rId3"/>
    <externalReference r:id="rId4"/>
  </externalReferences>
  <definedNames>
    <definedName name="App._1" localSheetId="0">#REF!</definedName>
    <definedName name="App._1">#REF!</definedName>
    <definedName name="App._11" localSheetId="0">#REF!</definedName>
    <definedName name="App._11">#REF!</definedName>
    <definedName name="App._12" localSheetId="0">#REF!</definedName>
    <definedName name="App._12">#REF!</definedName>
    <definedName name="App._13" localSheetId="0">#REF!</definedName>
    <definedName name="App._13">#REF!</definedName>
    <definedName name="App._14" localSheetId="0">#REF!</definedName>
    <definedName name="App._14">#REF!</definedName>
    <definedName name="App._15" localSheetId="0">#REF!</definedName>
    <definedName name="App._15">#REF!</definedName>
    <definedName name="App._16" localSheetId="0">#REF!</definedName>
    <definedName name="App._16">#REF!</definedName>
    <definedName name="App._17" localSheetId="0">#REF!</definedName>
    <definedName name="App._17">#REF!</definedName>
    <definedName name="App._18" localSheetId="0">#REF!</definedName>
    <definedName name="App._18">#REF!</definedName>
    <definedName name="App._19" localSheetId="0">#REF!</definedName>
    <definedName name="App._19">#REF!</definedName>
    <definedName name="App._2" localSheetId="0">#REF!</definedName>
    <definedName name="App._2">#REF!</definedName>
    <definedName name="App._20" localSheetId="0">#REF!</definedName>
    <definedName name="App._20">#REF!</definedName>
    <definedName name="App._21" localSheetId="0">#REF!</definedName>
    <definedName name="App._21">#REF!</definedName>
    <definedName name="App._22" localSheetId="0">#REF!</definedName>
    <definedName name="App._22">#REF!</definedName>
    <definedName name="App._23" localSheetId="0">#REF!</definedName>
    <definedName name="App._23">#REF!</definedName>
    <definedName name="App._24" localSheetId="0">#REF!</definedName>
    <definedName name="App._24">#REF!</definedName>
    <definedName name="App._25" localSheetId="0">#REF!</definedName>
    <definedName name="App._25">#REF!</definedName>
    <definedName name="App._26" localSheetId="0">#REF!</definedName>
    <definedName name="App._26">#REF!</definedName>
    <definedName name="App._27" localSheetId="0">#REF!</definedName>
    <definedName name="App._27">#REF!</definedName>
    <definedName name="App._28" localSheetId="0">#REF!</definedName>
    <definedName name="App._28">#REF!</definedName>
    <definedName name="App._29" localSheetId="0">#REF!</definedName>
    <definedName name="App._29">#REF!</definedName>
    <definedName name="App._30" localSheetId="0">#REF!</definedName>
    <definedName name="App._30">#REF!</definedName>
    <definedName name="App._5" localSheetId="0">#REF!</definedName>
    <definedName name="App._5">#REF!</definedName>
    <definedName name="App._7" localSheetId="0">#REF!</definedName>
    <definedName name="App._7">#REF!</definedName>
    <definedName name="App._8" localSheetId="0">#REF!</definedName>
    <definedName name="App._8">#REF!</definedName>
    <definedName name="EBT_Anmerkung_1" localSheetId="0">#REF!</definedName>
    <definedName name="EBT_Anmerkung_1">#REF!</definedName>
    <definedName name="EBT_Anmerkung_2" localSheetId="0">#REF!</definedName>
    <definedName name="EBT_Anmerkung_2">#REF!</definedName>
    <definedName name="EHL_ANMERKUNG_1" localSheetId="0">#REF!</definedName>
    <definedName name="EHL_ANMERKUNG_1">#REF!</definedName>
    <definedName name="EHL_ANMERKUNG_2" localSheetId="0">#REF!</definedName>
    <definedName name="EHL_ANMERKUNG_2">#REF!</definedName>
    <definedName name="EMM_ANMERKUNG_1" localSheetId="0">#REF!</definedName>
    <definedName name="EMM_ANMERKUNG_1">#REF!</definedName>
    <definedName name="KHR_ANMERKUNG_1">[1]GD_ID!$A$70:$F$81</definedName>
    <definedName name="KHR_ANMERKUNG_2">[1]GD_ID!$A$83:$F$87</definedName>
    <definedName name="KHR_ANMERKUNG_3">[1]GD_ID!$A$89:$G$100</definedName>
    <definedName name="KHR_ANMERKUNG_4">[1]GD_ID!$A$102:$F$116</definedName>
    <definedName name="Machine_List" localSheetId="0">'[2]Routing-Data RG3'!$P$23:$P$54</definedName>
    <definedName name="Machine_List">'[3]Routing-Data'!$W$27:$X$29</definedName>
    <definedName name="Machine_Select" localSheetId="0">'[2]Routing-Data RG3'!$P$30</definedName>
    <definedName name="Machine_Select">'[3]Routing-Data'!$R$27</definedName>
    <definedName name="MFA_Anmerkung_1" localSheetId="0">#REF!</definedName>
    <definedName name="MFA_Anmerkung_1">#REF!</definedName>
    <definedName name="MFA_Anmerkung_10" localSheetId="0">#REF!</definedName>
    <definedName name="MFA_Anmerkung_10">#REF!</definedName>
    <definedName name="MFA_Anmerkung_11" localSheetId="0">#REF!</definedName>
    <definedName name="MFA_Anmerkung_11">#REF!</definedName>
    <definedName name="MFA_Anmerkung_2" localSheetId="0">#REF!</definedName>
    <definedName name="MFA_Anmerkung_2">#REF!</definedName>
    <definedName name="MFA_Anmerkung_3" localSheetId="0">#REF!</definedName>
    <definedName name="MFA_Anmerkung_3">#REF!</definedName>
    <definedName name="MFA_Anmerkung_4" localSheetId="0">#REF!</definedName>
    <definedName name="MFA_Anmerkung_4">#REF!</definedName>
    <definedName name="MFA_Anmerkung_5" localSheetId="0">#REF!</definedName>
    <definedName name="MFA_Anmerkung_5">#REF!</definedName>
    <definedName name="MFA_Anmerkung_6" localSheetId="0">#REF!</definedName>
    <definedName name="MFA_Anmerkung_6">#REF!</definedName>
    <definedName name="MFA_Anmerkung_7" localSheetId="0">#REF!</definedName>
    <definedName name="MFA_Anmerkung_7">#REF!</definedName>
    <definedName name="MFA_Anmerkung_8" localSheetId="0">#REF!</definedName>
    <definedName name="MFA_Anmerkung_8">#REF!</definedName>
    <definedName name="MFA_Anmerkung_9" localSheetId="0">#REF!</definedName>
    <definedName name="MFA_Anmerkung_9">#REF!</definedName>
  </definedNames>
  <calcPr calcId="152511"/>
</workbook>
</file>

<file path=xl/calcChain.xml><?xml version="1.0" encoding="utf-8"?>
<calcChain xmlns="http://schemas.openxmlformats.org/spreadsheetml/2006/main">
  <c r="M90" i="1" l="1"/>
  <c r="N90" i="1"/>
  <c r="O90" i="1"/>
  <c r="P90" i="1"/>
  <c r="M91" i="1"/>
  <c r="N91" i="1"/>
  <c r="O91" i="1"/>
  <c r="P91" i="1"/>
  <c r="M92" i="1"/>
  <c r="N92" i="1"/>
  <c r="O92" i="1"/>
  <c r="P92" i="1"/>
  <c r="M93" i="1"/>
  <c r="N93" i="1"/>
  <c r="O93" i="1"/>
  <c r="P93" i="1"/>
  <c r="M94" i="1"/>
  <c r="N94" i="1"/>
  <c r="O94" i="1"/>
  <c r="P94" i="1"/>
  <c r="M95" i="1"/>
  <c r="N95" i="1"/>
  <c r="O95" i="1"/>
  <c r="P95" i="1"/>
  <c r="M96" i="1"/>
  <c r="N96" i="1"/>
  <c r="O96" i="1"/>
  <c r="P96" i="1"/>
  <c r="M97" i="1"/>
  <c r="N97" i="1"/>
  <c r="O97" i="1"/>
  <c r="P97" i="1"/>
  <c r="M98" i="1"/>
  <c r="N98" i="1"/>
  <c r="O98" i="1"/>
  <c r="P98" i="1"/>
  <c r="M99" i="1"/>
  <c r="N99" i="1"/>
  <c r="O99" i="1"/>
  <c r="P99" i="1"/>
  <c r="M100" i="1"/>
  <c r="N100" i="1"/>
  <c r="O100" i="1"/>
  <c r="P100" i="1"/>
  <c r="M101" i="1"/>
  <c r="N101" i="1"/>
  <c r="O101" i="1"/>
  <c r="P101" i="1"/>
  <c r="M102" i="1"/>
  <c r="N102" i="1"/>
  <c r="O102" i="1"/>
  <c r="P102" i="1"/>
  <c r="M103" i="1"/>
  <c r="N103" i="1"/>
  <c r="O103" i="1"/>
  <c r="P103" i="1"/>
  <c r="M104" i="1"/>
  <c r="N104" i="1"/>
  <c r="O104" i="1"/>
  <c r="P104" i="1"/>
  <c r="M105" i="1"/>
  <c r="N105" i="1"/>
  <c r="O105" i="1"/>
  <c r="P105" i="1"/>
  <c r="M106" i="1"/>
  <c r="N106" i="1"/>
  <c r="O106" i="1"/>
  <c r="P106" i="1"/>
  <c r="M109" i="1"/>
  <c r="N109" i="1"/>
  <c r="O109" i="1"/>
  <c r="P109" i="1"/>
  <c r="O67" i="1" l="1"/>
  <c r="P67" i="1" s="1"/>
  <c r="O61" i="1" l="1"/>
  <c r="P61" i="1"/>
  <c r="O60" i="1" l="1"/>
  <c r="P60" i="1" s="1"/>
  <c r="O73" i="1" l="1"/>
  <c r="P73" i="1" s="1"/>
  <c r="O70" i="1"/>
  <c r="P70" i="1" s="1"/>
  <c r="O45" i="1" l="1"/>
  <c r="P45" i="1" s="1"/>
  <c r="O58" i="1" l="1"/>
  <c r="P58" i="1" s="1"/>
  <c r="O56" i="1" l="1"/>
  <c r="P56" i="1" s="1"/>
  <c r="O54" i="1"/>
  <c r="P54" i="1" s="1"/>
  <c r="O52" i="1"/>
  <c r="P52" i="1" s="1"/>
  <c r="O51" i="1" l="1"/>
  <c r="P51" i="1" s="1"/>
  <c r="O50" i="1"/>
  <c r="P50" i="1" s="1"/>
  <c r="O48" i="1" l="1"/>
  <c r="P48" i="1" s="1"/>
  <c r="O47" i="1"/>
  <c r="P47" i="1" s="1"/>
  <c r="O43" i="1" l="1"/>
  <c r="O41" i="1"/>
  <c r="P44" i="1"/>
  <c r="P43" i="1" l="1"/>
  <c r="P41" i="1"/>
  <c r="P34" i="1" l="1"/>
  <c r="O34" i="1"/>
  <c r="N34" i="1"/>
  <c r="M34" i="1"/>
  <c r="N33" i="1"/>
  <c r="M33" i="1"/>
  <c r="N32" i="1"/>
  <c r="M32" i="1"/>
  <c r="O32" i="1" s="1"/>
  <c r="P32" i="1" s="1"/>
  <c r="N31" i="1"/>
  <c r="M31" i="1"/>
  <c r="N30" i="1"/>
  <c r="M30" i="1"/>
  <c r="O30" i="1" s="1"/>
  <c r="P30" i="1" s="1"/>
  <c r="N112" i="1" l="1"/>
  <c r="M112" i="1"/>
  <c r="O112" i="1" s="1"/>
  <c r="P112" i="1" s="1"/>
  <c r="C112" i="1"/>
  <c r="P111" i="1"/>
  <c r="O111" i="1"/>
  <c r="N111" i="1"/>
  <c r="M111" i="1"/>
  <c r="N110" i="1"/>
  <c r="M110" i="1"/>
  <c r="O110" i="1" s="1"/>
  <c r="P110" i="1" s="1"/>
  <c r="N89" i="1"/>
  <c r="M89" i="1"/>
  <c r="O89" i="1" s="1"/>
  <c r="P89" i="1" s="1"/>
  <c r="P88" i="1"/>
  <c r="O88" i="1"/>
  <c r="N88" i="1"/>
  <c r="M88" i="1"/>
  <c r="N86" i="1"/>
  <c r="M86" i="1"/>
  <c r="O86" i="1" s="1"/>
  <c r="P86" i="1" s="1"/>
  <c r="N39" i="1"/>
  <c r="M39" i="1"/>
  <c r="O39" i="1" s="1"/>
  <c r="P39" i="1" s="1"/>
  <c r="P38" i="1"/>
  <c r="O38" i="1"/>
  <c r="N38" i="1"/>
  <c r="M38" i="1"/>
  <c r="N37" i="1"/>
  <c r="M37" i="1"/>
  <c r="O37" i="1" s="1"/>
  <c r="P37" i="1" s="1"/>
  <c r="N35" i="1"/>
  <c r="M35" i="1"/>
  <c r="O35" i="1" s="1"/>
  <c r="P35" i="1" s="1"/>
  <c r="P29" i="1" l="1"/>
  <c r="O29" i="1"/>
  <c r="P28" i="1"/>
  <c r="O28" i="1"/>
  <c r="P26" i="1"/>
  <c r="O26" i="1"/>
  <c r="O25" i="1"/>
  <c r="P25" i="1" s="1"/>
  <c r="O24" i="1"/>
  <c r="P24" i="1" s="1"/>
  <c r="O23" i="1"/>
  <c r="P23" i="1" s="1"/>
  <c r="O22" i="1"/>
  <c r="P22" i="1" s="1"/>
  <c r="P20" i="1"/>
  <c r="O20" i="1"/>
  <c r="P18" i="1"/>
  <c r="O18" i="1"/>
  <c r="P17" i="1"/>
  <c r="O17" i="1"/>
  <c r="O16" i="1"/>
  <c r="P16" i="1" s="1"/>
  <c r="O11" i="1"/>
  <c r="P11" i="1" s="1"/>
</calcChain>
</file>

<file path=xl/comments1.xml><?xml version="1.0" encoding="utf-8"?>
<comments xmlns="http://schemas.openxmlformats.org/spreadsheetml/2006/main">
  <authors>
    <author>AGCO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the ECU Logical Node Name</t>
        </r>
      </text>
    </comment>
    <comment ref="D3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short name for ECU logical name</t>
        </r>
      </text>
    </comment>
    <comment ref="C11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Follow the pattern to generate signal information for the logical node</t>
        </r>
      </text>
    </comment>
    <comment ref="D11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R, W, R/W based on the signal type</t>
        </r>
      </text>
    </comment>
    <comment ref="E11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--- to generate 16 bit signal or 0/1 for single bit signal in the generated files</t>
        </r>
      </text>
    </comment>
    <comment ref="S11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the Value description for the signal defined. Make sure to enter --- in fhe status column</t>
        </r>
      </text>
    </comment>
    <comment ref="T11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the bits of the 16 bit signal. Make sure to enter --- in status column</t>
        </r>
      </text>
    </comment>
    <comment ref="E18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--- to generate 16 bit signal or 0/1 for single bit signal in the generated files</t>
        </r>
      </text>
    </comment>
    <comment ref="E20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--- to generate 16 bit signal or 0/1 for single bit signal in the generated files</t>
        </r>
      </text>
    </comment>
    <comment ref="E22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--- to generate 16 bit signal or 0/1 for single bit signal in the generated files</t>
        </r>
      </text>
    </comment>
    <comment ref="E24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--- to generate 16 bit signal or 0/1 for single bit signal in the generated files</t>
        </r>
      </text>
    </comment>
    <comment ref="E25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--- to generate 16 bit signal or 0/1 for single bit signal in the generated files</t>
        </r>
      </text>
    </comment>
    <comment ref="E28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--- to generate 16 bit signal or 0/1 for single bit signal in the generated files</t>
        </r>
      </text>
    </comment>
    <comment ref="E29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--- to generate 16 bit signal or 0/1 for single bit signal in the generated files</t>
        </r>
      </text>
    </comment>
    <comment ref="E30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--- to generate 16 bit signal or 0/1 for single bit signal in the generated files</t>
        </r>
      </text>
    </comment>
    <comment ref="E32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--- to generate 16 bit signal or 0/1 for single bit signal in the generated files</t>
        </r>
      </text>
    </comment>
    <comment ref="E35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--- to generate 16 bit signal or 0/1 for single bit signal in the generated files</t>
        </r>
      </text>
    </comment>
    <comment ref="E41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--- to generate 16 bit signal or 0/1 for single bit signal in the generated files</t>
        </r>
      </text>
    </comment>
    <comment ref="E43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--- to generate 16 bit signal or 0/1 for single bit signal in the generated files</t>
        </r>
      </text>
    </comment>
    <comment ref="E67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--- to generate 16 bit signal or 0/1 for single bit signal in the generated files</t>
        </r>
      </text>
    </comment>
    <comment ref="A109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Never leave blank spaces between the rows. This will affect generation of files</t>
        </r>
      </text>
    </comment>
    <comment ref="A110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494 for error message signal. This holds good for all logical nodes
</t>
        </r>
      </text>
    </comment>
    <comment ref="A112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Make sure to enter 511 for life message. This holds good for all the logical nodes
</t>
        </r>
      </text>
    </comment>
    <comment ref="C112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the Life Message with the format shown</t>
        </r>
      </text>
    </comment>
  </commentList>
</comments>
</file>

<file path=xl/sharedStrings.xml><?xml version="1.0" encoding="utf-8"?>
<sst xmlns="http://schemas.openxmlformats.org/spreadsheetml/2006/main" count="419" uniqueCount="175">
  <si>
    <t>4 Wheel Steer</t>
  </si>
  <si>
    <t>Logical name:</t>
  </si>
  <si>
    <t>4WS</t>
  </si>
  <si>
    <t>Physical Node:</t>
  </si>
  <si>
    <t>Logical Node:</t>
  </si>
  <si>
    <t>Index
0 - 511</t>
  </si>
  <si>
    <t>Status</t>
  </si>
  <si>
    <t>Variable Name
Begin with GD_ID_ES_</t>
  </si>
  <si>
    <t>Access
R, W, R/W</t>
  </si>
  <si>
    <t>Data - Min/Max</t>
  </si>
  <si>
    <t>Offset</t>
  </si>
  <si>
    <t>Scaling</t>
  </si>
  <si>
    <t>Unit</t>
  </si>
  <si>
    <t>Data
Dimension</t>
  </si>
  <si>
    <t>Description</t>
  </si>
  <si>
    <t>Subscriber Number</t>
  </si>
  <si>
    <t>Globaler Index</t>
  </si>
  <si>
    <t>NT01 Reference</t>
  </si>
  <si>
    <t>Used by EDT</t>
  </si>
  <si>
    <t>Nodes to Respond to Variable</t>
  </si>
  <si>
    <t>Nodes to Request Variable</t>
  </si>
  <si>
    <t>Nodes to Immediate Write Variable</t>
  </si>
  <si>
    <t>Value Table Name For 16 Bit Value</t>
  </si>
  <si>
    <t>Value Text Description</t>
  </si>
  <si>
    <t>Value</t>
  </si>
  <si>
    <t>Bit Table Name For 1 Bit Status</t>
  </si>
  <si>
    <t>Bit Value Description</t>
  </si>
  <si>
    <t>Bit Value</t>
  </si>
  <si>
    <t>(P/I/R)</t>
  </si>
  <si>
    <t>DB5 - Bit7</t>
  </si>
  <si>
    <t xml:space="preserve">MIN </t>
  </si>
  <si>
    <t>Max</t>
  </si>
  <si>
    <t>Factor</t>
  </si>
  <si>
    <t>Logical Node</t>
  </si>
  <si>
    <t>Phy Node</t>
  </si>
  <si>
    <t>Dec</t>
  </si>
  <si>
    <t>Hex</t>
  </si>
  <si>
    <t>GD_ID_4WS_REQUESTED_MODE</t>
  </si>
  <si>
    <t>---</t>
  </si>
  <si>
    <t>0:Off  1:2WS  2:4WS Auto  3:4WS  4:Crab</t>
  </si>
  <si>
    <t>-g</t>
  </si>
  <si>
    <t>NT01</t>
  </si>
  <si>
    <t>OFF</t>
  </si>
  <si>
    <t>XXXXXXXXXXXXXXXXXXXXX</t>
  </si>
  <si>
    <t>2WS</t>
  </si>
  <si>
    <t>4WS Auto</t>
  </si>
  <si>
    <t>Crab</t>
  </si>
  <si>
    <t>GD_ID_4WS_CURRENT_MODE</t>
  </si>
  <si>
    <t>GD_ID_4WS_JOG_LEFT</t>
  </si>
  <si>
    <t>1/0</t>
  </si>
  <si>
    <t>ON/OFF</t>
  </si>
  <si>
    <t>Jog rear axle to the left</t>
  </si>
  <si>
    <t>-gs</t>
  </si>
  <si>
    <t>GD_ID_4WS_JOG_RIGHT</t>
  </si>
  <si>
    <t>Jog rear axle to the right</t>
  </si>
  <si>
    <t>GD_ID_4WS_JOG_CLEAR</t>
  </si>
  <si>
    <t>Clear jog</t>
  </si>
  <si>
    <t>GD_ID_4WS_JOG_ANGLE</t>
  </si>
  <si>
    <t>deg</t>
  </si>
  <si>
    <t>DB5/Bit7=Positive/Negative (0=Left; 1=Right)
DB6/DB7=Value</t>
  </si>
  <si>
    <t>Jog angle</t>
  </si>
  <si>
    <t>Left</t>
  </si>
  <si>
    <t>Right</t>
  </si>
  <si>
    <t>GD_ID_4WS_FRONT_ANGLE</t>
  </si>
  <si>
    <t>GD_ID_4WS_REAR_ANGLE</t>
  </si>
  <si>
    <t>GD_ID_4WS_ErrorManagement</t>
  </si>
  <si>
    <t>W</t>
  </si>
  <si>
    <t>Error Code</t>
  </si>
  <si>
    <t>Return path for fault management (acknowledgment)</t>
  </si>
  <si>
    <t>R</t>
  </si>
  <si>
    <t>Lifemessage</t>
  </si>
  <si>
    <t>End</t>
  </si>
  <si>
    <t>Anl. 1:</t>
  </si>
  <si>
    <t>0 = OFF</t>
  </si>
  <si>
    <t>1 = ON</t>
  </si>
  <si>
    <t>2 = Flashing</t>
  </si>
  <si>
    <t>GD_ID_4WS_MACHINE_REAR_ANGLE</t>
  </si>
  <si>
    <t>GD_ID_4WS_REAR_ANGLE_SENSOR_VALUE</t>
  </si>
  <si>
    <t>uA</t>
  </si>
  <si>
    <t>Raw sensor value read in uA's</t>
  </si>
  <si>
    <t>GD_ID_4WS_REAR_ANGLE_CALIB_COMMAND</t>
  </si>
  <si>
    <t>enum</t>
  </si>
  <si>
    <t>Access for beginning or aborting a calibration</t>
  </si>
  <si>
    <t>DIAGNOSE</t>
  </si>
  <si>
    <t>START_CALIBRATION</t>
  </si>
  <si>
    <t>ABORT_CALIBRATION</t>
  </si>
  <si>
    <t>GD_ID_4WS_REAR_ANGLE_CALIB_STATUS</t>
  </si>
  <si>
    <t>Returns the current calibration state of the rear wheel sensor</t>
  </si>
  <si>
    <t>COMPLETED</t>
  </si>
  <si>
    <t>RECORD_CENTER</t>
  </si>
  <si>
    <t>COMMAND_4WS</t>
  </si>
  <si>
    <t>COMMAND_LEFT</t>
  </si>
  <si>
    <t>RECORD_LEFT</t>
  </si>
  <si>
    <t>COMMAND_RIGHT</t>
  </si>
  <si>
    <t>RECORD_RIGHT</t>
  </si>
  <si>
    <t>INTERRUPTED</t>
  </si>
  <si>
    <t>BAD_STORED_CALIBS</t>
  </si>
  <si>
    <t>BAD_CENTER_VALUE</t>
  </si>
  <si>
    <t>COULD_NOT_ENTER_4WS</t>
  </si>
  <si>
    <t>WHEEL_NOT_LEFT</t>
  </si>
  <si>
    <t>BAD_LEFT_VALUE</t>
  </si>
  <si>
    <t>WHEEL_NOT_RIGHT</t>
  </si>
  <si>
    <t>BAD_RIGHT_VALUE</t>
  </si>
  <si>
    <t>COULD_NOT_RECENTER</t>
  </si>
  <si>
    <t>GD_ID_4WS_UI_FRONT_ANGLE</t>
  </si>
  <si>
    <t>GD_ID_4WS_UI_REAR_ANGLE</t>
  </si>
  <si>
    <t>R/W</t>
  </si>
  <si>
    <t>Not used</t>
  </si>
  <si>
    <t>Used</t>
  </si>
  <si>
    <t>GD_ID_4WS_REAR_ANGLE_SETPOINT</t>
  </si>
  <si>
    <t>gd filename:</t>
  </si>
  <si>
    <t>danfoss_4WS_gd.h</t>
  </si>
  <si>
    <t>%</t>
  </si>
  <si>
    <t>mA</t>
  </si>
  <si>
    <t>GD_ID_4WS_ANGLE_CONTROL_KP</t>
  </si>
  <si>
    <t>PI loop Ki for controlling rear output duty cycles a target current</t>
  </si>
  <si>
    <t>PI loop Kp for controlling rear output duty cycles to a target current</t>
  </si>
  <si>
    <t>PI loop Kp for controlling rear output current to a target angle</t>
  </si>
  <si>
    <t>GD_ID_4WS_ANGLE_CONTROL_KI</t>
  </si>
  <si>
    <t>PI loop Ki for controlling rear output current to a target angle</t>
  </si>
  <si>
    <t>GD_ID_4WS_TARGET_CURRENT</t>
  </si>
  <si>
    <t>PI loop Kc for controlling rear output duty cycles a target current</t>
  </si>
  <si>
    <t>Angle to command the rear wheels to</t>
  </si>
  <si>
    <t>GD_ID_4WS_START_CURRENT_CALIB_COMMAND</t>
  </si>
  <si>
    <t>GD_ID_4WS_START_CURRENT_CALIB_STATUS</t>
  </si>
  <si>
    <t>Access for beginning or aborting a start current calibration</t>
  </si>
  <si>
    <t>Returns the state of the start current calibration</t>
  </si>
  <si>
    <t>BAD_CALIB</t>
  </si>
  <si>
    <t>RECENTER_TIMEOUT</t>
  </si>
  <si>
    <t>COMPLETE</t>
  </si>
  <si>
    <t>CENTER_WHEELS</t>
  </si>
  <si>
    <t>RIGHT_OUTSIDE_LIMITS</t>
  </si>
  <si>
    <t>RIGHT_WRONG_DIRECTION</t>
  </si>
  <si>
    <t>GD_ID_4WS_RIGHT_PWM</t>
  </si>
  <si>
    <t>PWM percent of the right coil for the 4WS system</t>
  </si>
  <si>
    <t>GD_ID_4WS_RIGHT_VALVE_COIL_CURRENT</t>
  </si>
  <si>
    <t>current going through the right valve coil of the 4WS system</t>
  </si>
  <si>
    <t>GD_ID_4WS_LEFT_PWM</t>
  </si>
  <si>
    <t>PWM percent of the left coil for the 4WS system</t>
  </si>
  <si>
    <t>GD_ID_4WS_LEFT_VALVE_COIL_CURRENT</t>
  </si>
  <si>
    <t>current going through the left valve coil of the 4WS system</t>
  </si>
  <si>
    <t>LEFT_OUTSIDE_LIMITS</t>
  </si>
  <si>
    <t>LEFT_WRONG_DIRECTION</t>
  </si>
  <si>
    <t>CALIBRATE_LEFT</t>
  </si>
  <si>
    <t>CALIBRATE_RIGHT</t>
  </si>
  <si>
    <t>Front steer angle indicating actual wheel direction (Wheels pointing left = LEFT)</t>
  </si>
  <si>
    <t>Rear steer angle, formatted the same as SCT angle indicating curvature (Wheels pointing left = Positive)</t>
  </si>
  <si>
    <t>Rear steer angle setpoint formatted the same as SCT angle indicating curvature (Wheels pointing left = Positive)</t>
  </si>
  <si>
    <t>RECENTER</t>
  </si>
  <si>
    <t>Target current for controlling rear output. Status bit 1 = right coil, and status bit 0 = left coil</t>
  </si>
  <si>
    <t>Calibrating</t>
  </si>
  <si>
    <t>INTERNAL_INTERRUPTION</t>
  </si>
  <si>
    <t>EXTERNAL_INTERRUPTION</t>
  </si>
  <si>
    <t>GD_ID_4WS_COMMAND_CURRENT</t>
  </si>
  <si>
    <t>Directly commanding a target current for the system to control to</t>
  </si>
  <si>
    <t>GD_ID_4WS_ACTIVE_CURRENT_LOOP</t>
  </si>
  <si>
    <t>Displays the current contol loop(s) that is/are active if any</t>
  </si>
  <si>
    <t>LEFT_COIL</t>
  </si>
  <si>
    <t>RIGHT_COIL</t>
  </si>
  <si>
    <t>BOTH</t>
  </si>
  <si>
    <t>NEITHER</t>
  </si>
  <si>
    <t>GD_ID_4WS_UNFILTERED_REAR_ANGLE</t>
  </si>
  <si>
    <t>Displays the rear wheel angle before it is filtered by the max slew rate</t>
  </si>
  <si>
    <t>GD_ID_4WS_CURRENT_CONTROL_KP</t>
  </si>
  <si>
    <t>GD_ID_4WS_CURRENT_CONTROL_KI</t>
  </si>
  <si>
    <t>GD_ID_4WS_REAR_ANGLE_TARGET</t>
  </si>
  <si>
    <t>GD_ID_4WS_CURRENT_CONTROL_KC</t>
  </si>
  <si>
    <t>Rear steer angle indicating actual wheel direction (Wheels pointing left = LEFT)</t>
  </si>
  <si>
    <t>GD_ID_4WS_GUIDANCE_RESTRICTION_LEVEL</t>
  </si>
  <si>
    <t>0: Allow 4WS when guiding 1: Allow 4WS when guiding, but setpoint is 0 2: Don't allow 4WS when guiding</t>
  </si>
  <si>
    <t>4WS_ALLOWED</t>
  </si>
  <si>
    <t>4WS_ALLOWED_SETPOINT_0</t>
  </si>
  <si>
    <t>4WS_NOT_ALLOWED</t>
  </si>
  <si>
    <t>Danfoss 4WS</t>
  </si>
  <si>
    <t>AGCO 4WS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</si>
</sst>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\ &quot;DM&quot;_-;\-* #,##0.00\ &quot;DM&quot;_-;_-* &quot;-&quot;??\ &quot;DM&quot;_-;_-@_-"/>
    <numFmt numFmtId="165" formatCode="_-* #,##0.00\ [$€]_-;\-* #,##0.00\ [$€]_-;_-* &quot;-&quot;??\ [$€]_-;_-@_-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  <charset val="204"/>
    </font>
    <font>
      <b/>
      <sz val="11"/>
      <name val="Arial"/>
      <family val="2"/>
    </font>
    <font>
      <b/>
      <sz val="10"/>
      <name val="Arial"/>
      <family val="2"/>
    </font>
    <font>
      <b/>
      <sz val="10"/>
      <name val="Arial"/>
      <family val="2"/>
      <charset val="204"/>
    </font>
    <font>
      <sz val="10"/>
      <color indexed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u/>
      <sz val="10"/>
      <color indexed="12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charset val="204"/>
      <scheme val="minor"/>
    </font>
    <font>
      <sz val="11"/>
      <color indexed="20"/>
      <name val="Calibri"/>
      <family val="2"/>
    </font>
    <font>
      <b/>
      <i/>
      <sz val="16"/>
      <name val="Courier New"/>
      <family val="3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color indexed="56"/>
      <name val="Cambria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b/>
      <sz val="11"/>
      <color indexed="9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55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237">
    <xf numFmtId="0" fontId="0" fillId="0" borderId="0"/>
    <xf numFmtId="164" fontId="2" fillId="0" borderId="0" applyFont="0" applyFill="0" applyBorder="0" applyAlignment="0" applyProtection="0"/>
    <xf numFmtId="0" fontId="2" fillId="0" borderId="0"/>
    <xf numFmtId="0" fontId="5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12" fillId="3" borderId="0" applyNumberFormat="0" applyBorder="0" applyAlignment="0" applyProtection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6" borderId="0" applyNumberFormat="0" applyBorder="0" applyAlignment="0" applyProtection="0"/>
    <xf numFmtId="0" fontId="12" fillId="9" borderId="0" applyNumberFormat="0" applyBorder="0" applyAlignment="0" applyProtection="0"/>
    <xf numFmtId="0" fontId="12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0" borderId="0" applyNumberFormat="0" applyBorder="0" applyAlignment="0" applyProtection="0"/>
    <xf numFmtId="0" fontId="13" fillId="11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20" borderId="0" applyNumberFormat="0" applyBorder="0" applyAlignment="0" applyProtection="0"/>
    <xf numFmtId="0" fontId="14" fillId="21" borderId="17" applyNumberFormat="0" applyAlignment="0" applyProtection="0"/>
    <xf numFmtId="0" fontId="15" fillId="21" borderId="18" applyNumberFormat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6" fillId="8" borderId="18" applyNumberFormat="0" applyAlignment="0" applyProtection="0"/>
    <xf numFmtId="0" fontId="17" fillId="0" borderId="19" applyNumberFormat="0" applyFill="0" applyAlignment="0" applyProtection="0"/>
    <xf numFmtId="0" fontId="18" fillId="0" borderId="0" applyNumberFormat="0" applyFill="0" applyBorder="0" applyAlignment="0" applyProtection="0"/>
    <xf numFmtId="165" fontId="2" fillId="0" borderId="0" applyFont="0" applyFill="0" applyBorder="0" applyAlignment="0" applyProtection="0"/>
    <xf numFmtId="0" fontId="19" fillId="5" borderId="0" applyNumberFormat="0" applyBorder="0" applyAlignment="0" applyProtection="0"/>
    <xf numFmtId="0" fontId="2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22" borderId="20" applyNumberFormat="0" applyFon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3" fillId="4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4" fillId="0" borderId="0" applyNumberFormat="0" applyFill="0" applyBorder="0" applyProtection="0">
      <alignment horizontal="center"/>
    </xf>
    <xf numFmtId="0" fontId="25" fillId="0" borderId="21" applyNumberFormat="0" applyFill="0" applyAlignment="0" applyProtection="0"/>
    <xf numFmtId="0" fontId="26" fillId="0" borderId="22" applyNumberFormat="0" applyFill="0" applyAlignment="0" applyProtection="0"/>
    <xf numFmtId="0" fontId="27" fillId="0" borderId="23" applyNumberFormat="0" applyFill="0" applyAlignment="0" applyProtection="0"/>
    <xf numFmtId="0" fontId="27" fillId="0" borderId="0" applyNumberFormat="0" applyFill="0" applyBorder="0" applyAlignment="0" applyProtection="0"/>
    <xf numFmtId="0" fontId="24" fillId="0" borderId="0" applyNumberFormat="0" applyFill="0" applyBorder="0" applyProtection="0">
      <alignment horizontal="center"/>
    </xf>
    <xf numFmtId="0" fontId="28" fillId="0" borderId="0" applyNumberFormat="0" applyFill="0" applyBorder="0" applyAlignment="0" applyProtection="0"/>
    <xf numFmtId="0" fontId="29" fillId="0" borderId="24" applyNumberFormat="0" applyFill="0" applyAlignment="0" applyProtection="0"/>
    <xf numFmtId="0" fontId="30" fillId="0" borderId="0" applyNumberFormat="0" applyFill="0" applyBorder="0" applyAlignment="0" applyProtection="0"/>
    <xf numFmtId="0" fontId="31" fillId="23" borderId="25" applyNumberFormat="0" applyAlignment="0" applyProtection="0"/>
  </cellStyleXfs>
  <cellXfs count="136">
    <xf numFmtId="0" fontId="0" fillId="0" borderId="0" xfId="0"/>
    <xf numFmtId="0" fontId="2" fillId="0" borderId="0" xfId="2"/>
    <xf numFmtId="0" fontId="2" fillId="0" borderId="1" xfId="2" applyBorder="1"/>
    <xf numFmtId="0" fontId="2" fillId="0" borderId="2" xfId="2" applyBorder="1"/>
    <xf numFmtId="0" fontId="2" fillId="0" borderId="3" xfId="2" applyBorder="1"/>
    <xf numFmtId="0" fontId="4" fillId="0" borderId="0" xfId="2" applyFont="1" applyFill="1" applyAlignment="1">
      <alignment horizontal="center"/>
    </xf>
    <xf numFmtId="0" fontId="4" fillId="0" borderId="0" xfId="3" applyFont="1" applyFill="1" applyAlignment="1">
      <alignment horizontal="center"/>
    </xf>
    <xf numFmtId="0" fontId="6" fillId="0" borderId="0" xfId="2" applyFont="1" applyAlignment="1">
      <alignment horizontal="center"/>
    </xf>
    <xf numFmtId="0" fontId="6" fillId="0" borderId="0" xfId="2" applyFont="1" applyFill="1" applyAlignment="1">
      <alignment horizontal="center"/>
    </xf>
    <xf numFmtId="0" fontId="2" fillId="0" borderId="0" xfId="2" applyFont="1" applyFill="1" applyAlignment="1">
      <alignment horizontal="center"/>
    </xf>
    <xf numFmtId="0" fontId="2" fillId="0" borderId="0" xfId="2" applyFill="1" applyAlignment="1">
      <alignment horizontal="center"/>
    </xf>
    <xf numFmtId="0" fontId="2" fillId="0" borderId="0" xfId="2" applyFill="1"/>
    <xf numFmtId="0" fontId="2" fillId="0" borderId="4" xfId="2" applyBorder="1"/>
    <xf numFmtId="0" fontId="2" fillId="0" borderId="0" xfId="2" applyBorder="1"/>
    <xf numFmtId="0" fontId="2" fillId="0" borderId="5" xfId="2" applyBorder="1"/>
    <xf numFmtId="0" fontId="7" fillId="0" borderId="0" xfId="2" applyFont="1" applyFill="1" applyAlignment="1">
      <alignment horizontal="center"/>
    </xf>
    <xf numFmtId="0" fontId="5" fillId="0" borderId="0" xfId="3" applyFill="1"/>
    <xf numFmtId="0" fontId="8" fillId="0" borderId="0" xfId="5" applyFont="1" applyBorder="1" applyAlignment="1">
      <alignment horizontal="center" vertical="top" wrapText="1"/>
    </xf>
    <xf numFmtId="0" fontId="7" fillId="0" borderId="0" xfId="4" applyFont="1" applyBorder="1" applyAlignment="1">
      <alignment horizontal="center" vertical="top"/>
    </xf>
    <xf numFmtId="0" fontId="7" fillId="0" borderId="0" xfId="4" applyFont="1" applyBorder="1" applyAlignment="1">
      <alignment horizontal="center" vertical="center" wrapText="1"/>
    </xf>
    <xf numFmtId="0" fontId="7" fillId="0" borderId="5" xfId="4" applyFont="1" applyBorder="1" applyAlignment="1">
      <alignment horizontal="center" vertical="center" wrapText="1"/>
    </xf>
    <xf numFmtId="0" fontId="7" fillId="2" borderId="4" xfId="2" applyFont="1" applyFill="1" applyBorder="1" applyAlignment="1">
      <alignment horizontal="center" vertical="top" wrapText="1"/>
    </xf>
    <xf numFmtId="49" fontId="7" fillId="2" borderId="0" xfId="2" applyNumberFormat="1" applyFont="1" applyFill="1" applyBorder="1" applyAlignment="1">
      <alignment horizontal="center" vertical="top" wrapText="1"/>
    </xf>
    <xf numFmtId="0" fontId="7" fillId="2" borderId="5" xfId="2" applyFont="1" applyFill="1" applyBorder="1" applyAlignment="1">
      <alignment horizontal="center" vertical="center"/>
    </xf>
    <xf numFmtId="49" fontId="7" fillId="2" borderId="0" xfId="2" applyNumberFormat="1" applyFont="1" applyFill="1" applyBorder="1" applyAlignment="1">
      <alignment horizontal="center" vertical="center" wrapText="1"/>
    </xf>
    <xf numFmtId="49" fontId="7" fillId="2" borderId="0" xfId="2" applyNumberFormat="1" applyFont="1" applyFill="1" applyBorder="1" applyAlignment="1">
      <alignment horizontal="center" vertical="center"/>
    </xf>
    <xf numFmtId="0" fontId="8" fillId="0" borderId="0" xfId="5" applyFont="1" applyBorder="1" applyAlignment="1">
      <alignment horizontal="center" vertical="top"/>
    </xf>
    <xf numFmtId="0" fontId="2" fillId="0" borderId="0" xfId="4" applyFont="1" applyBorder="1" applyAlignment="1">
      <alignment horizontal="center" vertical="top"/>
    </xf>
    <xf numFmtId="0" fontId="2" fillId="0" borderId="4" xfId="4" applyBorder="1" applyAlignment="1">
      <alignment vertical="top"/>
    </xf>
    <xf numFmtId="0" fontId="2" fillId="0" borderId="0" xfId="4" applyBorder="1" applyAlignment="1">
      <alignment vertical="top"/>
    </xf>
    <xf numFmtId="0" fontId="2" fillId="0" borderId="5" xfId="4" applyBorder="1" applyAlignment="1">
      <alignment vertical="top"/>
    </xf>
    <xf numFmtId="0" fontId="2" fillId="0" borderId="0" xfId="2" applyBorder="1" applyAlignment="1">
      <alignment horizontal="left"/>
    </xf>
    <xf numFmtId="0" fontId="2" fillId="0" borderId="0" xfId="2" applyBorder="1" applyAlignment="1">
      <alignment horizontal="center"/>
    </xf>
    <xf numFmtId="0" fontId="2" fillId="0" borderId="6" xfId="2" applyBorder="1"/>
    <xf numFmtId="0" fontId="5" fillId="0" borderId="6" xfId="3" applyFont="1" applyBorder="1" applyAlignment="1">
      <alignment wrapText="1"/>
    </xf>
    <xf numFmtId="0" fontId="2" fillId="0" borderId="6" xfId="2" applyBorder="1" applyAlignment="1">
      <alignment horizontal="center"/>
    </xf>
    <xf numFmtId="0" fontId="7" fillId="0" borderId="6" xfId="2" applyFont="1" applyBorder="1" applyAlignment="1">
      <alignment horizontal="center"/>
    </xf>
    <xf numFmtId="0" fontId="2" fillId="0" borderId="6" xfId="2" applyBorder="1" applyAlignment="1">
      <alignment wrapText="1"/>
    </xf>
    <xf numFmtId="0" fontId="7" fillId="0" borderId="6" xfId="2" applyFont="1" applyBorder="1"/>
    <xf numFmtId="0" fontId="2" fillId="0" borderId="7" xfId="2" applyFont="1" applyBorder="1" applyAlignment="1">
      <alignment horizontal="left" vertical="top"/>
    </xf>
    <xf numFmtId="0" fontId="2" fillId="0" borderId="6" xfId="2" applyFont="1" applyBorder="1" applyAlignment="1">
      <alignment horizontal="left" vertical="top"/>
    </xf>
    <xf numFmtId="0" fontId="2" fillId="0" borderId="8" xfId="2" applyFont="1" applyBorder="1" applyAlignment="1">
      <alignment horizontal="left" vertical="top"/>
    </xf>
    <xf numFmtId="0" fontId="2" fillId="0" borderId="6" xfId="2" applyBorder="1" applyAlignment="1">
      <alignment horizontal="left"/>
    </xf>
    <xf numFmtId="0" fontId="2" fillId="0" borderId="9" xfId="6" applyBorder="1" applyAlignment="1">
      <alignment horizontal="center"/>
    </xf>
    <xf numFmtId="0" fontId="5" fillId="0" borderId="10" xfId="3" applyFont="1" applyBorder="1" applyAlignment="1">
      <alignment horizontal="center"/>
    </xf>
    <xf numFmtId="0" fontId="2" fillId="0" borderId="11" xfId="6" applyBorder="1"/>
    <xf numFmtId="0" fontId="2" fillId="0" borderId="11" xfId="6" quotePrefix="1" applyFont="1" applyBorder="1" applyAlignment="1">
      <alignment horizontal="center"/>
    </xf>
    <xf numFmtId="0" fontId="2" fillId="0" borderId="11" xfId="6" applyBorder="1" applyAlignment="1">
      <alignment horizontal="center" wrapText="1"/>
    </xf>
    <xf numFmtId="0" fontId="2" fillId="0" borderId="9" xfId="6" applyBorder="1" applyAlignment="1">
      <alignment horizontal="center" wrapText="1"/>
    </xf>
    <xf numFmtId="0" fontId="2" fillId="0" borderId="9" xfId="6" applyFill="1" applyBorder="1" applyAlignment="1">
      <alignment horizontal="left"/>
    </xf>
    <xf numFmtId="0" fontId="2" fillId="0" borderId="9" xfId="6" applyBorder="1"/>
    <xf numFmtId="0" fontId="2" fillId="0" borderId="11" xfId="6" applyBorder="1" applyAlignment="1">
      <alignment horizontal="center"/>
    </xf>
    <xf numFmtId="0" fontId="2" fillId="0" borderId="11" xfId="6" applyBorder="1" applyAlignment="1">
      <alignment wrapText="1"/>
    </xf>
    <xf numFmtId="0" fontId="2" fillId="0" borderId="12" xfId="2" applyFont="1" applyBorder="1" applyAlignment="1">
      <alignment horizontal="center"/>
    </xf>
    <xf numFmtId="49" fontId="2" fillId="0" borderId="11" xfId="2" applyNumberFormat="1" applyFont="1" applyBorder="1" applyAlignment="1">
      <alignment horizontal="center"/>
    </xf>
    <xf numFmtId="0" fontId="2" fillId="0" borderId="11" xfId="2" applyFont="1" applyBorder="1" applyAlignment="1">
      <alignment horizontal="center"/>
    </xf>
    <xf numFmtId="0" fontId="2" fillId="0" borderId="0" xfId="6" applyFont="1" applyBorder="1" applyAlignment="1">
      <alignment horizontal="center"/>
    </xf>
    <xf numFmtId="0" fontId="2" fillId="0" borderId="13" xfId="6" applyBorder="1"/>
    <xf numFmtId="0" fontId="2" fillId="0" borderId="0" xfId="6" applyBorder="1"/>
    <xf numFmtId="0" fontId="2" fillId="0" borderId="9" xfId="2" applyFont="1" applyBorder="1" applyAlignment="1">
      <alignment horizontal="center"/>
    </xf>
    <xf numFmtId="0" fontId="2" fillId="0" borderId="9" xfId="2" applyBorder="1" applyAlignment="1">
      <alignment horizontal="center"/>
    </xf>
    <xf numFmtId="0" fontId="2" fillId="0" borderId="11" xfId="2" applyBorder="1" applyAlignment="1">
      <alignment horizontal="center"/>
    </xf>
    <xf numFmtId="0" fontId="2" fillId="0" borderId="0" xfId="6" applyBorder="1" applyAlignment="1">
      <alignment horizontal="center"/>
    </xf>
    <xf numFmtId="0" fontId="2" fillId="0" borderId="9" xfId="6" applyFont="1" applyBorder="1" applyAlignment="1">
      <alignment horizontal="center"/>
    </xf>
    <xf numFmtId="49" fontId="2" fillId="0" borderId="11" xfId="2" applyNumberFormat="1" applyBorder="1" applyAlignment="1">
      <alignment horizontal="center"/>
    </xf>
    <xf numFmtId="0" fontId="2" fillId="0" borderId="9" xfId="6" quotePrefix="1" applyBorder="1" applyAlignment="1">
      <alignment horizontal="center"/>
    </xf>
    <xf numFmtId="0" fontId="9" fillId="0" borderId="0" xfId="6" applyFont="1" applyAlignment="1">
      <alignment wrapText="1"/>
    </xf>
    <xf numFmtId="0" fontId="2" fillId="0" borderId="0" xfId="6" applyFont="1"/>
    <xf numFmtId="0" fontId="2" fillId="0" borderId="14" xfId="6" applyFont="1" applyBorder="1" applyAlignment="1">
      <alignment vertical="top" wrapText="1"/>
    </xf>
    <xf numFmtId="0" fontId="2" fillId="0" borderId="11" xfId="6" applyFont="1" applyBorder="1"/>
    <xf numFmtId="0" fontId="2" fillId="0" borderId="11" xfId="6" applyFont="1" applyBorder="1" applyAlignment="1">
      <alignment wrapText="1"/>
    </xf>
    <xf numFmtId="0" fontId="2" fillId="0" borderId="0" xfId="6" applyFill="1" applyBorder="1" applyAlignment="1">
      <alignment horizontal="left"/>
    </xf>
    <xf numFmtId="0" fontId="2" fillId="0" borderId="9" xfId="6" applyFont="1" applyBorder="1"/>
    <xf numFmtId="0" fontId="2" fillId="0" borderId="0" xfId="6"/>
    <xf numFmtId="0" fontId="2" fillId="0" borderId="11" xfId="6" applyFont="1" applyBorder="1" applyAlignment="1">
      <alignment horizontal="center" wrapText="1"/>
    </xf>
    <xf numFmtId="0" fontId="2" fillId="0" borderId="0" xfId="6" applyFont="1" applyBorder="1" applyAlignment="1">
      <alignment horizontal="center" wrapText="1"/>
    </xf>
    <xf numFmtId="0" fontId="2" fillId="0" borderId="0" xfId="6" applyFont="1" applyBorder="1" applyAlignment="1">
      <alignment vertical="top" wrapText="1"/>
    </xf>
    <xf numFmtId="0" fontId="2" fillId="0" borderId="0" xfId="6" applyAlignment="1">
      <alignment horizontal="left" wrapText="1"/>
    </xf>
    <xf numFmtId="0" fontId="2" fillId="0" borderId="11" xfId="6" applyFill="1" applyBorder="1"/>
    <xf numFmtId="0" fontId="2" fillId="0" borderId="11" xfId="6" applyFill="1" applyBorder="1" applyAlignment="1">
      <alignment horizontal="center"/>
    </xf>
    <xf numFmtId="0" fontId="2" fillId="0" borderId="9" xfId="7" applyFont="1" applyBorder="1" applyAlignment="1">
      <alignment horizontal="center" vertical="top"/>
    </xf>
    <xf numFmtId="0" fontId="2" fillId="0" borderId="11" xfId="7" applyFont="1" applyBorder="1" applyAlignment="1">
      <alignment horizontal="center" vertical="top"/>
    </xf>
    <xf numFmtId="0" fontId="2" fillId="0" borderId="11" xfId="6" applyFont="1" applyFill="1" applyBorder="1" applyAlignment="1">
      <alignment horizontal="center"/>
    </xf>
    <xf numFmtId="0" fontId="2" fillId="0" borderId="9" xfId="6" applyFont="1" applyFill="1" applyBorder="1" applyAlignment="1">
      <alignment horizontal="center"/>
    </xf>
    <xf numFmtId="0" fontId="2" fillId="0" borderId="11" xfId="7" applyFont="1" applyBorder="1" applyAlignment="1">
      <alignment horizontal="left" vertical="top"/>
    </xf>
    <xf numFmtId="0" fontId="2" fillId="0" borderId="9" xfId="7" applyFont="1" applyBorder="1" applyAlignment="1">
      <alignment vertical="top"/>
    </xf>
    <xf numFmtId="0" fontId="5" fillId="0" borderId="0" xfId="3" applyFont="1" applyBorder="1" applyAlignment="1">
      <alignment horizontal="center"/>
    </xf>
    <xf numFmtId="0" fontId="2" fillId="0" borderId="0" xfId="6" applyBorder="1" applyAlignment="1">
      <alignment horizontal="center" wrapText="1"/>
    </xf>
    <xf numFmtId="0" fontId="2" fillId="0" borderId="13" xfId="2" applyBorder="1"/>
    <xf numFmtId="0" fontId="5" fillId="0" borderId="15" xfId="3" applyFont="1" applyBorder="1" applyAlignment="1">
      <alignment horizontal="center"/>
    </xf>
    <xf numFmtId="0" fontId="2" fillId="0" borderId="15" xfId="4" applyFont="1" applyBorder="1" applyAlignment="1">
      <alignment horizontal="center" vertical="top"/>
    </xf>
    <xf numFmtId="0" fontId="2" fillId="0" borderId="15" xfId="4" quotePrefix="1" applyBorder="1" applyAlignment="1">
      <alignment horizontal="center" vertical="top"/>
    </xf>
    <xf numFmtId="0" fontId="2" fillId="0" borderId="15" xfId="8" applyBorder="1" applyAlignment="1">
      <alignment horizontal="center" vertical="top"/>
    </xf>
    <xf numFmtId="0" fontId="2" fillId="0" borderId="15" xfId="8" applyFont="1" applyBorder="1" applyAlignment="1">
      <alignment horizontal="center" vertical="top"/>
    </xf>
    <xf numFmtId="0" fontId="2" fillId="0" borderId="0" xfId="2" applyAlignment="1">
      <alignment horizontal="center"/>
    </xf>
    <xf numFmtId="0" fontId="2" fillId="0" borderId="0" xfId="2" applyAlignment="1">
      <alignment horizontal="left"/>
    </xf>
    <xf numFmtId="0" fontId="7" fillId="0" borderId="0" xfId="2" applyFont="1" applyAlignment="1">
      <alignment horizontal="center"/>
    </xf>
    <xf numFmtId="0" fontId="5" fillId="0" borderId="0" xfId="3" applyBorder="1" applyAlignment="1">
      <alignment horizontal="center"/>
    </xf>
    <xf numFmtId="0" fontId="5" fillId="0" borderId="0" xfId="3" applyAlignment="1">
      <alignment horizontal="center"/>
    </xf>
    <xf numFmtId="0" fontId="5" fillId="0" borderId="0" xfId="3" applyFont="1" applyAlignment="1">
      <alignment horizontal="center"/>
    </xf>
    <xf numFmtId="0" fontId="5" fillId="0" borderId="9" xfId="3" applyBorder="1" applyAlignment="1">
      <alignment horizontal="center"/>
    </xf>
    <xf numFmtId="0" fontId="5" fillId="0" borderId="16" xfId="3" applyBorder="1" applyAlignment="1">
      <alignment horizontal="center"/>
    </xf>
    <xf numFmtId="0" fontId="8" fillId="0" borderId="0" xfId="3" applyFont="1" applyAlignment="1">
      <alignment horizontal="center"/>
    </xf>
    <xf numFmtId="0" fontId="8" fillId="0" borderId="0" xfId="3" applyFont="1" applyAlignment="1">
      <alignment horizontal="left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0" fillId="0" borderId="0" xfId="0" applyBorder="1"/>
    <xf numFmtId="0" fontId="2" fillId="0" borderId="11" xfId="6" quotePrefix="1" applyBorder="1" applyAlignment="1">
      <alignment horizontal="center"/>
    </xf>
    <xf numFmtId="49" fontId="2" fillId="0" borderId="11" xfId="0" applyNumberFormat="1" applyFont="1" applyBorder="1" applyAlignment="1">
      <alignment horizontal="center"/>
    </xf>
    <xf numFmtId="0" fontId="2" fillId="0" borderId="11" xfId="6" applyFont="1" applyBorder="1" applyAlignment="1">
      <alignment horizontal="left" wrapText="1"/>
    </xf>
    <xf numFmtId="0" fontId="0" fillId="0" borderId="5" xfId="0" applyBorder="1"/>
    <xf numFmtId="0" fontId="2" fillId="0" borderId="11" xfId="6" applyFont="1" applyBorder="1" applyAlignment="1">
      <alignment horizontal="center"/>
    </xf>
    <xf numFmtId="0" fontId="2" fillId="0" borderId="0" xfId="6" applyBorder="1" applyAlignment="1">
      <alignment wrapText="1"/>
    </xf>
    <xf numFmtId="0" fontId="0" fillId="0" borderId="13" xfId="0" applyBorder="1"/>
    <xf numFmtId="0" fontId="0" fillId="0" borderId="15" xfId="0" applyBorder="1" applyAlignment="1">
      <alignment horizontal="center"/>
    </xf>
    <xf numFmtId="0" fontId="0" fillId="0" borderId="15" xfId="0" applyBorder="1"/>
    <xf numFmtId="0" fontId="2" fillId="0" borderId="15" xfId="0" applyFon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0" fillId="0" borderId="0" xfId="0" applyAlignment="1">
      <alignment wrapText="1"/>
    </xf>
    <xf numFmtId="17" fontId="2" fillId="0" borderId="11" xfId="6" quotePrefix="1" applyNumberFormat="1" applyFont="1" applyBorder="1" applyAlignment="1">
      <alignment horizontal="center"/>
    </xf>
    <xf numFmtId="0" fontId="2" fillId="0" borderId="11" xfId="6" applyBorder="1" applyAlignment="1">
      <alignment horizontal="left"/>
    </xf>
    <xf numFmtId="0" fontId="2" fillId="0" borderId="0" xfId="6" applyAlignment="1">
      <alignment horizontal="center" wrapText="1"/>
    </xf>
    <xf numFmtId="0" fontId="0" fillId="0" borderId="0" xfId="0" applyFill="1" applyBorder="1"/>
    <xf numFmtId="0" fontId="2" fillId="0" borderId="0" xfId="2" applyFill="1" applyBorder="1"/>
    <xf numFmtId="0" fontId="2" fillId="0" borderId="11" xfId="6" applyFont="1" applyBorder="1" applyAlignment="1">
      <alignment horizontal="left"/>
    </xf>
    <xf numFmtId="0" fontId="7" fillId="0" borderId="0" xfId="4" applyFont="1" applyBorder="1" applyAlignment="1">
      <alignment horizontal="center" vertical="top"/>
    </xf>
    <xf numFmtId="164" fontId="3" fillId="0" borderId="0" xfId="1" applyFont="1" applyAlignment="1">
      <alignment horizontal="center"/>
    </xf>
    <xf numFmtId="0" fontId="7" fillId="0" borderId="0" xfId="4" applyFont="1" applyBorder="1" applyAlignment="1">
      <alignment horizontal="center" vertical="top" wrapText="1"/>
    </xf>
    <xf numFmtId="0" fontId="7" fillId="0" borderId="0" xfId="4" applyFont="1" applyBorder="1" applyAlignment="1">
      <alignment vertical="top" wrapText="1"/>
    </xf>
    <xf numFmtId="0" fontId="7" fillId="0" borderId="0" xfId="4" applyFont="1" applyBorder="1" applyAlignment="1">
      <alignment vertical="top"/>
    </xf>
  </cellXfs>
  <cellStyles count="237">
    <cellStyle name="20% - Akzent1" xfId="9"/>
    <cellStyle name="20% - Akzent2" xfId="10"/>
    <cellStyle name="20% - Akzent3" xfId="11"/>
    <cellStyle name="20% - Akzent4" xfId="12"/>
    <cellStyle name="20% - Akzent5" xfId="13"/>
    <cellStyle name="20% - Akzent6" xfId="14"/>
    <cellStyle name="40% - Akzent1" xfId="15"/>
    <cellStyle name="40% - Akzent2" xfId="16"/>
    <cellStyle name="40% - Akzent3" xfId="17"/>
    <cellStyle name="40% - Akzent4" xfId="18"/>
    <cellStyle name="40% - Akzent5" xfId="19"/>
    <cellStyle name="40% - Akzent6" xfId="20"/>
    <cellStyle name="60% - Akzent1" xfId="21"/>
    <cellStyle name="60% - Akzent2" xfId="22"/>
    <cellStyle name="60% - Akzent3" xfId="23"/>
    <cellStyle name="60% - Akzent4" xfId="24"/>
    <cellStyle name="60% - Akzent5" xfId="25"/>
    <cellStyle name="60% - Akzent6" xfId="26"/>
    <cellStyle name="Akzent1" xfId="27"/>
    <cellStyle name="Akzent2" xfId="28"/>
    <cellStyle name="Akzent3" xfId="29"/>
    <cellStyle name="Akzent4" xfId="30"/>
    <cellStyle name="Akzent5" xfId="31"/>
    <cellStyle name="Akzent6" xfId="32"/>
    <cellStyle name="Ausgabe" xfId="33"/>
    <cellStyle name="Berechnung" xfId="34"/>
    <cellStyle name="Currency 2" xfId="1"/>
    <cellStyle name="Currency 3" xfId="35"/>
    <cellStyle name="Currency 4" xfId="36"/>
    <cellStyle name="Currency 5" xfId="37"/>
    <cellStyle name="Currency 6" xfId="38"/>
    <cellStyle name="Currency 7" xfId="39"/>
    <cellStyle name="Eingabe" xfId="40"/>
    <cellStyle name="Ergebnis" xfId="41"/>
    <cellStyle name="Erklärender Text" xfId="42"/>
    <cellStyle name="Euro" xfId="43"/>
    <cellStyle name="Gut" xfId="44"/>
    <cellStyle name="Hyperlink 2" xfId="45"/>
    <cellStyle name="Hyperlink 3" xfId="46"/>
    <cellStyle name="Hyperlink 3 2" xfId="47"/>
    <cellStyle name="Hyperlink 3 3" xfId="48"/>
    <cellStyle name="Hyperlink 3 4" xfId="49"/>
    <cellStyle name="Normal" xfId="0" builtinId="0"/>
    <cellStyle name="Normal 10" xfId="2"/>
    <cellStyle name="Normal 10 2" xfId="50"/>
    <cellStyle name="Normal 10 2 2" xfId="51"/>
    <cellStyle name="Normal 10 2 2 2" xfId="52"/>
    <cellStyle name="Normal 10 2 2 2 2" xfId="53"/>
    <cellStyle name="Normal 10 2 2 2 2 2" xfId="54"/>
    <cellStyle name="Normal 10 2 2 2 3" xfId="55"/>
    <cellStyle name="Normal 10 2 2 3" xfId="56"/>
    <cellStyle name="Normal 10 2 2 3 2" xfId="57"/>
    <cellStyle name="Normal 10 2 2 4" xfId="58"/>
    <cellStyle name="Normal 10 2 2 4 2" xfId="59"/>
    <cellStyle name="Normal 10 2 2 5" xfId="60"/>
    <cellStyle name="Normal 10 2 3" xfId="61"/>
    <cellStyle name="Normal 10 2 3 2" xfId="62"/>
    <cellStyle name="Normal 10 2 3 2 2" xfId="63"/>
    <cellStyle name="Normal 10 2 3 3" xfId="64"/>
    <cellStyle name="Normal 10 2 4" xfId="65"/>
    <cellStyle name="Normal 10 2 4 2" xfId="66"/>
    <cellStyle name="Normal 10 2 5" xfId="67"/>
    <cellStyle name="Normal 10 2 5 2" xfId="68"/>
    <cellStyle name="Normal 10 2 6" xfId="69"/>
    <cellStyle name="Normal 10 3" xfId="70"/>
    <cellStyle name="Normal 10 3 2" xfId="71"/>
    <cellStyle name="Normal 10 3 2 2" xfId="72"/>
    <cellStyle name="Normal 10 3 2 2 2" xfId="73"/>
    <cellStyle name="Normal 10 3 2 3" xfId="74"/>
    <cellStyle name="Normal 10 3 3" xfId="75"/>
    <cellStyle name="Normal 10 3 3 2" xfId="76"/>
    <cellStyle name="Normal 10 3 4" xfId="77"/>
    <cellStyle name="Normal 10 3 4 2" xfId="78"/>
    <cellStyle name="Normal 10 3 5" xfId="79"/>
    <cellStyle name="Normal 10 4" xfId="80"/>
    <cellStyle name="Normal 10 4 2" xfId="81"/>
    <cellStyle name="Normal 10 4 2 2" xfId="82"/>
    <cellStyle name="Normal 10 4 3" xfId="83"/>
    <cellStyle name="Normal 10 5" xfId="84"/>
    <cellStyle name="Normal 10 5 2" xfId="85"/>
    <cellStyle name="Normal 10 6" xfId="86"/>
    <cellStyle name="Normal 10 6 2" xfId="87"/>
    <cellStyle name="Normal 10 7" xfId="88"/>
    <cellStyle name="Normal 11" xfId="89"/>
    <cellStyle name="Normal 11 2" xfId="90"/>
    <cellStyle name="Normal 2" xfId="3"/>
    <cellStyle name="Normal 2 2" xfId="91"/>
    <cellStyle name="Normal 2 2 2" xfId="6"/>
    <cellStyle name="Normal 2 2 2 2" xfId="92"/>
    <cellStyle name="Normal 2 3" xfId="93"/>
    <cellStyle name="Normal 2 3 2" xfId="94"/>
    <cellStyle name="Normal 2 3 2 2" xfId="95"/>
    <cellStyle name="Normal 2 3 3" xfId="96"/>
    <cellStyle name="Normal 2 3 3 2" xfId="97"/>
    <cellStyle name="Normal 2 3 4" xfId="98"/>
    <cellStyle name="Normal 2 3 5" xfId="99"/>
    <cellStyle name="Normal 3" xfId="100"/>
    <cellStyle name="Normal 3 2" xfId="101"/>
    <cellStyle name="Normal 3 2 2" xfId="102"/>
    <cellStyle name="Normal 3 2 2 2" xfId="103"/>
    <cellStyle name="Normal 3 2 2 2 2" xfId="104"/>
    <cellStyle name="Normal 3 2 2 2 2 2" xfId="105"/>
    <cellStyle name="Normal 3 2 2 2 3" xfId="106"/>
    <cellStyle name="Normal 3 2 2 3" xfId="107"/>
    <cellStyle name="Normal 3 2 2 3 2" xfId="108"/>
    <cellStyle name="Normal 3 2 2 4" xfId="109"/>
    <cellStyle name="Normal 3 2 2 4 2" xfId="110"/>
    <cellStyle name="Normal 3 2 2 5" xfId="111"/>
    <cellStyle name="Normal 3 2 3" xfId="112"/>
    <cellStyle name="Normal 3 2 3 2" xfId="113"/>
    <cellStyle name="Normal 3 2 3 2 2" xfId="114"/>
    <cellStyle name="Normal 3 2 3 3" xfId="115"/>
    <cellStyle name="Normal 3 2 4" xfId="116"/>
    <cellStyle name="Normal 3 2 4 2" xfId="117"/>
    <cellStyle name="Normal 3 2 5" xfId="118"/>
    <cellStyle name="Normal 3 2 5 2" xfId="119"/>
    <cellStyle name="Normal 3 2 6" xfId="120"/>
    <cellStyle name="Normal 3 3" xfId="121"/>
    <cellStyle name="Normal 3 3 2" xfId="122"/>
    <cellStyle name="Normal 3 3 2 2" xfId="123"/>
    <cellStyle name="Normal 3 3 2 2 2" xfId="124"/>
    <cellStyle name="Normal 3 3 2 3" xfId="125"/>
    <cellStyle name="Normal 3 3 3" xfId="126"/>
    <cellStyle name="Normal 3 3 3 2" xfId="127"/>
    <cellStyle name="Normal 3 3 4" xfId="128"/>
    <cellStyle name="Normal 3 3 4 2" xfId="129"/>
    <cellStyle name="Normal 3 3 5" xfId="130"/>
    <cellStyle name="Normal 3 4" xfId="131"/>
    <cellStyle name="Normal 3 4 2" xfId="132"/>
    <cellStyle name="Normal 3 4 2 2" xfId="133"/>
    <cellStyle name="Normal 3 4 2 2 2" xfId="134"/>
    <cellStyle name="Normal 3 4 2 3" xfId="135"/>
    <cellStyle name="Normal 3 4 3" xfId="136"/>
    <cellStyle name="Normal 3 4 3 2" xfId="137"/>
    <cellStyle name="Normal 3 4 4" xfId="138"/>
    <cellStyle name="Normal 3 4 4 2" xfId="139"/>
    <cellStyle name="Normal 3 4 5" xfId="140"/>
    <cellStyle name="Normal 3 4 6" xfId="141"/>
    <cellStyle name="Normal 3 5" xfId="142"/>
    <cellStyle name="Normal 3 5 2" xfId="143"/>
    <cellStyle name="Normal 3 5 2 2" xfId="144"/>
    <cellStyle name="Normal 3 5 2 2 2" xfId="145"/>
    <cellStyle name="Normal 3 5 2 3" xfId="146"/>
    <cellStyle name="Normal 3 5 3" xfId="147"/>
    <cellStyle name="Normal 3 5 3 2" xfId="148"/>
    <cellStyle name="Normal 3 5 4" xfId="149"/>
    <cellStyle name="Normal 3 5 4 2" xfId="150"/>
    <cellStyle name="Normal 3 5 5" xfId="151"/>
    <cellStyle name="Normal 3 6" xfId="152"/>
    <cellStyle name="Normal 3 6 2" xfId="153"/>
    <cellStyle name="Normal 3 6 2 2" xfId="154"/>
    <cellStyle name="Normal 3 6 3" xfId="155"/>
    <cellStyle name="Normal 3 7" xfId="156"/>
    <cellStyle name="Normal 3 7 2" xfId="157"/>
    <cellStyle name="Normal 3 8" xfId="158"/>
    <cellStyle name="Normal 3 8 2" xfId="159"/>
    <cellStyle name="Normal 3 9" xfId="160"/>
    <cellStyle name="Normal 4" xfId="161"/>
    <cellStyle name="Normal 4 2" xfId="162"/>
    <cellStyle name="Normal 5" xfId="163"/>
    <cellStyle name="Normal 5 2" xfId="164"/>
    <cellStyle name="Normal 5 2 2" xfId="165"/>
    <cellStyle name="Normal 5 2 2 2" xfId="166"/>
    <cellStyle name="Normal 5 2 2 2 2" xfId="167"/>
    <cellStyle name="Normal 5 2 2 3" xfId="168"/>
    <cellStyle name="Normal 5 2 2 3 2" xfId="169"/>
    <cellStyle name="Normal 5 2 2 4" xfId="170"/>
    <cellStyle name="Normal 5 2 3" xfId="171"/>
    <cellStyle name="Normal 5 2 3 2" xfId="172"/>
    <cellStyle name="Normal 5 2 4" xfId="173"/>
    <cellStyle name="Normal 5 2 4 2" xfId="174"/>
    <cellStyle name="Normal 5 2 5" xfId="175"/>
    <cellStyle name="Normal 5 3" xfId="176"/>
    <cellStyle name="Normal 5 3 2" xfId="177"/>
    <cellStyle name="Normal 5 3 2 2" xfId="178"/>
    <cellStyle name="Normal 5 3 3" xfId="179"/>
    <cellStyle name="Normal 5 3 3 2" xfId="180"/>
    <cellStyle name="Normal 5 3 4" xfId="181"/>
    <cellStyle name="Normal 5 4" xfId="182"/>
    <cellStyle name="Normal 5 4 2" xfId="183"/>
    <cellStyle name="Normal 5 5" xfId="184"/>
    <cellStyle name="Normal 5 5 2" xfId="185"/>
    <cellStyle name="Normal 5 6" xfId="186"/>
    <cellStyle name="Normal 5 7" xfId="187"/>
    <cellStyle name="Normal 6" xfId="188"/>
    <cellStyle name="Normal 6 2" xfId="189"/>
    <cellStyle name="Normal 7" xfId="190"/>
    <cellStyle name="Normal 7 2" xfId="191"/>
    <cellStyle name="Normal 7 2 2" xfId="192"/>
    <cellStyle name="Normal 7 2 2 2" xfId="193"/>
    <cellStyle name="Normal 7 2 3" xfId="194"/>
    <cellStyle name="Normal 7 2 3 2" xfId="195"/>
    <cellStyle name="Normal 7 2 4" xfId="196"/>
    <cellStyle name="Normal 7 3" xfId="197"/>
    <cellStyle name="Normal 7 3 2" xfId="198"/>
    <cellStyle name="Normal 7 4" xfId="199"/>
    <cellStyle name="Normal 7 4 2" xfId="200"/>
    <cellStyle name="Normal 7 5" xfId="201"/>
    <cellStyle name="Normal 7 6" xfId="202"/>
    <cellStyle name="Normal 8" xfId="203"/>
    <cellStyle name="Normal 8 2" xfId="204"/>
    <cellStyle name="Normal 9" xfId="205"/>
    <cellStyle name="Normal 9 2" xfId="206"/>
    <cellStyle name="Normal 9 2 2" xfId="207"/>
    <cellStyle name="Normal 9 2 2 2" xfId="208"/>
    <cellStyle name="Normal 9 2 3" xfId="209"/>
    <cellStyle name="Normal 9 2 3 2" xfId="210"/>
    <cellStyle name="Normal 9 2 4" xfId="211"/>
    <cellStyle name="Normal 9 3" xfId="212"/>
    <cellStyle name="Normal 9 3 2" xfId="213"/>
    <cellStyle name="Normal 9 4" xfId="214"/>
    <cellStyle name="Normal 9 4 2" xfId="215"/>
    <cellStyle name="Normal 9 5" xfId="216"/>
    <cellStyle name="Normal 9 6" xfId="217"/>
    <cellStyle name="Notiz" xfId="218"/>
    <cellStyle name="Percent 2" xfId="219"/>
    <cellStyle name="Percent 2 2" xfId="220"/>
    <cellStyle name="Percent 2 2 2" xfId="221"/>
    <cellStyle name="Percent 2 3" xfId="222"/>
    <cellStyle name="Schlecht" xfId="223"/>
    <cellStyle name="Standard 2" xfId="224"/>
    <cellStyle name="Standard 2 2" xfId="225"/>
    <cellStyle name="Standard_EBT" xfId="226"/>
    <cellStyle name="Standard_khr 2" xfId="8"/>
    <cellStyle name="Standard_mfaERR" xfId="4"/>
    <cellStyle name="Standard_mfaERR 2" xfId="5"/>
    <cellStyle name="Standard_Variable_XT" xfId="7"/>
    <cellStyle name="Überschrift" xfId="227"/>
    <cellStyle name="Überschrift 1" xfId="228"/>
    <cellStyle name="Überschrift 2" xfId="229"/>
    <cellStyle name="Überschrift 3" xfId="230"/>
    <cellStyle name="Überschrift 4" xfId="231"/>
    <cellStyle name="Überschrift 5" xfId="232"/>
    <cellStyle name="Überschrift_AWB" xfId="233"/>
    <cellStyle name="Verknüpfte Zelle" xfId="234"/>
    <cellStyle name="Warnender Text" xfId="235"/>
    <cellStyle name="Zelle überprüfen" xfId="23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628650</xdr:colOff>
          <xdr:row>2</xdr:row>
          <xdr:rowOff>57150</xdr:rowOff>
        </xdr:from>
        <xdr:to>
          <xdr:col>7</xdr:col>
          <xdr:colOff>495300</xdr:colOff>
          <xdr:row>3</xdr:row>
          <xdr:rowOff>200025</xdr:rowOff>
        </xdr:to>
        <xdr:sp macro="" textlink="">
          <xdr:nvSpPr>
            <xdr:cNvPr id="1046" name="btnGenerate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odsrvfil001\home1\PROJEKTE\DOC\KHR\khr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Jax_Doc/AED/Rogator/RG3/Software/GD/GD_Routing_RG3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Jax_Doc/AED/Rogator/RG3/Software/GD/GD_Routing_RG3_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"/>
      <sheetName val="EEPR_ADR"/>
      <sheetName val="GD_ID"/>
      <sheetName val="CALIB"/>
      <sheetName val="ERROR_CODE"/>
      <sheetName val="DIAG_MSG"/>
    </sheetNames>
    <sheetDataSet>
      <sheetData sheetId="0"/>
      <sheetData sheetId="1"/>
      <sheetData sheetId="2">
        <row r="70">
          <cell r="A70" t="str">
            <v>zu 1)</v>
          </cell>
          <cell r="B70" t="str">
            <v>Betriebsstatus</v>
          </cell>
          <cell r="D70" t="str">
            <v>DB5 - Bit7</v>
          </cell>
          <cell r="E70" t="str">
            <v>DB6 / DB7</v>
          </cell>
          <cell r="F70" t="str">
            <v>Bedeutung</v>
          </cell>
        </row>
        <row r="71">
          <cell r="D71" t="str">
            <v>---</v>
          </cell>
          <cell r="E71" t="str">
            <v>Bit 15</v>
          </cell>
          <cell r="F71" t="str">
            <v>Betätigung über Hecktaster</v>
          </cell>
        </row>
        <row r="72">
          <cell r="D72" t="str">
            <v>---</v>
          </cell>
          <cell r="E72" t="str">
            <v>Bit 14</v>
          </cell>
          <cell r="F72" t="str">
            <v>Starre Ackerschiene</v>
          </cell>
        </row>
        <row r="73">
          <cell r="D73" t="str">
            <v>---</v>
          </cell>
          <cell r="E73" t="str">
            <v>Bit 13</v>
          </cell>
          <cell r="F73" t="str">
            <v>Tastbetrieb/Automatik</v>
          </cell>
        </row>
        <row r="74">
          <cell r="D74" t="str">
            <v>---</v>
          </cell>
          <cell r="E74" t="str">
            <v>Bit 12</v>
          </cell>
          <cell r="F74" t="str">
            <v>Schnelleinzug</v>
          </cell>
        </row>
        <row r="75">
          <cell r="D75" t="str">
            <v>---</v>
          </cell>
          <cell r="E75" t="str">
            <v>Bit 11</v>
          </cell>
          <cell r="F75" t="str">
            <v>---</v>
          </cell>
        </row>
        <row r="76">
          <cell r="D76" t="str">
            <v>---</v>
          </cell>
          <cell r="E76" t="str">
            <v>Bit 10</v>
          </cell>
          <cell r="F76" t="str">
            <v>Entriegelungsstatus</v>
          </cell>
        </row>
        <row r="77">
          <cell r="D77" t="str">
            <v>---</v>
          </cell>
          <cell r="E77" t="str">
            <v>Bit 9/8</v>
          </cell>
          <cell r="F77" t="str">
            <v>Stellung Aushubhebel</v>
          </cell>
        </row>
        <row r="78">
          <cell r="D78" t="str">
            <v>---</v>
          </cell>
          <cell r="E78" t="str">
            <v>Bit 7</v>
          </cell>
          <cell r="F78" t="str">
            <v>Schwingungstilgung</v>
          </cell>
        </row>
        <row r="79">
          <cell r="D79" t="str">
            <v>---</v>
          </cell>
          <cell r="E79" t="str">
            <v>Bit 6/5</v>
          </cell>
          <cell r="F79" t="str">
            <v>Betriebsart</v>
          </cell>
        </row>
        <row r="80">
          <cell r="D80" t="str">
            <v>---</v>
          </cell>
          <cell r="E80" t="str">
            <v>Bit 4/3</v>
          </cell>
          <cell r="F80" t="str">
            <v>Funktionsstatus</v>
          </cell>
        </row>
        <row r="81">
          <cell r="D81" t="str">
            <v>---</v>
          </cell>
          <cell r="E81" t="str">
            <v>Bit 2/1/0</v>
          </cell>
          <cell r="F81" t="str">
            <v>Ventilstatus</v>
          </cell>
        </row>
        <row r="83">
          <cell r="A83" t="str">
            <v>zu 2)</v>
          </cell>
          <cell r="B83" t="str">
            <v>Stellung Aushubhebel</v>
          </cell>
          <cell r="D83" t="str">
            <v>DB5 - Bit7</v>
          </cell>
          <cell r="E83" t="str">
            <v>DB6 / DB7</v>
          </cell>
          <cell r="F83" t="str">
            <v>Bedeutung</v>
          </cell>
        </row>
        <row r="84">
          <cell r="D84" t="str">
            <v>---</v>
          </cell>
          <cell r="E84">
            <v>0</v>
          </cell>
          <cell r="F84" t="str">
            <v>STOP</v>
          </cell>
        </row>
        <row r="85">
          <cell r="D85" t="str">
            <v>---</v>
          </cell>
          <cell r="E85">
            <v>1</v>
          </cell>
          <cell r="F85" t="str">
            <v>Heben (UP)</v>
          </cell>
        </row>
        <row r="86">
          <cell r="D86" t="str">
            <v>---</v>
          </cell>
          <cell r="E86">
            <v>2</v>
          </cell>
          <cell r="F86" t="str">
            <v>Senken (DOWN)</v>
          </cell>
        </row>
        <row r="87">
          <cell r="D87" t="str">
            <v>---</v>
          </cell>
          <cell r="E87">
            <v>3</v>
          </cell>
          <cell r="F87" t="str">
            <v>Schnelleinzug (FASTDOWN)</v>
          </cell>
        </row>
        <row r="89">
          <cell r="A89" t="str">
            <v>zu 3)</v>
          </cell>
          <cell r="B89" t="str">
            <v>Aktivierung der Automatik</v>
          </cell>
          <cell r="D89" t="str">
            <v>DB5 - Bit7</v>
          </cell>
          <cell r="E89" t="str">
            <v>DB6</v>
          </cell>
          <cell r="F89" t="str">
            <v>Stellung des Schalters Tauschfunktion</v>
          </cell>
        </row>
        <row r="90">
          <cell r="D90" t="str">
            <v>---</v>
          </cell>
          <cell r="E90" t="str">
            <v>0x00</v>
          </cell>
          <cell r="F90" t="str">
            <v>Normalstellung</v>
          </cell>
        </row>
        <row r="91">
          <cell r="D91" t="str">
            <v>---</v>
          </cell>
          <cell r="E91" t="str">
            <v>0x01</v>
          </cell>
          <cell r="F91" t="str">
            <v>Tauschfunktion 1</v>
          </cell>
        </row>
        <row r="92">
          <cell r="D92" t="str">
            <v>---</v>
          </cell>
          <cell r="E92" t="str">
            <v>0x02</v>
          </cell>
          <cell r="F92" t="str">
            <v>Tauschfunktion 2</v>
          </cell>
        </row>
        <row r="93">
          <cell r="D93" t="str">
            <v>---</v>
          </cell>
          <cell r="E93" t="str">
            <v>0x03</v>
          </cell>
          <cell r="F93" t="str">
            <v>Tauschfunktion 3</v>
          </cell>
        </row>
        <row r="95">
          <cell r="D95" t="str">
            <v>DB5 - Bit7</v>
          </cell>
          <cell r="E95" t="str">
            <v>DB7</v>
          </cell>
          <cell r="F95" t="str">
            <v>Tasten auf denen die Heckkraftheberautomatik liegt</v>
          </cell>
        </row>
        <row r="96">
          <cell r="D96">
            <v>0</v>
          </cell>
          <cell r="E96" t="str">
            <v>0x00</v>
          </cell>
          <cell r="F96" t="str">
            <v>keine Tasten für Heckkraftheberautomatik</v>
          </cell>
        </row>
        <row r="97">
          <cell r="D97">
            <v>1</v>
          </cell>
          <cell r="E97" t="str">
            <v>0x01</v>
          </cell>
          <cell r="F97" t="str">
            <v>Ventiltasten rechts</v>
          </cell>
        </row>
        <row r="98">
          <cell r="D98">
            <v>1</v>
          </cell>
          <cell r="E98" t="str">
            <v>0x02</v>
          </cell>
          <cell r="F98" t="str">
            <v>Tasten "Kleblatt" senkrecht</v>
          </cell>
        </row>
        <row r="99">
          <cell r="D99">
            <v>1</v>
          </cell>
          <cell r="E99" t="str">
            <v>0x04</v>
          </cell>
          <cell r="F99" t="str">
            <v>Tasten "Kleblatt" waagrecht</v>
          </cell>
        </row>
        <row r="100">
          <cell r="D100">
            <v>1</v>
          </cell>
          <cell r="E100" t="str">
            <v>0x08</v>
          </cell>
          <cell r="F100" t="str">
            <v>Ventiltasten links</v>
          </cell>
        </row>
        <row r="102">
          <cell r="A102" t="str">
            <v>zu 4)</v>
          </cell>
          <cell r="B102" t="str">
            <v>Subzustand</v>
          </cell>
          <cell r="D102" t="str">
            <v>DB5 - Bit7</v>
          </cell>
          <cell r="E102" t="str">
            <v>DB6</v>
          </cell>
          <cell r="F102" t="str">
            <v>Bedeutung</v>
          </cell>
        </row>
        <row r="103">
          <cell r="D103" t="str">
            <v>---</v>
          </cell>
          <cell r="E103" t="str">
            <v>0x00</v>
          </cell>
          <cell r="F103" t="str">
            <v xml:space="preserve">DEAKTIV       </v>
          </cell>
        </row>
        <row r="104">
          <cell r="D104" t="str">
            <v>---</v>
          </cell>
          <cell r="E104" t="str">
            <v>0x01</v>
          </cell>
          <cell r="F104" t="str">
            <v xml:space="preserve">TI_INIT       </v>
          </cell>
        </row>
        <row r="105">
          <cell r="D105" t="str">
            <v>---</v>
          </cell>
          <cell r="E105" t="str">
            <v>0x02</v>
          </cell>
          <cell r="F105" t="str">
            <v>RECORD_STANDBY</v>
          </cell>
        </row>
        <row r="106">
          <cell r="D106" t="str">
            <v>---</v>
          </cell>
          <cell r="E106" t="str">
            <v>0x03</v>
          </cell>
          <cell r="F106" t="str">
            <v xml:space="preserve">RECORD_AKTIV  </v>
          </cell>
        </row>
        <row r="107">
          <cell r="D107" t="str">
            <v>---</v>
          </cell>
          <cell r="E107" t="str">
            <v>0x04</v>
          </cell>
          <cell r="F107" t="str">
            <v xml:space="preserve">PLAY_STANDBY  </v>
          </cell>
        </row>
        <row r="108">
          <cell r="D108" t="str">
            <v>---</v>
          </cell>
          <cell r="E108" t="str">
            <v>0x05</v>
          </cell>
          <cell r="F108" t="str">
            <v xml:space="preserve">PLAY_AKTIV    </v>
          </cell>
        </row>
        <row r="109">
          <cell r="D109" t="str">
            <v>---</v>
          </cell>
          <cell r="E109" t="str">
            <v>0x06</v>
          </cell>
          <cell r="F109" t="str">
            <v xml:space="preserve">CONFIG        </v>
          </cell>
        </row>
        <row r="110">
          <cell r="D110" t="str">
            <v>---</v>
          </cell>
          <cell r="E110" t="str">
            <v>0x07</v>
          </cell>
          <cell r="F110" t="str">
            <v xml:space="preserve">EDIT          </v>
          </cell>
        </row>
        <row r="111">
          <cell r="D111" t="str">
            <v>---</v>
          </cell>
          <cell r="E111" t="str">
            <v>0x08</v>
          </cell>
          <cell r="F111" t="str">
            <v xml:space="preserve">DATAXCHANGE   </v>
          </cell>
        </row>
        <row r="112">
          <cell r="D112" t="str">
            <v>---</v>
          </cell>
          <cell r="E112" t="str">
            <v>0xF0</v>
          </cell>
          <cell r="F112" t="str">
            <v xml:space="preserve">SAFESTATE     </v>
          </cell>
        </row>
        <row r="113">
          <cell r="D113" t="str">
            <v>---</v>
          </cell>
          <cell r="E113" t="str">
            <v>0xFF</v>
          </cell>
          <cell r="F113" t="str">
            <v>NO_SUBSTATEWXL</v>
          </cell>
        </row>
        <row r="115">
          <cell r="D115" t="str">
            <v>---</v>
          </cell>
          <cell r="E115" t="str">
            <v>DB7</v>
          </cell>
          <cell r="F115" t="str">
            <v>Bedeutung</v>
          </cell>
        </row>
        <row r="116">
          <cell r="D116" t="str">
            <v>---</v>
          </cell>
          <cell r="E116" t="str">
            <v>0x??</v>
          </cell>
          <cell r="F116" t="str">
            <v>Teilnehmernummer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s"/>
      <sheetName val="Readme"/>
      <sheetName val="Rules"/>
      <sheetName val="EXT Domain Areas"/>
      <sheetName val="Routing-Data RG3"/>
      <sheetName val="NT01"/>
      <sheetName val="CEAG"/>
      <sheetName val="MFA"/>
      <sheetName val="DRIVE"/>
      <sheetName val="EFC"/>
      <sheetName val="TELEMETRY"/>
      <sheetName val="ZE"/>
      <sheetName val="INFO"/>
      <sheetName val="WBZ"/>
      <sheetName val="SBL"/>
      <sheetName val="SCT"/>
      <sheetName val="TA"/>
      <sheetName val="RG3"/>
      <sheetName val="EMM"/>
      <sheetName val="ES"/>
      <sheetName val="LCP"/>
      <sheetName val="4WS"/>
      <sheetName val="DASH"/>
      <sheetName val="DIAGNOSE"/>
      <sheetName val="template"/>
      <sheetName val="Sheet2"/>
      <sheetName val="GD_Routing_RG3"/>
      <sheetName val="GDBridge"/>
      <sheetName val="PICTO"/>
      <sheetName val="TI"/>
      <sheetName val="DPG"/>
      <sheetName val="GW"/>
    </sheetNames>
    <sheetDataSet>
      <sheetData sheetId="0"/>
      <sheetData sheetId="1"/>
      <sheetData sheetId="2"/>
      <sheetData sheetId="3"/>
      <sheetData sheetId="4">
        <row r="6">
          <cell r="B6" t="str">
            <v>DASH</v>
          </cell>
        </row>
        <row r="23">
          <cell r="P23" t="str">
            <v>Select Machine Variant</v>
          </cell>
        </row>
        <row r="29">
          <cell r="P29" t="str">
            <v>Generate Data for:</v>
          </cell>
        </row>
        <row r="30">
          <cell r="P30" t="str">
            <v>RG3</v>
          </cell>
        </row>
        <row r="32">
          <cell r="P32" t="str">
            <v>Generate Source Code</v>
          </cell>
        </row>
        <row r="34">
          <cell r="P34" t="str">
            <v>EXT File Name:</v>
          </cell>
        </row>
        <row r="35">
          <cell r="P35" t="str">
            <v>NT01 XML File Name:</v>
          </cell>
        </row>
        <row r="36">
          <cell r="P36" t="str">
            <v>EDT XML File Name:</v>
          </cell>
        </row>
        <row r="37">
          <cell r="P37" t="str">
            <v>GD DBC File Name:</v>
          </cell>
        </row>
        <row r="38">
          <cell r="P38" t="str">
            <v>Simplified GD DBC File Name:</v>
          </cell>
        </row>
        <row r="53">
          <cell r="P53" t="str">
            <v>Machine Variants</v>
          </cell>
        </row>
        <row r="54">
          <cell r="P54" t="str">
            <v>RG3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  <sheetData sheetId="27"/>
      <sheetData sheetId="28"/>
      <sheetData sheetId="29"/>
      <sheetData sheetId="30"/>
      <sheetData sheetId="3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s"/>
      <sheetName val="Readme"/>
      <sheetName val="Rules"/>
      <sheetName val="EXT Domain Areas"/>
      <sheetName val="Routing-Data"/>
      <sheetName val="DASH"/>
      <sheetName val="NT01"/>
      <sheetName val="MFA"/>
      <sheetName val="VG2"/>
      <sheetName val="ZE"/>
      <sheetName val="LCP"/>
      <sheetName val="RG3"/>
      <sheetName val="CEAG"/>
      <sheetName val="ES"/>
      <sheetName val="DRIVE"/>
      <sheetName val="INFO"/>
      <sheetName val="SCT"/>
      <sheetName val="WBZ"/>
      <sheetName val="SBL"/>
      <sheetName val="TA"/>
      <sheetName val="EMM"/>
      <sheetName val="EFC"/>
      <sheetName val="4W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7">
          <cell r="R27" t="str">
            <v>RG3</v>
          </cell>
          <cell r="W27" t="str">
            <v>RG3</v>
          </cell>
        </row>
        <row r="28">
          <cell r="W28" t="str">
            <v>RG600</v>
          </cell>
        </row>
        <row r="29">
          <cell r="W29" t="str">
            <v>Variant 3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1219"/>
  <sheetViews>
    <sheetView tabSelected="1" zoomScale="85" workbookViewId="0">
      <pane xSplit="3" ySplit="10" topLeftCell="D71" activePane="bottomRight" state="frozen"/>
      <selection pane="topRight" activeCell="C1" sqref="C1"/>
      <selection pane="bottomLeft" activeCell="A11" sqref="A11"/>
      <selection pane="bottomRight" activeCell="D96" sqref="D96"/>
    </sheetView>
  </sheetViews>
  <sheetFormatPr defaultColWidth="11.42578125" defaultRowHeight="12.75" x14ac:dyDescent="0.2"/>
  <cols>
    <col min="1" max="1" width="8.28515625" style="94" customWidth="1"/>
    <col min="2" max="2" width="8.28515625" style="98" customWidth="1"/>
    <col min="3" max="3" width="39.7109375" style="1" customWidth="1"/>
    <col min="4" max="8" width="9.42578125" style="94" customWidth="1"/>
    <col min="9" max="9" width="9.42578125" style="95" customWidth="1"/>
    <col min="10" max="10" width="17.85546875" style="1" customWidth="1"/>
    <col min="11" max="11" width="17.28515625" style="1" customWidth="1"/>
    <col min="12" max="12" width="50.140625" style="1" customWidth="1"/>
    <col min="13" max="13" width="12" style="1" customWidth="1"/>
    <col min="14" max="16" width="11.42578125" style="1" customWidth="1"/>
    <col min="17" max="21" width="16.140625" style="1" customWidth="1"/>
    <col min="22" max="22" width="29.7109375" style="12" customWidth="1"/>
    <col min="23" max="23" width="27.85546875" style="13" bestFit="1" customWidth="1"/>
    <col min="24" max="24" width="11.42578125" style="14" customWidth="1"/>
    <col min="25" max="25" width="41.42578125" style="1" customWidth="1"/>
    <col min="26" max="26" width="22.42578125" style="1" customWidth="1"/>
    <col min="27" max="27" width="11.85546875" style="1" customWidth="1"/>
    <col min="28" max="16384" width="11.42578125" style="1"/>
  </cols>
  <sheetData>
    <row r="1" spans="1:27" ht="18" x14ac:dyDescent="0.25">
      <c r="A1" s="132" t="s">
        <v>0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V1" s="2"/>
      <c r="W1" s="3"/>
      <c r="X1" s="4"/>
    </row>
    <row r="3" spans="1:27" ht="18" x14ac:dyDescent="0.25">
      <c r="A3" s="5"/>
      <c r="B3" s="6"/>
      <c r="C3" s="7" t="s">
        <v>1</v>
      </c>
      <c r="D3" s="8" t="s">
        <v>2</v>
      </c>
      <c r="E3" s="5"/>
      <c r="F3" s="5"/>
      <c r="G3" s="9"/>
      <c r="H3" s="9"/>
      <c r="I3" s="5"/>
      <c r="J3" s="10"/>
      <c r="K3" s="10"/>
      <c r="L3" s="10"/>
      <c r="M3" s="11"/>
    </row>
    <row r="4" spans="1:27" ht="18" x14ac:dyDescent="0.25">
      <c r="A4" s="5"/>
      <c r="B4" s="6"/>
      <c r="C4" s="8" t="s">
        <v>3</v>
      </c>
      <c r="D4" s="8">
        <v>5</v>
      </c>
      <c r="E4" s="5"/>
      <c r="F4" s="5"/>
      <c r="G4" s="9"/>
      <c r="H4" s="9"/>
      <c r="I4" s="5"/>
      <c r="J4" s="10"/>
      <c r="K4" s="15" t="s">
        <v>110</v>
      </c>
      <c r="L4" s="15" t="s">
        <v>111</v>
      </c>
      <c r="M4" s="11"/>
    </row>
    <row r="5" spans="1:27" ht="18" x14ac:dyDescent="0.25">
      <c r="A5" s="5"/>
      <c r="B5" s="6"/>
      <c r="C5" s="8" t="s">
        <v>4</v>
      </c>
      <c r="D5" s="8">
        <v>55</v>
      </c>
      <c r="E5" s="5"/>
      <c r="F5" s="5"/>
      <c r="G5" s="9"/>
      <c r="H5" s="9"/>
      <c r="I5" s="5"/>
      <c r="J5" s="10"/>
      <c r="K5" s="10"/>
      <c r="L5" s="10"/>
      <c r="M5" s="11"/>
    </row>
    <row r="6" spans="1:27" x14ac:dyDescent="0.2">
      <c r="A6" s="15">
        <v>1</v>
      </c>
      <c r="B6" s="15">
        <v>2</v>
      </c>
      <c r="C6" s="15">
        <v>3</v>
      </c>
      <c r="D6" s="15">
        <v>4</v>
      </c>
      <c r="E6" s="15">
        <v>5</v>
      </c>
      <c r="F6" s="15">
        <v>6</v>
      </c>
      <c r="G6" s="15">
        <v>7</v>
      </c>
      <c r="H6" s="15">
        <v>8</v>
      </c>
      <c r="I6" s="15">
        <v>9</v>
      </c>
      <c r="J6" s="15">
        <v>10</v>
      </c>
      <c r="K6" s="15">
        <v>11</v>
      </c>
      <c r="L6" s="15">
        <v>12</v>
      </c>
      <c r="M6" s="15">
        <v>13</v>
      </c>
      <c r="N6" s="15">
        <v>14</v>
      </c>
      <c r="O6" s="15">
        <v>15</v>
      </c>
      <c r="P6" s="15">
        <v>16</v>
      </c>
      <c r="Q6" s="15">
        <v>17</v>
      </c>
      <c r="R6" s="15">
        <v>18</v>
      </c>
      <c r="S6" s="15">
        <v>19</v>
      </c>
      <c r="T6" s="15">
        <v>20</v>
      </c>
      <c r="U6" s="15">
        <v>21</v>
      </c>
      <c r="V6" s="15">
        <v>22</v>
      </c>
      <c r="W6" s="15">
        <v>23</v>
      </c>
      <c r="X6" s="15">
        <v>24</v>
      </c>
      <c r="Y6" s="15">
        <v>25</v>
      </c>
      <c r="Z6" s="15">
        <v>26</v>
      </c>
      <c r="AA6" s="15">
        <v>27</v>
      </c>
    </row>
    <row r="7" spans="1:27" x14ac:dyDescent="0.2">
      <c r="A7" s="11"/>
      <c r="B7" s="16"/>
      <c r="C7" s="11"/>
      <c r="D7" s="9"/>
      <c r="E7" s="9"/>
      <c r="F7" s="9"/>
      <c r="G7" s="9"/>
      <c r="H7" s="9"/>
      <c r="I7" s="11"/>
      <c r="J7" s="11"/>
      <c r="K7" s="11"/>
      <c r="L7" s="11"/>
      <c r="M7" s="11"/>
    </row>
    <row r="8" spans="1:27" s="13" customFormat="1" ht="38.25" x14ac:dyDescent="0.2">
      <c r="A8" s="133" t="s">
        <v>5</v>
      </c>
      <c r="B8" s="17" t="s">
        <v>6</v>
      </c>
      <c r="C8" s="134" t="s">
        <v>7</v>
      </c>
      <c r="D8" s="133" t="s">
        <v>8</v>
      </c>
      <c r="E8" s="18" t="s">
        <v>6</v>
      </c>
      <c r="F8" s="131" t="s">
        <v>9</v>
      </c>
      <c r="G8" s="131"/>
      <c r="H8" s="18" t="s">
        <v>10</v>
      </c>
      <c r="I8" s="18" t="s">
        <v>11</v>
      </c>
      <c r="J8" s="18" t="s">
        <v>12</v>
      </c>
      <c r="K8" s="133" t="s">
        <v>13</v>
      </c>
      <c r="L8" s="135" t="s">
        <v>14</v>
      </c>
      <c r="M8" s="131" t="s">
        <v>15</v>
      </c>
      <c r="N8" s="131"/>
      <c r="O8" s="131" t="s">
        <v>16</v>
      </c>
      <c r="P8" s="131"/>
      <c r="Q8" s="131" t="s">
        <v>17</v>
      </c>
      <c r="R8" s="18" t="s">
        <v>18</v>
      </c>
      <c r="S8" s="19" t="s">
        <v>19</v>
      </c>
      <c r="T8" s="19" t="s">
        <v>20</v>
      </c>
      <c r="U8" s="20" t="s">
        <v>21</v>
      </c>
      <c r="V8" s="21" t="s">
        <v>22</v>
      </c>
      <c r="W8" s="22" t="s">
        <v>23</v>
      </c>
      <c r="X8" s="23" t="s">
        <v>24</v>
      </c>
      <c r="Y8" s="24" t="s">
        <v>25</v>
      </c>
      <c r="Z8" s="24" t="s">
        <v>26</v>
      </c>
      <c r="AA8" s="25" t="s">
        <v>27</v>
      </c>
    </row>
    <row r="9" spans="1:27" s="13" customFormat="1" x14ac:dyDescent="0.2">
      <c r="A9" s="133"/>
      <c r="B9" s="26" t="s">
        <v>28</v>
      </c>
      <c r="C9" s="134"/>
      <c r="D9" s="133"/>
      <c r="E9" s="27" t="s">
        <v>29</v>
      </c>
      <c r="F9" s="27" t="s">
        <v>30</v>
      </c>
      <c r="G9" s="27" t="s">
        <v>31</v>
      </c>
      <c r="H9" s="27"/>
      <c r="I9" s="18" t="s">
        <v>32</v>
      </c>
      <c r="J9" s="27"/>
      <c r="K9" s="133"/>
      <c r="L9" s="135"/>
      <c r="M9" s="27" t="s">
        <v>33</v>
      </c>
      <c r="N9" s="27" t="s">
        <v>34</v>
      </c>
      <c r="O9" s="27" t="s">
        <v>35</v>
      </c>
      <c r="P9" s="27" t="s">
        <v>36</v>
      </c>
      <c r="Q9" s="131"/>
      <c r="R9" s="18"/>
      <c r="S9" s="18"/>
      <c r="T9" s="18"/>
      <c r="U9" s="18"/>
      <c r="V9" s="28"/>
      <c r="W9" s="29"/>
      <c r="X9" s="30"/>
      <c r="Y9" s="31"/>
      <c r="Z9" s="32"/>
      <c r="AA9" s="31"/>
    </row>
    <row r="10" spans="1:27" s="33" customFormat="1" ht="13.5" thickBot="1" x14ac:dyDescent="0.25">
      <c r="B10" s="34"/>
      <c r="D10" s="35"/>
      <c r="E10" s="35"/>
      <c r="F10" s="36"/>
      <c r="G10" s="36"/>
      <c r="H10" s="36"/>
      <c r="I10" s="35"/>
      <c r="J10" s="37"/>
      <c r="K10" s="38"/>
      <c r="L10" s="38"/>
      <c r="V10" s="39"/>
      <c r="W10" s="40"/>
      <c r="X10" s="41"/>
      <c r="Y10" s="42"/>
      <c r="Z10" s="35"/>
      <c r="AA10" s="42"/>
    </row>
    <row r="11" spans="1:27" ht="13.5" thickTop="1" x14ac:dyDescent="0.2">
      <c r="A11" s="43">
        <v>1</v>
      </c>
      <c r="B11" s="44"/>
      <c r="C11" s="45" t="s">
        <v>37</v>
      </c>
      <c r="D11" s="43" t="s">
        <v>106</v>
      </c>
      <c r="E11" s="46" t="s">
        <v>38</v>
      </c>
      <c r="F11" s="43">
        <v>0</v>
      </c>
      <c r="G11" s="47">
        <v>4</v>
      </c>
      <c r="H11" s="48"/>
      <c r="I11" s="49"/>
      <c r="J11" s="50"/>
      <c r="K11" s="51"/>
      <c r="L11" s="52" t="s">
        <v>39</v>
      </c>
      <c r="M11" s="43">
        <v>55</v>
      </c>
      <c r="N11" s="43">
        <v>5</v>
      </c>
      <c r="O11" s="53">
        <f t="shared" ref="O11:O34" si="0">IF(A11&lt;&gt;"",M11*2^9+A11,"")</f>
        <v>28161</v>
      </c>
      <c r="P11" s="53" t="str">
        <f t="shared" ref="P11:P29" si="1">IF(A11&lt;&gt;"","0x" &amp;DEC2HEX( O11,4),"")</f>
        <v>0x6E01</v>
      </c>
      <c r="Q11" s="54" t="s">
        <v>40</v>
      </c>
      <c r="R11" s="55"/>
      <c r="S11" s="56"/>
      <c r="T11" s="56"/>
      <c r="U11" s="56" t="s">
        <v>41</v>
      </c>
      <c r="V11" s="57" t="s">
        <v>37</v>
      </c>
      <c r="W11" s="58" t="s">
        <v>42</v>
      </c>
      <c r="X11" s="58">
        <v>0</v>
      </c>
      <c r="Y11" s="57"/>
      <c r="Z11" s="58"/>
      <c r="AA11" s="58"/>
    </row>
    <row r="12" spans="1:27" x14ac:dyDescent="0.2">
      <c r="A12" s="43"/>
      <c r="B12" s="44"/>
      <c r="C12" s="51" t="s">
        <v>43</v>
      </c>
      <c r="D12" s="43"/>
      <c r="E12" s="46"/>
      <c r="F12" s="43"/>
      <c r="G12" s="47"/>
      <c r="H12" s="48"/>
      <c r="I12" s="49"/>
      <c r="J12" s="50"/>
      <c r="K12" s="51"/>
      <c r="L12" s="52"/>
      <c r="M12" s="43"/>
      <c r="N12" s="43"/>
      <c r="O12" s="59"/>
      <c r="P12" s="55"/>
      <c r="Q12" s="54"/>
      <c r="R12" s="55"/>
      <c r="S12" s="56"/>
      <c r="T12" s="56"/>
      <c r="U12" s="56"/>
      <c r="V12" s="57" t="s">
        <v>37</v>
      </c>
      <c r="W12" s="58" t="s">
        <v>44</v>
      </c>
      <c r="X12" s="58">
        <v>1</v>
      </c>
      <c r="Y12" s="57"/>
      <c r="Z12" s="58"/>
      <c r="AA12" s="58"/>
    </row>
    <row r="13" spans="1:27" x14ac:dyDescent="0.2">
      <c r="A13" s="43"/>
      <c r="B13" s="44"/>
      <c r="C13" s="51" t="s">
        <v>43</v>
      </c>
      <c r="D13" s="43"/>
      <c r="E13" s="46"/>
      <c r="F13" s="43"/>
      <c r="G13" s="47"/>
      <c r="H13" s="48"/>
      <c r="I13" s="49"/>
      <c r="J13" s="50"/>
      <c r="K13" s="51"/>
      <c r="L13" s="52"/>
      <c r="M13" s="43"/>
      <c r="N13" s="43"/>
      <c r="O13" s="59"/>
      <c r="P13" s="55"/>
      <c r="Q13" s="54"/>
      <c r="R13" s="55"/>
      <c r="S13" s="56"/>
      <c r="T13" s="56"/>
      <c r="U13" s="56"/>
      <c r="V13" s="57" t="s">
        <v>37</v>
      </c>
      <c r="W13" s="58" t="s">
        <v>45</v>
      </c>
      <c r="X13" s="58">
        <v>2</v>
      </c>
      <c r="Y13" s="57"/>
      <c r="Z13" s="58"/>
      <c r="AA13" s="58"/>
    </row>
    <row r="14" spans="1:27" x14ac:dyDescent="0.2">
      <c r="A14" s="43"/>
      <c r="B14" s="44"/>
      <c r="C14" s="51" t="s">
        <v>43</v>
      </c>
      <c r="D14" s="43"/>
      <c r="E14" s="46"/>
      <c r="F14" s="43"/>
      <c r="G14" s="47"/>
      <c r="H14" s="48"/>
      <c r="I14" s="49"/>
      <c r="J14" s="50"/>
      <c r="K14" s="51"/>
      <c r="L14" s="52"/>
      <c r="M14" s="43"/>
      <c r="N14" s="43"/>
      <c r="O14" s="59"/>
      <c r="P14" s="55"/>
      <c r="Q14" s="54"/>
      <c r="R14" s="55"/>
      <c r="S14" s="56"/>
      <c r="T14" s="56"/>
      <c r="U14" s="56"/>
      <c r="V14" s="57" t="s">
        <v>37</v>
      </c>
      <c r="W14" s="58" t="s">
        <v>2</v>
      </c>
      <c r="X14" s="58">
        <v>3</v>
      </c>
      <c r="Y14" s="57"/>
      <c r="Z14" s="58"/>
      <c r="AA14" s="58"/>
    </row>
    <row r="15" spans="1:27" x14ac:dyDescent="0.2">
      <c r="A15" s="43"/>
      <c r="B15" s="44"/>
      <c r="C15" s="51" t="s">
        <v>43</v>
      </c>
      <c r="D15" s="43"/>
      <c r="E15" s="46"/>
      <c r="F15" s="43"/>
      <c r="G15" s="47"/>
      <c r="H15" s="48"/>
      <c r="I15" s="49"/>
      <c r="J15" s="50"/>
      <c r="K15" s="51"/>
      <c r="L15" s="52"/>
      <c r="M15" s="43"/>
      <c r="N15" s="43"/>
      <c r="O15" s="59"/>
      <c r="P15" s="55"/>
      <c r="Q15" s="54"/>
      <c r="R15" s="55"/>
      <c r="S15" s="56"/>
      <c r="T15" s="56"/>
      <c r="U15" s="56"/>
      <c r="V15" s="57" t="s">
        <v>37</v>
      </c>
      <c r="W15" s="58" t="s">
        <v>46</v>
      </c>
      <c r="X15" s="58">
        <v>4</v>
      </c>
      <c r="Y15" s="57"/>
      <c r="Z15" s="58"/>
      <c r="AA15" s="58"/>
    </row>
    <row r="16" spans="1:27" x14ac:dyDescent="0.2">
      <c r="A16" s="43">
        <v>2</v>
      </c>
      <c r="B16" s="44"/>
      <c r="C16" s="45" t="s">
        <v>47</v>
      </c>
      <c r="D16" s="43" t="s">
        <v>69</v>
      </c>
      <c r="E16" s="46" t="s">
        <v>38</v>
      </c>
      <c r="F16" s="43">
        <v>0</v>
      </c>
      <c r="G16" s="47">
        <v>4</v>
      </c>
      <c r="H16" s="48"/>
      <c r="I16" s="49"/>
      <c r="J16" s="50"/>
      <c r="K16" s="51"/>
      <c r="L16" s="52" t="s">
        <v>39</v>
      </c>
      <c r="M16" s="43">
        <v>55</v>
      </c>
      <c r="N16" s="43">
        <v>5</v>
      </c>
      <c r="O16" s="60">
        <f t="shared" si="0"/>
        <v>28162</v>
      </c>
      <c r="P16" s="61" t="str">
        <f t="shared" si="1"/>
        <v>0x6E02</v>
      </c>
      <c r="Q16" s="54" t="s">
        <v>40</v>
      </c>
      <c r="R16" s="61"/>
      <c r="S16" s="62"/>
      <c r="T16" s="62"/>
      <c r="U16" s="62"/>
      <c r="V16" s="57" t="s">
        <v>47</v>
      </c>
      <c r="W16" s="58" t="s">
        <v>42</v>
      </c>
      <c r="X16" s="58">
        <v>0</v>
      </c>
      <c r="Y16" s="57"/>
      <c r="Z16" s="58"/>
      <c r="AA16" s="58"/>
    </row>
    <row r="17" spans="1:30" x14ac:dyDescent="0.2">
      <c r="A17" s="43"/>
      <c r="B17" s="44"/>
      <c r="C17" s="51" t="s">
        <v>43</v>
      </c>
      <c r="D17" s="43"/>
      <c r="E17" s="63"/>
      <c r="F17" s="43"/>
      <c r="G17" s="47"/>
      <c r="H17" s="48"/>
      <c r="I17" s="49"/>
      <c r="J17" s="50"/>
      <c r="K17" s="51"/>
      <c r="L17" s="50"/>
      <c r="M17" s="43"/>
      <c r="N17" s="43"/>
      <c r="O17" s="60" t="str">
        <f t="shared" si="0"/>
        <v/>
      </c>
      <c r="P17" s="61" t="str">
        <f t="shared" si="1"/>
        <v/>
      </c>
      <c r="Q17" s="64"/>
      <c r="R17" s="61"/>
      <c r="S17" s="62"/>
      <c r="T17" s="62"/>
      <c r="U17" s="62"/>
      <c r="V17" s="57" t="s">
        <v>47</v>
      </c>
      <c r="W17" s="58" t="s">
        <v>44</v>
      </c>
      <c r="X17" s="58">
        <v>1</v>
      </c>
      <c r="Y17" s="57"/>
      <c r="Z17" s="58"/>
      <c r="AA17" s="58"/>
    </row>
    <row r="18" spans="1:30" x14ac:dyDescent="0.2">
      <c r="A18" s="43"/>
      <c r="B18" s="44"/>
      <c r="C18" s="51" t="s">
        <v>43</v>
      </c>
      <c r="D18" s="43"/>
      <c r="E18" s="51"/>
      <c r="F18" s="43"/>
      <c r="G18" s="47"/>
      <c r="H18" s="48"/>
      <c r="I18" s="49"/>
      <c r="J18" s="50"/>
      <c r="K18" s="51"/>
      <c r="L18" s="50"/>
      <c r="M18" s="43"/>
      <c r="N18" s="43"/>
      <c r="O18" s="60" t="str">
        <f t="shared" si="0"/>
        <v/>
      </c>
      <c r="P18" s="61" t="str">
        <f t="shared" si="1"/>
        <v/>
      </c>
      <c r="Q18" s="64"/>
      <c r="R18" s="61"/>
      <c r="S18" s="62"/>
      <c r="T18" s="62"/>
      <c r="U18" s="62"/>
      <c r="V18" s="57" t="s">
        <v>47</v>
      </c>
      <c r="W18" s="58" t="s">
        <v>45</v>
      </c>
      <c r="X18" s="58">
        <v>2</v>
      </c>
      <c r="Y18" s="57"/>
      <c r="Z18" s="58"/>
      <c r="AA18" s="58"/>
    </row>
    <row r="19" spans="1:30" x14ac:dyDescent="0.2">
      <c r="A19" s="43"/>
      <c r="B19" s="44"/>
      <c r="C19" s="51" t="s">
        <v>43</v>
      </c>
      <c r="D19" s="43"/>
      <c r="E19" s="51"/>
      <c r="F19" s="43"/>
      <c r="G19" s="47"/>
      <c r="H19" s="48"/>
      <c r="I19" s="49"/>
      <c r="J19" s="50"/>
      <c r="K19" s="51"/>
      <c r="L19" s="50"/>
      <c r="M19" s="43"/>
      <c r="N19" s="43"/>
      <c r="O19" s="60"/>
      <c r="P19" s="61"/>
      <c r="Q19" s="64"/>
      <c r="R19" s="61"/>
      <c r="S19" s="62"/>
      <c r="T19" s="62"/>
      <c r="U19" s="62"/>
      <c r="V19" s="57" t="s">
        <v>47</v>
      </c>
      <c r="W19" s="58" t="s">
        <v>2</v>
      </c>
      <c r="X19" s="58">
        <v>3</v>
      </c>
      <c r="Y19" s="57"/>
      <c r="Z19" s="58"/>
      <c r="AA19" s="58"/>
    </row>
    <row r="20" spans="1:30" x14ac:dyDescent="0.2">
      <c r="A20" s="43"/>
      <c r="B20" s="44"/>
      <c r="C20" s="51" t="s">
        <v>43</v>
      </c>
      <c r="D20" s="43"/>
      <c r="E20" s="51"/>
      <c r="F20" s="43"/>
      <c r="G20" s="47"/>
      <c r="H20" s="48"/>
      <c r="I20" s="49"/>
      <c r="J20" s="50"/>
      <c r="K20" s="51"/>
      <c r="L20" s="50"/>
      <c r="M20" s="43"/>
      <c r="N20" s="43"/>
      <c r="O20" s="60" t="str">
        <f t="shared" si="0"/>
        <v/>
      </c>
      <c r="P20" s="61" t="str">
        <f t="shared" si="1"/>
        <v/>
      </c>
      <c r="Q20" s="64"/>
      <c r="R20" s="61"/>
      <c r="S20" s="62"/>
      <c r="T20" s="62"/>
      <c r="U20" s="62"/>
      <c r="V20" s="57" t="s">
        <v>47</v>
      </c>
      <c r="W20" s="58" t="s">
        <v>46</v>
      </c>
      <c r="X20" s="58">
        <v>4</v>
      </c>
      <c r="Y20" s="57"/>
      <c r="Z20" s="58"/>
      <c r="AA20" s="58"/>
    </row>
    <row r="21" spans="1:30" x14ac:dyDescent="0.2">
      <c r="A21" s="43"/>
      <c r="B21" s="44"/>
      <c r="C21" s="51" t="s">
        <v>43</v>
      </c>
      <c r="D21" s="43"/>
      <c r="E21" s="51"/>
      <c r="F21" s="43"/>
      <c r="G21" s="48"/>
      <c r="H21" s="48"/>
      <c r="I21" s="71"/>
      <c r="J21" s="50"/>
      <c r="K21" s="51"/>
      <c r="L21" s="50"/>
      <c r="M21" s="43"/>
      <c r="N21" s="43"/>
      <c r="O21" s="60"/>
      <c r="P21" s="61"/>
      <c r="Q21" s="64"/>
      <c r="R21" s="61"/>
      <c r="S21" s="62"/>
      <c r="T21" s="62"/>
      <c r="U21" s="62"/>
      <c r="V21" s="57" t="s">
        <v>47</v>
      </c>
      <c r="W21" s="58" t="s">
        <v>150</v>
      </c>
      <c r="X21" s="58">
        <v>5</v>
      </c>
      <c r="Y21" s="57"/>
      <c r="Z21" s="58"/>
      <c r="AA21" s="58"/>
    </row>
    <row r="22" spans="1:30" x14ac:dyDescent="0.2">
      <c r="A22" s="43">
        <v>6</v>
      </c>
      <c r="B22" s="44"/>
      <c r="C22" s="45" t="s">
        <v>48</v>
      </c>
      <c r="D22" s="43" t="s">
        <v>106</v>
      </c>
      <c r="E22" s="51" t="s">
        <v>49</v>
      </c>
      <c r="F22" s="65">
        <v>0</v>
      </c>
      <c r="G22" s="65">
        <v>1</v>
      </c>
      <c r="H22" s="48"/>
      <c r="I22" s="66"/>
      <c r="J22" s="45" t="s">
        <v>50</v>
      </c>
      <c r="K22" s="51"/>
      <c r="L22" s="50" t="s">
        <v>51</v>
      </c>
      <c r="M22" s="43">
        <v>55</v>
      </c>
      <c r="N22" s="43">
        <v>5</v>
      </c>
      <c r="O22" s="60">
        <f t="shared" si="0"/>
        <v>28166</v>
      </c>
      <c r="P22" s="61" t="str">
        <f t="shared" si="1"/>
        <v>0x6E06</v>
      </c>
      <c r="Q22" s="54" t="s">
        <v>52</v>
      </c>
      <c r="R22" s="61"/>
      <c r="S22" s="62"/>
      <c r="T22" s="62"/>
      <c r="U22" s="62" t="s">
        <v>41</v>
      </c>
      <c r="V22" s="57"/>
      <c r="W22" s="58"/>
      <c r="X22" s="58"/>
      <c r="Y22" s="57"/>
      <c r="Z22" s="58"/>
      <c r="AA22" s="58"/>
    </row>
    <row r="23" spans="1:30" x14ac:dyDescent="0.2">
      <c r="A23" s="43">
        <v>7</v>
      </c>
      <c r="B23" s="44"/>
      <c r="C23" s="45" t="s">
        <v>53</v>
      </c>
      <c r="D23" s="43" t="s">
        <v>106</v>
      </c>
      <c r="E23" s="51" t="s">
        <v>49</v>
      </c>
      <c r="F23" s="65">
        <v>0</v>
      </c>
      <c r="G23" s="65">
        <v>1</v>
      </c>
      <c r="H23" s="48"/>
      <c r="I23" s="66"/>
      <c r="J23" s="45" t="s">
        <v>50</v>
      </c>
      <c r="K23" s="51"/>
      <c r="L23" s="50" t="s">
        <v>54</v>
      </c>
      <c r="M23" s="43">
        <v>55</v>
      </c>
      <c r="N23" s="43">
        <v>5</v>
      </c>
      <c r="O23" s="60">
        <f t="shared" si="0"/>
        <v>28167</v>
      </c>
      <c r="P23" s="61" t="str">
        <f t="shared" si="1"/>
        <v>0x6E07</v>
      </c>
      <c r="Q23" s="54" t="s">
        <v>52</v>
      </c>
      <c r="R23" s="61"/>
      <c r="S23" s="62"/>
      <c r="T23" s="62"/>
      <c r="U23" s="62" t="s">
        <v>41</v>
      </c>
      <c r="V23" s="57"/>
      <c r="W23" s="58"/>
      <c r="X23" s="58"/>
      <c r="Y23" s="57"/>
      <c r="Z23" s="58"/>
      <c r="AA23" s="58"/>
    </row>
    <row r="24" spans="1:30" x14ac:dyDescent="0.2">
      <c r="A24" s="43">
        <v>8</v>
      </c>
      <c r="B24" s="44"/>
      <c r="C24" s="45" t="s">
        <v>55</v>
      </c>
      <c r="D24" s="43" t="s">
        <v>106</v>
      </c>
      <c r="E24" s="51" t="s">
        <v>49</v>
      </c>
      <c r="F24" s="65">
        <v>0</v>
      </c>
      <c r="G24" s="65">
        <v>1</v>
      </c>
      <c r="H24" s="48"/>
      <c r="I24" s="66"/>
      <c r="J24" s="45" t="s">
        <v>50</v>
      </c>
      <c r="K24" s="51"/>
      <c r="L24" s="45" t="s">
        <v>56</v>
      </c>
      <c r="M24" s="43">
        <v>55</v>
      </c>
      <c r="N24" s="43">
        <v>5</v>
      </c>
      <c r="O24" s="60">
        <f t="shared" si="0"/>
        <v>28168</v>
      </c>
      <c r="P24" s="61" t="str">
        <f t="shared" si="1"/>
        <v>0x6E08</v>
      </c>
      <c r="Q24" s="54" t="s">
        <v>52</v>
      </c>
      <c r="R24" s="61"/>
      <c r="S24" s="62"/>
      <c r="T24" s="62"/>
      <c r="U24" s="62" t="s">
        <v>41</v>
      </c>
      <c r="V24" s="57"/>
      <c r="W24" s="58"/>
      <c r="X24" s="58"/>
      <c r="Y24" s="57"/>
      <c r="Z24" s="58"/>
      <c r="AA24" s="58"/>
    </row>
    <row r="25" spans="1:30" ht="51" x14ac:dyDescent="0.2">
      <c r="A25" s="43">
        <v>9</v>
      </c>
      <c r="B25" s="44"/>
      <c r="C25" s="45" t="s">
        <v>57</v>
      </c>
      <c r="D25" s="43" t="s">
        <v>69</v>
      </c>
      <c r="E25" s="51" t="s">
        <v>49</v>
      </c>
      <c r="F25" s="43">
        <v>0</v>
      </c>
      <c r="G25" s="48">
        <v>25</v>
      </c>
      <c r="H25" s="47">
        <v>0</v>
      </c>
      <c r="I25" s="67">
        <v>0.1</v>
      </c>
      <c r="J25" s="52" t="s">
        <v>58</v>
      </c>
      <c r="K25" s="68" t="s">
        <v>59</v>
      </c>
      <c r="L25" s="45" t="s">
        <v>60</v>
      </c>
      <c r="M25" s="43">
        <v>55</v>
      </c>
      <c r="N25" s="43">
        <v>5</v>
      </c>
      <c r="O25" s="60">
        <f>IF(A25&lt;&gt;"",M25*2^9+A25,"")</f>
        <v>28169</v>
      </c>
      <c r="P25" s="61" t="str">
        <f>IF(A25&lt;&gt;"","0x" &amp;DEC2HEX( O25,4),"")</f>
        <v>0x6E09</v>
      </c>
      <c r="Q25" s="54" t="s">
        <v>52</v>
      </c>
      <c r="R25" s="61"/>
      <c r="S25" s="62"/>
      <c r="T25" s="62"/>
      <c r="U25" s="62"/>
      <c r="V25" s="57"/>
      <c r="W25" s="58"/>
      <c r="X25" s="58"/>
      <c r="Y25" s="57" t="s">
        <v>57</v>
      </c>
      <c r="Z25" s="58" t="s">
        <v>61</v>
      </c>
      <c r="AA25" s="58">
        <v>0</v>
      </c>
    </row>
    <row r="26" spans="1:30" x14ac:dyDescent="0.2">
      <c r="A26" s="43"/>
      <c r="B26" s="44"/>
      <c r="C26" s="51" t="s">
        <v>43</v>
      </c>
      <c r="D26" s="43"/>
      <c r="E26" s="46"/>
      <c r="F26" s="43"/>
      <c r="G26" s="48"/>
      <c r="H26" s="47"/>
      <c r="I26" s="49"/>
      <c r="J26" s="69"/>
      <c r="K26" s="51"/>
      <c r="L26" s="70"/>
      <c r="M26" s="43">
        <v>55</v>
      </c>
      <c r="N26" s="43">
        <v>5</v>
      </c>
      <c r="O26" s="60" t="str">
        <f>IF(A26&lt;&gt;"",M26*2^9+A26,"")</f>
        <v/>
      </c>
      <c r="P26" s="61" t="str">
        <f>IF(A26&lt;&gt;"","0x" &amp;DEC2HEX( O26,4),"")</f>
        <v/>
      </c>
      <c r="Q26" s="64"/>
      <c r="R26" s="61"/>
      <c r="S26" s="62"/>
      <c r="T26" s="62"/>
      <c r="U26" s="62"/>
      <c r="V26" s="57"/>
      <c r="W26" s="58"/>
      <c r="X26" s="58"/>
      <c r="Y26" s="57" t="s">
        <v>57</v>
      </c>
      <c r="Z26" s="58" t="s">
        <v>62</v>
      </c>
      <c r="AA26" s="58">
        <v>1</v>
      </c>
    </row>
    <row r="27" spans="1:30" x14ac:dyDescent="0.2">
      <c r="A27" s="43"/>
      <c r="B27" s="44"/>
      <c r="C27" s="43"/>
      <c r="D27" s="43"/>
      <c r="E27" s="46"/>
      <c r="F27" s="43"/>
      <c r="G27" s="48"/>
      <c r="H27" s="47"/>
      <c r="I27" s="71"/>
      <c r="J27" s="69"/>
      <c r="K27" s="51"/>
      <c r="L27" s="70"/>
      <c r="M27" s="43"/>
      <c r="N27" s="43"/>
      <c r="O27" s="60"/>
      <c r="P27" s="61"/>
      <c r="Q27" s="64"/>
      <c r="R27" s="61"/>
      <c r="S27" s="62"/>
      <c r="T27" s="62"/>
      <c r="U27" s="62"/>
      <c r="V27" s="57"/>
      <c r="W27" s="58"/>
      <c r="X27" s="58"/>
      <c r="Y27" s="57"/>
      <c r="Z27" s="58"/>
      <c r="AA27" s="58"/>
    </row>
    <row r="28" spans="1:30" x14ac:dyDescent="0.2">
      <c r="A28" s="43"/>
      <c r="B28" s="44"/>
      <c r="C28" s="72"/>
      <c r="D28" s="43"/>
      <c r="E28" s="51"/>
      <c r="F28" s="48"/>
      <c r="G28" s="47"/>
      <c r="H28" s="47"/>
      <c r="I28" s="66"/>
      <c r="J28" s="69"/>
      <c r="K28" s="51"/>
      <c r="L28" s="45"/>
      <c r="M28" s="43">
        <v>55</v>
      </c>
      <c r="N28" s="43">
        <v>5</v>
      </c>
      <c r="O28" s="60" t="str">
        <f t="shared" si="0"/>
        <v/>
      </c>
      <c r="P28" s="61" t="str">
        <f t="shared" si="1"/>
        <v/>
      </c>
      <c r="Q28" s="64"/>
      <c r="R28" s="61"/>
      <c r="S28" s="62"/>
      <c r="T28" s="62"/>
      <c r="U28" s="62"/>
      <c r="V28" s="57"/>
      <c r="W28" s="58"/>
      <c r="X28" s="58"/>
      <c r="Y28" s="57"/>
      <c r="Z28" s="58"/>
      <c r="AA28" s="58"/>
      <c r="AD28" s="13"/>
    </row>
    <row r="29" spans="1:30" ht="15" customHeight="1" x14ac:dyDescent="0.2">
      <c r="A29" s="43"/>
      <c r="B29" s="44"/>
      <c r="C29" s="50"/>
      <c r="D29" s="43"/>
      <c r="E29" s="51"/>
      <c r="F29" s="43"/>
      <c r="G29" s="48"/>
      <c r="H29" s="47"/>
      <c r="I29" s="73"/>
      <c r="J29" s="45"/>
      <c r="K29" s="51"/>
      <c r="L29" s="45"/>
      <c r="M29" s="43">
        <v>55</v>
      </c>
      <c r="N29" s="43">
        <v>5</v>
      </c>
      <c r="O29" s="60" t="str">
        <f t="shared" si="0"/>
        <v/>
      </c>
      <c r="P29" s="61" t="str">
        <f t="shared" si="1"/>
        <v/>
      </c>
      <c r="Q29" s="64"/>
      <c r="R29" s="61"/>
      <c r="S29" s="62"/>
      <c r="T29" s="62"/>
      <c r="U29" s="62"/>
      <c r="V29" s="57"/>
      <c r="W29" s="58"/>
      <c r="X29" s="58"/>
      <c r="Y29" s="57"/>
      <c r="Z29" s="58"/>
      <c r="AA29" s="58"/>
      <c r="AD29" s="13"/>
    </row>
    <row r="30" spans="1:30" customFormat="1" ht="15" customHeight="1" x14ac:dyDescent="0.25">
      <c r="A30" s="43">
        <v>15</v>
      </c>
      <c r="B30" s="44"/>
      <c r="C30" s="69" t="s">
        <v>104</v>
      </c>
      <c r="D30" s="43" t="s">
        <v>69</v>
      </c>
      <c r="E30" s="51" t="s">
        <v>49</v>
      </c>
      <c r="F30" s="43">
        <v>0</v>
      </c>
      <c r="G30" s="48">
        <v>175</v>
      </c>
      <c r="H30" s="47">
        <v>0</v>
      </c>
      <c r="I30" s="74">
        <v>0.2</v>
      </c>
      <c r="J30" s="52" t="s">
        <v>58</v>
      </c>
      <c r="K30" s="68" t="s">
        <v>59</v>
      </c>
      <c r="L30" s="69" t="s">
        <v>145</v>
      </c>
      <c r="M30" s="43">
        <f t="shared" ref="M30:M34" si="2">IF(A30&lt;&gt;"",$D$5,"")</f>
        <v>55</v>
      </c>
      <c r="N30" s="43">
        <f t="shared" ref="N30:N34" si="3">IF(A30&lt;&gt;"",$D$4,"")</f>
        <v>5</v>
      </c>
      <c r="O30" s="104">
        <f t="shared" si="0"/>
        <v>28175</v>
      </c>
      <c r="P30" s="105" t="str">
        <f>IF(A30&lt;&gt;"","0x" &amp;DEC2HEX( O30,4),"")</f>
        <v>0x6E0F</v>
      </c>
      <c r="Q30" s="109" t="s">
        <v>52</v>
      </c>
      <c r="R30" s="105"/>
      <c r="S30" s="62"/>
      <c r="T30" s="62"/>
      <c r="U30" s="62"/>
      <c r="V30" s="57"/>
      <c r="W30" s="58"/>
      <c r="X30" s="58"/>
      <c r="Y30" s="57" t="s">
        <v>63</v>
      </c>
      <c r="Z30" s="58" t="s">
        <v>61</v>
      </c>
      <c r="AA30" s="58">
        <v>0</v>
      </c>
      <c r="AD30" s="107"/>
    </row>
    <row r="31" spans="1:30" customFormat="1" ht="15" customHeight="1" x14ac:dyDescent="0.25">
      <c r="A31" s="43"/>
      <c r="B31" s="44"/>
      <c r="C31" s="51" t="s">
        <v>43</v>
      </c>
      <c r="D31" s="43"/>
      <c r="E31" s="51"/>
      <c r="F31" s="43"/>
      <c r="G31" s="48"/>
      <c r="H31" s="47"/>
      <c r="I31" s="74"/>
      <c r="J31" s="52"/>
      <c r="K31" s="68"/>
      <c r="L31" s="69"/>
      <c r="M31" s="43" t="str">
        <f t="shared" si="2"/>
        <v/>
      </c>
      <c r="N31" s="43" t="str">
        <f t="shared" si="3"/>
        <v/>
      </c>
      <c r="O31" s="104"/>
      <c r="P31" s="105"/>
      <c r="Q31" s="106"/>
      <c r="R31" s="105"/>
      <c r="S31" s="62"/>
      <c r="T31" s="62"/>
      <c r="U31" s="62"/>
      <c r="V31" s="57"/>
      <c r="W31" s="58"/>
      <c r="X31" s="58"/>
      <c r="Y31" s="57" t="s">
        <v>63</v>
      </c>
      <c r="Z31" s="58" t="s">
        <v>62</v>
      </c>
      <c r="AA31" s="58">
        <v>1</v>
      </c>
      <c r="AD31" s="107"/>
    </row>
    <row r="32" spans="1:30" customFormat="1" ht="15" customHeight="1" x14ac:dyDescent="0.25">
      <c r="A32" s="43">
        <v>16</v>
      </c>
      <c r="B32" s="44"/>
      <c r="C32" s="69" t="s">
        <v>105</v>
      </c>
      <c r="D32" s="43" t="s">
        <v>69</v>
      </c>
      <c r="E32" s="51" t="s">
        <v>49</v>
      </c>
      <c r="F32" s="48">
        <v>0</v>
      </c>
      <c r="G32" s="48">
        <v>175</v>
      </c>
      <c r="H32" s="47">
        <v>0</v>
      </c>
      <c r="I32" s="74">
        <v>0.2</v>
      </c>
      <c r="J32" s="52" t="s">
        <v>58</v>
      </c>
      <c r="K32" s="68" t="s">
        <v>59</v>
      </c>
      <c r="L32" s="69" t="s">
        <v>167</v>
      </c>
      <c r="M32" s="43">
        <f t="shared" si="2"/>
        <v>55</v>
      </c>
      <c r="N32" s="43">
        <f t="shared" si="3"/>
        <v>5</v>
      </c>
      <c r="O32" s="104">
        <f t="shared" si="0"/>
        <v>28176</v>
      </c>
      <c r="P32" s="105" t="str">
        <f>IF(A32&lt;&gt;"","0x" &amp;DEC2HEX( O32,4),"")</f>
        <v>0x6E10</v>
      </c>
      <c r="Q32" s="109" t="s">
        <v>52</v>
      </c>
      <c r="R32" s="105"/>
      <c r="S32" s="62"/>
      <c r="T32" s="62"/>
      <c r="U32" s="62"/>
      <c r="V32" s="57"/>
      <c r="W32" s="58"/>
      <c r="X32" s="58"/>
      <c r="Y32" s="57" t="s">
        <v>64</v>
      </c>
      <c r="Z32" s="58" t="s">
        <v>61</v>
      </c>
      <c r="AA32" s="58">
        <v>0</v>
      </c>
      <c r="AD32" s="107"/>
    </row>
    <row r="33" spans="1:30" customFormat="1" ht="15" customHeight="1" x14ac:dyDescent="0.25">
      <c r="A33" s="43"/>
      <c r="B33" s="44"/>
      <c r="C33" s="51" t="s">
        <v>43</v>
      </c>
      <c r="D33" s="43"/>
      <c r="E33" s="51"/>
      <c r="F33" s="48"/>
      <c r="G33" s="48"/>
      <c r="H33" s="47"/>
      <c r="I33" s="75"/>
      <c r="J33" s="52"/>
      <c r="K33" s="76"/>
      <c r="L33" s="69"/>
      <c r="M33" s="43" t="str">
        <f t="shared" si="2"/>
        <v/>
      </c>
      <c r="N33" s="43" t="str">
        <f t="shared" si="3"/>
        <v/>
      </c>
      <c r="O33" s="104"/>
      <c r="P33" s="105"/>
      <c r="Q33" s="106"/>
      <c r="R33" s="105"/>
      <c r="S33" s="62"/>
      <c r="T33" s="62"/>
      <c r="U33" s="62"/>
      <c r="V33" s="57"/>
      <c r="W33" s="58"/>
      <c r="X33" s="58"/>
      <c r="Y33" s="57" t="s">
        <v>64</v>
      </c>
      <c r="Z33" s="58" t="s">
        <v>62</v>
      </c>
      <c r="AA33" s="58">
        <v>1</v>
      </c>
      <c r="AD33" s="107"/>
    </row>
    <row r="34" spans="1:30" customFormat="1" ht="15" customHeight="1" x14ac:dyDescent="0.25">
      <c r="A34" s="43"/>
      <c r="B34" s="44"/>
      <c r="C34" s="50"/>
      <c r="D34" s="43"/>
      <c r="E34" s="51"/>
      <c r="F34" s="47"/>
      <c r="G34" s="47"/>
      <c r="H34" s="47"/>
      <c r="I34" s="77"/>
      <c r="J34" s="45"/>
      <c r="K34" s="51"/>
      <c r="L34" s="45"/>
      <c r="M34" s="43" t="str">
        <f t="shared" si="2"/>
        <v/>
      </c>
      <c r="N34" s="43" t="str">
        <f t="shared" si="3"/>
        <v/>
      </c>
      <c r="O34" s="104" t="str">
        <f t="shared" si="0"/>
        <v/>
      </c>
      <c r="P34" s="105" t="str">
        <f t="shared" ref="P34" si="4">IF(A34&lt;&gt;"","0x" &amp;DEC2HEX( O34,4),"")</f>
        <v/>
      </c>
      <c r="Q34" s="106"/>
      <c r="R34" s="105"/>
      <c r="S34" s="62"/>
      <c r="T34" s="62"/>
      <c r="U34" s="62"/>
      <c r="V34" s="57"/>
      <c r="W34" s="58"/>
      <c r="X34" s="58"/>
      <c r="Y34" s="57"/>
      <c r="Z34" s="58"/>
      <c r="AA34" s="58"/>
      <c r="AD34" s="107"/>
    </row>
    <row r="35" spans="1:30" customFormat="1" ht="15" customHeight="1" x14ac:dyDescent="0.25">
      <c r="A35" s="43">
        <v>18</v>
      </c>
      <c r="B35" s="44"/>
      <c r="C35" s="69" t="s">
        <v>76</v>
      </c>
      <c r="D35" s="43" t="s">
        <v>69</v>
      </c>
      <c r="E35" s="108" t="s">
        <v>38</v>
      </c>
      <c r="F35" s="48">
        <v>-4500</v>
      </c>
      <c r="G35" s="48">
        <v>4500</v>
      </c>
      <c r="H35" s="47">
        <v>0</v>
      </c>
      <c r="I35" s="74">
        <v>0.01</v>
      </c>
      <c r="J35" s="52" t="s">
        <v>58</v>
      </c>
      <c r="K35" s="68"/>
      <c r="L35" s="69" t="s">
        <v>146</v>
      </c>
      <c r="M35" s="43">
        <f>IF(A35&lt;&gt;"",$D$5,"")</f>
        <v>55</v>
      </c>
      <c r="N35" s="43">
        <f>IF(A35&lt;&gt;"",$D$4,"")</f>
        <v>5</v>
      </c>
      <c r="O35" s="104">
        <f>IF(A35&lt;&gt;"",M35*2^9+A35,"")</f>
        <v>28178</v>
      </c>
      <c r="P35" s="105" t="str">
        <f>IF(A35&lt;&gt;"","0x" &amp;DEC2HEX( O35,4),"")</f>
        <v>0x6E12</v>
      </c>
      <c r="Q35" s="109" t="s">
        <v>52</v>
      </c>
      <c r="R35" s="105"/>
      <c r="S35" s="62"/>
      <c r="T35" s="62"/>
      <c r="U35" s="62"/>
      <c r="V35" s="57"/>
      <c r="W35" s="58"/>
      <c r="X35" s="58"/>
      <c r="Y35" s="57"/>
      <c r="Z35" s="58"/>
      <c r="AA35" s="58"/>
      <c r="AD35" s="107"/>
    </row>
    <row r="36" spans="1:30" customFormat="1" ht="15" customHeight="1" x14ac:dyDescent="0.25">
      <c r="A36" s="43"/>
      <c r="B36" s="44"/>
      <c r="C36" s="51"/>
      <c r="D36" s="43"/>
      <c r="E36" s="51"/>
      <c r="F36" s="48"/>
      <c r="G36" s="48"/>
      <c r="H36" s="47"/>
      <c r="I36" s="75"/>
      <c r="J36" s="52"/>
      <c r="K36" s="76"/>
      <c r="L36" s="69"/>
      <c r="M36" s="43"/>
      <c r="N36" s="43"/>
      <c r="O36" s="104"/>
      <c r="P36" s="105"/>
      <c r="Q36" s="106"/>
      <c r="R36" s="105"/>
      <c r="S36" s="62"/>
      <c r="T36" s="62"/>
      <c r="U36" s="62"/>
      <c r="V36" s="57"/>
      <c r="W36" s="58"/>
      <c r="X36" s="58"/>
      <c r="Y36" s="57"/>
      <c r="Z36" s="58"/>
      <c r="AA36" s="58"/>
      <c r="AD36" s="107"/>
    </row>
    <row r="37" spans="1:30" customFormat="1" ht="15" customHeight="1" x14ac:dyDescent="0.25">
      <c r="A37" s="43">
        <v>19</v>
      </c>
      <c r="B37" s="44"/>
      <c r="C37" s="50" t="s">
        <v>109</v>
      </c>
      <c r="D37" s="43" t="s">
        <v>69</v>
      </c>
      <c r="E37" s="108" t="s">
        <v>38</v>
      </c>
      <c r="F37" s="47">
        <v>-4500</v>
      </c>
      <c r="G37" s="47">
        <v>4500</v>
      </c>
      <c r="H37" s="47">
        <v>0</v>
      </c>
      <c r="I37" s="127">
        <v>0.01</v>
      </c>
      <c r="J37" s="45" t="s">
        <v>58</v>
      </c>
      <c r="K37" s="51"/>
      <c r="L37" s="45" t="s">
        <v>147</v>
      </c>
      <c r="M37" s="43">
        <f t="shared" ref="M37:M39" si="5">IF(A37&lt;&gt;"",$D$5,"")</f>
        <v>55</v>
      </c>
      <c r="N37" s="43">
        <f t="shared" ref="N37:N39" si="6">IF(A37&lt;&gt;"",$D$4,"")</f>
        <v>5</v>
      </c>
      <c r="O37" s="104">
        <f t="shared" ref="O37:O38" si="7">IF(A37&lt;&gt;"",M37*2^9+A37,"")</f>
        <v>28179</v>
      </c>
      <c r="P37" s="105" t="str">
        <f>IF(A37&lt;&gt;"","0x" &amp;DEC2HEX( O37,4),"")</f>
        <v>0x6E13</v>
      </c>
      <c r="Q37" s="106"/>
      <c r="R37" s="105"/>
      <c r="S37" s="62"/>
      <c r="T37" s="62"/>
      <c r="U37" s="62"/>
      <c r="V37" s="57"/>
      <c r="W37" s="58"/>
      <c r="X37" s="58"/>
      <c r="Y37" s="57"/>
      <c r="Z37" s="58"/>
      <c r="AA37" s="58"/>
      <c r="AD37" s="107"/>
    </row>
    <row r="38" spans="1:30" customFormat="1" ht="15" x14ac:dyDescent="0.25">
      <c r="A38" s="43"/>
      <c r="B38" s="44"/>
      <c r="C38" s="50"/>
      <c r="D38" s="43"/>
      <c r="E38" s="51"/>
      <c r="F38" s="47"/>
      <c r="G38" s="47"/>
      <c r="H38" s="47"/>
      <c r="I38" s="73"/>
      <c r="J38" s="45"/>
      <c r="K38" s="51"/>
      <c r="L38" s="45"/>
      <c r="M38" s="43" t="str">
        <f t="shared" si="5"/>
        <v/>
      </c>
      <c r="N38" s="43" t="str">
        <f t="shared" si="6"/>
        <v/>
      </c>
      <c r="O38" s="104" t="str">
        <f t="shared" si="7"/>
        <v/>
      </c>
      <c r="P38" s="105" t="str">
        <f t="shared" ref="P38:P86" si="8">IF(A38&lt;&gt;"","0x" &amp;DEC2HEX( O38,4),"")</f>
        <v/>
      </c>
      <c r="Q38" s="106"/>
      <c r="R38" s="105"/>
      <c r="S38" s="62"/>
      <c r="T38" s="62"/>
      <c r="U38" s="62"/>
      <c r="V38" s="57"/>
      <c r="W38" s="58"/>
      <c r="X38" s="58"/>
      <c r="Y38" s="57"/>
      <c r="Z38" s="58"/>
      <c r="AA38" s="58"/>
      <c r="AD38" s="107"/>
    </row>
    <row r="39" spans="1:30" customFormat="1" ht="15" customHeight="1" x14ac:dyDescent="0.25">
      <c r="A39" s="43">
        <v>20</v>
      </c>
      <c r="B39" s="44"/>
      <c r="C39" s="69" t="s">
        <v>77</v>
      </c>
      <c r="D39" s="43" t="s">
        <v>69</v>
      </c>
      <c r="E39" s="46" t="s">
        <v>38</v>
      </c>
      <c r="F39" s="47">
        <v>0</v>
      </c>
      <c r="G39" s="47">
        <v>20000</v>
      </c>
      <c r="H39" s="47"/>
      <c r="I39" s="74">
        <v>0</v>
      </c>
      <c r="J39" s="110" t="s">
        <v>78</v>
      </c>
      <c r="K39" s="51"/>
      <c r="L39" s="69" t="s">
        <v>79</v>
      </c>
      <c r="M39" s="43">
        <f t="shared" si="5"/>
        <v>55</v>
      </c>
      <c r="N39" s="43">
        <f t="shared" si="6"/>
        <v>5</v>
      </c>
      <c r="O39" s="104">
        <f>IF(A39&lt;&gt;"",M39*2^9+A39,"")</f>
        <v>28180</v>
      </c>
      <c r="P39" s="105" t="str">
        <f t="shared" si="8"/>
        <v>0x6E14</v>
      </c>
      <c r="Q39" s="106"/>
      <c r="R39" s="105"/>
      <c r="S39" s="62"/>
      <c r="T39" s="62"/>
      <c r="U39" s="62"/>
      <c r="V39" s="57"/>
      <c r="W39" s="107"/>
      <c r="X39" s="111"/>
      <c r="Y39" s="57"/>
      <c r="Z39" s="58"/>
      <c r="AA39" s="58"/>
      <c r="AD39" s="107"/>
    </row>
    <row r="40" spans="1:30" customFormat="1" ht="15" customHeight="1" x14ac:dyDescent="0.25">
      <c r="A40" s="43"/>
      <c r="B40" s="44"/>
      <c r="C40" s="69"/>
      <c r="D40" s="43"/>
      <c r="E40" s="46"/>
      <c r="F40" s="47"/>
      <c r="G40" s="47"/>
      <c r="H40" s="47"/>
      <c r="I40" s="75"/>
      <c r="J40" s="110"/>
      <c r="K40" s="51"/>
      <c r="L40" s="69"/>
      <c r="M40" s="43"/>
      <c r="N40" s="43"/>
      <c r="O40" s="104"/>
      <c r="P40" s="105"/>
      <c r="Q40" s="106"/>
      <c r="R40" s="105"/>
      <c r="S40" s="62"/>
      <c r="T40" s="62"/>
      <c r="U40" s="62"/>
      <c r="V40" s="57"/>
      <c r="W40" s="107"/>
      <c r="X40" s="111"/>
      <c r="Y40" s="57"/>
      <c r="Z40" s="58"/>
      <c r="AA40" s="58"/>
      <c r="AD40" s="107"/>
    </row>
    <row r="41" spans="1:30" customFormat="1" ht="15" customHeight="1" x14ac:dyDescent="0.25">
      <c r="A41" s="43">
        <v>23</v>
      </c>
      <c r="B41" s="44"/>
      <c r="C41" s="69" t="s">
        <v>163</v>
      </c>
      <c r="D41" s="43" t="s">
        <v>106</v>
      </c>
      <c r="E41" s="51" t="s">
        <v>49</v>
      </c>
      <c r="F41" s="47">
        <v>0</v>
      </c>
      <c r="G41" s="47">
        <v>65535</v>
      </c>
      <c r="H41" s="47"/>
      <c r="I41" s="75">
        <v>1</v>
      </c>
      <c r="J41" s="110"/>
      <c r="K41" s="51"/>
      <c r="L41" s="69" t="s">
        <v>116</v>
      </c>
      <c r="M41" s="43">
        <v>55</v>
      </c>
      <c r="N41" s="43">
        <v>5</v>
      </c>
      <c r="O41" s="104">
        <f>IF(A41&lt;&gt;"",M41*2^9+A41,"")</f>
        <v>28183</v>
      </c>
      <c r="P41" s="105" t="str">
        <f t="shared" si="8"/>
        <v>0x6E17</v>
      </c>
      <c r="Q41" s="106"/>
      <c r="R41" s="105"/>
      <c r="S41" s="62"/>
      <c r="T41" s="62"/>
      <c r="U41" s="62"/>
      <c r="V41" s="57"/>
      <c r="W41" s="107"/>
      <c r="X41" s="111"/>
      <c r="Y41" s="57" t="s">
        <v>163</v>
      </c>
      <c r="Z41" s="58" t="s">
        <v>107</v>
      </c>
      <c r="AA41" s="58">
        <v>0</v>
      </c>
      <c r="AD41" s="107"/>
    </row>
    <row r="42" spans="1:30" customFormat="1" ht="15" customHeight="1" x14ac:dyDescent="0.25">
      <c r="A42" s="43"/>
      <c r="B42" s="44"/>
      <c r="C42" s="51" t="s">
        <v>43</v>
      </c>
      <c r="D42" s="43"/>
      <c r="E42" s="46"/>
      <c r="F42" s="47"/>
      <c r="G42" s="47"/>
      <c r="H42" s="47"/>
      <c r="I42" s="75"/>
      <c r="J42" s="110"/>
      <c r="K42" s="51"/>
      <c r="L42" s="69"/>
      <c r="M42" s="43"/>
      <c r="N42" s="43"/>
      <c r="O42" s="104"/>
      <c r="P42" s="105"/>
      <c r="Q42" s="106"/>
      <c r="R42" s="105"/>
      <c r="S42" s="62"/>
      <c r="T42" s="62"/>
      <c r="U42" s="62"/>
      <c r="V42" s="57"/>
      <c r="W42" s="107"/>
      <c r="X42" s="111"/>
      <c r="Y42" s="57" t="s">
        <v>163</v>
      </c>
      <c r="Z42" s="58" t="s">
        <v>108</v>
      </c>
      <c r="AA42" s="58">
        <v>1</v>
      </c>
      <c r="AD42" s="107"/>
    </row>
    <row r="43" spans="1:30" customFormat="1" ht="15" customHeight="1" x14ac:dyDescent="0.25">
      <c r="A43" s="43">
        <v>24</v>
      </c>
      <c r="B43" s="44"/>
      <c r="C43" s="69" t="s">
        <v>164</v>
      </c>
      <c r="D43" s="43" t="s">
        <v>106</v>
      </c>
      <c r="E43" s="51" t="s">
        <v>49</v>
      </c>
      <c r="F43" s="47">
        <v>0</v>
      </c>
      <c r="G43" s="47">
        <v>65535</v>
      </c>
      <c r="H43" s="47"/>
      <c r="I43" s="75">
        <v>1</v>
      </c>
      <c r="J43" s="110"/>
      <c r="K43" s="51"/>
      <c r="L43" s="69" t="s">
        <v>115</v>
      </c>
      <c r="M43" s="43">
        <v>55</v>
      </c>
      <c r="N43" s="43">
        <v>5</v>
      </c>
      <c r="O43" s="104">
        <f>IF(A43&lt;&gt;"",M43*2^9+A43,"")</f>
        <v>28184</v>
      </c>
      <c r="P43" s="105" t="str">
        <f>IF(A43&lt;&gt;"","0x" &amp;DEC2HEX( O43,4),"")</f>
        <v>0x6E18</v>
      </c>
      <c r="Q43" s="106"/>
      <c r="R43" s="105"/>
      <c r="S43" s="62"/>
      <c r="T43" s="62"/>
      <c r="U43" s="62"/>
      <c r="V43" s="57"/>
      <c r="W43" s="107"/>
      <c r="X43" s="111"/>
      <c r="Y43" s="57" t="s">
        <v>164</v>
      </c>
      <c r="Z43" s="58" t="s">
        <v>107</v>
      </c>
      <c r="AA43" s="58">
        <v>0</v>
      </c>
      <c r="AD43" s="107"/>
    </row>
    <row r="44" spans="1:30" customFormat="1" ht="15" customHeight="1" x14ac:dyDescent="0.25">
      <c r="A44" s="43"/>
      <c r="B44" s="44"/>
      <c r="C44" s="51" t="s">
        <v>43</v>
      </c>
      <c r="D44" s="43"/>
      <c r="E44" s="46"/>
      <c r="F44" s="47"/>
      <c r="G44" s="47"/>
      <c r="H44" s="47"/>
      <c r="I44" s="75"/>
      <c r="J44" s="110"/>
      <c r="K44" s="51"/>
      <c r="L44" s="69"/>
      <c r="M44" s="43"/>
      <c r="N44" s="43"/>
      <c r="O44" s="104"/>
      <c r="P44" s="105" t="str">
        <f t="shared" ref="P44:P47" si="9">IF(A44&lt;&gt;"","0x" &amp;DEC2HEX( O44,4),"")</f>
        <v/>
      </c>
      <c r="Q44" s="106"/>
      <c r="R44" s="105"/>
      <c r="S44" s="62"/>
      <c r="T44" s="62"/>
      <c r="U44" s="62"/>
      <c r="V44" s="57"/>
      <c r="W44" s="107"/>
      <c r="X44" s="111"/>
      <c r="Y44" s="57" t="s">
        <v>164</v>
      </c>
      <c r="Z44" s="58" t="s">
        <v>108</v>
      </c>
      <c r="AA44" s="58">
        <v>1</v>
      </c>
      <c r="AD44" s="107"/>
    </row>
    <row r="45" spans="1:30" customFormat="1" ht="15" customHeight="1" x14ac:dyDescent="0.25">
      <c r="A45" s="43">
        <v>25</v>
      </c>
      <c r="B45" s="44"/>
      <c r="C45" s="126" t="s">
        <v>165</v>
      </c>
      <c r="D45" s="43" t="s">
        <v>106</v>
      </c>
      <c r="E45" s="125" t="s">
        <v>49</v>
      </c>
      <c r="F45" s="47">
        <v>-45</v>
      </c>
      <c r="G45" s="47">
        <v>45</v>
      </c>
      <c r="H45" s="47">
        <v>0</v>
      </c>
      <c r="I45" s="75">
        <v>0.01</v>
      </c>
      <c r="J45" s="110" t="s">
        <v>58</v>
      </c>
      <c r="K45" s="51"/>
      <c r="L45" s="69" t="s">
        <v>122</v>
      </c>
      <c r="M45" s="43">
        <v>55</v>
      </c>
      <c r="N45" s="43">
        <v>5</v>
      </c>
      <c r="O45" s="104">
        <f>IF(A45&lt;&gt;"",M45*2^9+A45,"")</f>
        <v>28185</v>
      </c>
      <c r="P45" s="105" t="str">
        <f>IF(A45&lt;&gt;"","0x" &amp;DEC2HEX( O45,4),"")</f>
        <v>0x6E19</v>
      </c>
      <c r="Q45" s="106"/>
      <c r="R45" s="105"/>
      <c r="S45" s="62"/>
      <c r="T45" s="62"/>
      <c r="U45" s="62"/>
      <c r="V45" s="57"/>
      <c r="W45" s="107"/>
      <c r="X45" s="111"/>
      <c r="Y45" s="57" t="s">
        <v>165</v>
      </c>
      <c r="Z45" s="58" t="s">
        <v>107</v>
      </c>
      <c r="AA45" s="58">
        <v>0</v>
      </c>
      <c r="AD45" s="107"/>
    </row>
    <row r="46" spans="1:30" customFormat="1" ht="15" customHeight="1" x14ac:dyDescent="0.25">
      <c r="A46" s="43"/>
      <c r="B46" s="44"/>
      <c r="C46" s="51" t="s">
        <v>43</v>
      </c>
      <c r="D46" s="43"/>
      <c r="E46" s="46"/>
      <c r="F46" s="47"/>
      <c r="G46" s="47"/>
      <c r="H46" s="47"/>
      <c r="I46" s="75"/>
      <c r="J46" s="110"/>
      <c r="K46" s="51"/>
      <c r="L46" s="69"/>
      <c r="M46" s="43"/>
      <c r="N46" s="43"/>
      <c r="O46" s="104"/>
      <c r="P46" s="105"/>
      <c r="Q46" s="106"/>
      <c r="R46" s="105"/>
      <c r="S46" s="62"/>
      <c r="T46" s="62"/>
      <c r="U46" s="62"/>
      <c r="V46" s="57"/>
      <c r="W46" s="107"/>
      <c r="X46" s="111"/>
      <c r="Y46" s="57" t="s">
        <v>165</v>
      </c>
      <c r="Z46" s="58" t="s">
        <v>108</v>
      </c>
      <c r="AA46" s="58">
        <v>1</v>
      </c>
      <c r="AD46" s="107"/>
    </row>
    <row r="47" spans="1:30" customFormat="1" ht="15" customHeight="1" x14ac:dyDescent="0.25">
      <c r="A47" s="43">
        <v>26</v>
      </c>
      <c r="B47" s="44"/>
      <c r="C47" s="126" t="s">
        <v>137</v>
      </c>
      <c r="D47" s="43" t="s">
        <v>106</v>
      </c>
      <c r="E47" s="125" t="s">
        <v>49</v>
      </c>
      <c r="F47" s="47">
        <v>0</v>
      </c>
      <c r="G47" s="47">
        <v>100</v>
      </c>
      <c r="H47" s="47">
        <v>0</v>
      </c>
      <c r="I47" s="75">
        <v>1</v>
      </c>
      <c r="J47" s="110" t="s">
        <v>112</v>
      </c>
      <c r="K47" s="51"/>
      <c r="L47" s="69" t="s">
        <v>138</v>
      </c>
      <c r="M47" s="43">
        <v>55</v>
      </c>
      <c r="N47" s="43">
        <v>5</v>
      </c>
      <c r="O47" s="104">
        <f>IF(A47&lt;&gt;"",M47*2^9+A47,"")</f>
        <v>28186</v>
      </c>
      <c r="P47" s="105" t="str">
        <f t="shared" si="9"/>
        <v>0x6E1A</v>
      </c>
      <c r="Q47" s="106"/>
      <c r="R47" s="105"/>
      <c r="S47" s="62"/>
      <c r="T47" s="62"/>
      <c r="U47" s="62"/>
      <c r="V47" s="57"/>
      <c r="W47" s="107"/>
      <c r="X47" s="111"/>
      <c r="Y47" s="57"/>
      <c r="Z47" s="58"/>
      <c r="AA47" s="58"/>
      <c r="AD47" s="107"/>
    </row>
    <row r="48" spans="1:30" customFormat="1" ht="15" customHeight="1" x14ac:dyDescent="0.25">
      <c r="A48" s="43">
        <v>27</v>
      </c>
      <c r="B48" s="44"/>
      <c r="C48" s="126" t="s">
        <v>133</v>
      </c>
      <c r="D48" s="43" t="s">
        <v>106</v>
      </c>
      <c r="E48" s="46" t="s">
        <v>49</v>
      </c>
      <c r="F48" s="47">
        <v>0</v>
      </c>
      <c r="G48" s="47">
        <v>100</v>
      </c>
      <c r="H48" s="47">
        <v>0</v>
      </c>
      <c r="I48" s="75">
        <v>1</v>
      </c>
      <c r="J48" s="110" t="s">
        <v>112</v>
      </c>
      <c r="K48" s="51"/>
      <c r="L48" s="69" t="s">
        <v>134</v>
      </c>
      <c r="M48" s="43">
        <v>55</v>
      </c>
      <c r="N48" s="43">
        <v>5</v>
      </c>
      <c r="O48" s="104">
        <f>IF(A48&lt;&gt;"",M48*2^9+A48,"")</f>
        <v>28187</v>
      </c>
      <c r="P48" s="105" t="str">
        <f t="shared" ref="P48" si="10">IF(A48&lt;&gt;"","0x" &amp;DEC2HEX( O48,4),"")</f>
        <v>0x6E1B</v>
      </c>
      <c r="Q48" s="106"/>
      <c r="R48" s="105"/>
      <c r="S48" s="62"/>
      <c r="T48" s="62"/>
      <c r="U48" s="62"/>
      <c r="V48" s="57"/>
      <c r="W48" s="107"/>
      <c r="X48" s="111"/>
      <c r="Y48" s="57"/>
      <c r="Z48" s="58"/>
      <c r="AA48" s="58"/>
      <c r="AD48" s="107"/>
    </row>
    <row r="49" spans="1:30" customFormat="1" ht="15" customHeight="1" x14ac:dyDescent="0.25">
      <c r="A49" s="43"/>
      <c r="B49" s="44"/>
      <c r="C49" s="126"/>
      <c r="D49" s="43"/>
      <c r="E49" s="46"/>
      <c r="F49" s="47"/>
      <c r="G49" s="47"/>
      <c r="H49" s="47"/>
      <c r="I49" s="75"/>
      <c r="J49" s="110"/>
      <c r="K49" s="51"/>
      <c r="L49" s="69"/>
      <c r="M49" s="43"/>
      <c r="N49" s="43"/>
      <c r="O49" s="104"/>
      <c r="P49" s="105"/>
      <c r="Q49" s="106"/>
      <c r="R49" s="105"/>
      <c r="S49" s="62"/>
      <c r="T49" s="62"/>
      <c r="U49" s="62"/>
      <c r="V49" s="57"/>
      <c r="W49" s="107"/>
      <c r="X49" s="111"/>
      <c r="Y49" s="57"/>
      <c r="Z49" s="58"/>
      <c r="AA49" s="58"/>
      <c r="AD49" s="107"/>
    </row>
    <row r="50" spans="1:30" customFormat="1" ht="15" customHeight="1" x14ac:dyDescent="0.25">
      <c r="A50" s="43">
        <v>31</v>
      </c>
      <c r="B50" s="44"/>
      <c r="C50" s="126" t="s">
        <v>135</v>
      </c>
      <c r="D50" s="43" t="s">
        <v>69</v>
      </c>
      <c r="E50" s="46" t="s">
        <v>38</v>
      </c>
      <c r="F50" s="47">
        <v>0</v>
      </c>
      <c r="G50" s="47">
        <v>5000</v>
      </c>
      <c r="H50" s="47">
        <v>0</v>
      </c>
      <c r="I50" s="75">
        <v>1</v>
      </c>
      <c r="J50" s="110" t="s">
        <v>113</v>
      </c>
      <c r="K50" s="51"/>
      <c r="L50" s="69" t="s">
        <v>136</v>
      </c>
      <c r="M50" s="43">
        <v>55</v>
      </c>
      <c r="N50" s="43">
        <v>5</v>
      </c>
      <c r="O50" s="104">
        <f t="shared" ref="O50:O86" si="11">IF(A50&lt;&gt;"",M50*2^9+A50,"")</f>
        <v>28191</v>
      </c>
      <c r="P50" s="105" t="str">
        <f t="shared" ref="P50" si="12">IF(A50&lt;&gt;"","0x" &amp;DEC2HEX( O50,4),"")</f>
        <v>0x6E1F</v>
      </c>
      <c r="Q50" s="106"/>
      <c r="R50" s="105"/>
      <c r="S50" s="62"/>
      <c r="T50" s="62"/>
      <c r="U50" s="62"/>
      <c r="V50" s="57"/>
      <c r="W50" s="107"/>
      <c r="X50" s="111"/>
      <c r="Y50" s="57"/>
      <c r="Z50" s="58"/>
      <c r="AA50" s="58"/>
      <c r="AD50" s="107"/>
    </row>
    <row r="51" spans="1:30" customFormat="1" ht="15" customHeight="1" x14ac:dyDescent="0.25">
      <c r="A51" s="43">
        <v>32</v>
      </c>
      <c r="B51" s="44"/>
      <c r="C51" s="126" t="s">
        <v>139</v>
      </c>
      <c r="D51" s="43" t="s">
        <v>69</v>
      </c>
      <c r="E51" s="46" t="s">
        <v>38</v>
      </c>
      <c r="F51" s="47">
        <v>0</v>
      </c>
      <c r="G51" s="47">
        <v>5000</v>
      </c>
      <c r="H51" s="47">
        <v>0</v>
      </c>
      <c r="I51" s="75">
        <v>1</v>
      </c>
      <c r="J51" s="110" t="s">
        <v>113</v>
      </c>
      <c r="K51" s="51"/>
      <c r="L51" s="69" t="s">
        <v>140</v>
      </c>
      <c r="M51" s="43">
        <v>55</v>
      </c>
      <c r="N51" s="43">
        <v>5</v>
      </c>
      <c r="O51" s="104">
        <f t="shared" si="11"/>
        <v>28192</v>
      </c>
      <c r="P51" s="105" t="str">
        <f t="shared" ref="P51" si="13">IF(A51&lt;&gt;"","0x" &amp;DEC2HEX( O51,4),"")</f>
        <v>0x6E20</v>
      </c>
      <c r="Q51" s="106"/>
      <c r="R51" s="105"/>
      <c r="S51" s="62"/>
      <c r="T51" s="62"/>
      <c r="U51" s="62"/>
      <c r="V51" s="57"/>
      <c r="W51" s="107"/>
      <c r="X51" s="111"/>
      <c r="Y51" s="57"/>
      <c r="Z51" s="58"/>
      <c r="AA51" s="58"/>
      <c r="AD51" s="107"/>
    </row>
    <row r="52" spans="1:30" customFormat="1" ht="15" customHeight="1" x14ac:dyDescent="0.25">
      <c r="A52" s="43">
        <v>33</v>
      </c>
      <c r="B52" s="44"/>
      <c r="C52" s="126" t="s">
        <v>114</v>
      </c>
      <c r="D52" s="43" t="s">
        <v>106</v>
      </c>
      <c r="E52" s="46" t="s">
        <v>49</v>
      </c>
      <c r="F52" s="47">
        <v>0</v>
      </c>
      <c r="G52" s="47">
        <v>65535</v>
      </c>
      <c r="H52" s="47">
        <v>0</v>
      </c>
      <c r="I52" s="75">
        <v>1</v>
      </c>
      <c r="J52" s="110"/>
      <c r="K52" s="51"/>
      <c r="L52" s="69" t="s">
        <v>117</v>
      </c>
      <c r="M52" s="43">
        <v>55</v>
      </c>
      <c r="N52" s="43">
        <v>5</v>
      </c>
      <c r="O52" s="104">
        <f t="shared" si="11"/>
        <v>28193</v>
      </c>
      <c r="P52" s="105" t="str">
        <f t="shared" ref="P52" si="14">IF(A52&lt;&gt;"","0x" &amp;DEC2HEX( O52,4),"")</f>
        <v>0x6E21</v>
      </c>
      <c r="Q52" s="106"/>
      <c r="R52" s="105"/>
      <c r="S52" s="62"/>
      <c r="T52" s="62"/>
      <c r="U52" s="62"/>
      <c r="V52" s="57"/>
      <c r="W52" s="107"/>
      <c r="X52" s="111"/>
      <c r="Y52" s="57" t="s">
        <v>114</v>
      </c>
      <c r="Z52" s="58" t="s">
        <v>107</v>
      </c>
      <c r="AA52" s="58">
        <v>0</v>
      </c>
      <c r="AD52" s="107"/>
    </row>
    <row r="53" spans="1:30" customFormat="1" ht="15" customHeight="1" x14ac:dyDescent="0.25">
      <c r="A53" s="43"/>
      <c r="B53" s="44"/>
      <c r="C53" s="51" t="s">
        <v>43</v>
      </c>
      <c r="D53" s="43"/>
      <c r="E53" s="46"/>
      <c r="F53" s="47"/>
      <c r="G53" s="47"/>
      <c r="H53" s="47"/>
      <c r="I53" s="75"/>
      <c r="J53" s="110"/>
      <c r="K53" s="51"/>
      <c r="L53" s="69"/>
      <c r="M53" s="43"/>
      <c r="N53" s="43"/>
      <c r="O53" s="104"/>
      <c r="P53" s="105"/>
      <c r="Q53" s="106"/>
      <c r="R53" s="105"/>
      <c r="S53" s="62"/>
      <c r="T53" s="62"/>
      <c r="U53" s="62"/>
      <c r="V53" s="57"/>
      <c r="W53" s="107"/>
      <c r="X53" s="111"/>
      <c r="Y53" s="57" t="s">
        <v>114</v>
      </c>
      <c r="Z53" s="58" t="s">
        <v>108</v>
      </c>
      <c r="AA53" s="58">
        <v>1</v>
      </c>
      <c r="AD53" s="107"/>
    </row>
    <row r="54" spans="1:30" customFormat="1" ht="15" customHeight="1" x14ac:dyDescent="0.25">
      <c r="A54" s="43">
        <v>34</v>
      </c>
      <c r="B54" s="44"/>
      <c r="C54" s="126" t="s">
        <v>118</v>
      </c>
      <c r="D54" s="43" t="s">
        <v>106</v>
      </c>
      <c r="E54" s="46" t="s">
        <v>49</v>
      </c>
      <c r="F54" s="47">
        <v>0</v>
      </c>
      <c r="G54" s="47">
        <v>65535</v>
      </c>
      <c r="H54" s="47">
        <v>0</v>
      </c>
      <c r="I54" s="75">
        <v>1</v>
      </c>
      <c r="J54" s="110"/>
      <c r="K54" s="51"/>
      <c r="L54" s="69" t="s">
        <v>119</v>
      </c>
      <c r="M54" s="43">
        <v>55</v>
      </c>
      <c r="N54" s="43">
        <v>5</v>
      </c>
      <c r="O54" s="104">
        <f t="shared" si="11"/>
        <v>28194</v>
      </c>
      <c r="P54" s="105" t="str">
        <f t="shared" ref="P54:P56" si="15">IF(A54&lt;&gt;"","0x" &amp;DEC2HEX( O54,4),"")</f>
        <v>0x6E22</v>
      </c>
      <c r="Q54" s="106"/>
      <c r="R54" s="105"/>
      <c r="S54" s="62"/>
      <c r="T54" s="62"/>
      <c r="U54" s="62"/>
      <c r="V54" s="57"/>
      <c r="W54" s="107"/>
      <c r="X54" s="111"/>
      <c r="Y54" s="57" t="s">
        <v>118</v>
      </c>
      <c r="Z54" s="58" t="s">
        <v>107</v>
      </c>
      <c r="AA54" s="58">
        <v>0</v>
      </c>
      <c r="AD54" s="107"/>
    </row>
    <row r="55" spans="1:30" customFormat="1" ht="15" customHeight="1" x14ac:dyDescent="0.25">
      <c r="A55" s="43"/>
      <c r="B55" s="44"/>
      <c r="C55" s="51" t="s">
        <v>43</v>
      </c>
      <c r="D55" s="43"/>
      <c r="E55" s="46"/>
      <c r="F55" s="47"/>
      <c r="G55" s="47"/>
      <c r="H55" s="47"/>
      <c r="I55" s="75"/>
      <c r="J55" s="110"/>
      <c r="K55" s="51"/>
      <c r="L55" s="69"/>
      <c r="M55" s="43"/>
      <c r="N55" s="43"/>
      <c r="O55" s="104"/>
      <c r="P55" s="105"/>
      <c r="Q55" s="106"/>
      <c r="R55" s="105"/>
      <c r="S55" s="62"/>
      <c r="T55" s="62"/>
      <c r="U55" s="62"/>
      <c r="V55" s="57"/>
      <c r="W55" s="107"/>
      <c r="X55" s="111"/>
      <c r="Y55" s="57" t="s">
        <v>118</v>
      </c>
      <c r="Z55" s="58" t="s">
        <v>108</v>
      </c>
      <c r="AA55" s="58">
        <v>1</v>
      </c>
      <c r="AD55" s="107"/>
    </row>
    <row r="56" spans="1:30" customFormat="1" ht="15" customHeight="1" x14ac:dyDescent="0.25">
      <c r="A56" s="43">
        <v>35</v>
      </c>
      <c r="B56" s="44"/>
      <c r="C56" s="126" t="s">
        <v>120</v>
      </c>
      <c r="D56" s="43" t="s">
        <v>69</v>
      </c>
      <c r="E56" s="46" t="s">
        <v>49</v>
      </c>
      <c r="F56" s="47">
        <v>0</v>
      </c>
      <c r="G56" s="47">
        <v>5000</v>
      </c>
      <c r="H56" s="47">
        <v>0</v>
      </c>
      <c r="I56" s="75">
        <v>1</v>
      </c>
      <c r="J56" s="110" t="s">
        <v>113</v>
      </c>
      <c r="K56" s="51"/>
      <c r="L56" s="69" t="s">
        <v>149</v>
      </c>
      <c r="M56" s="43">
        <v>55</v>
      </c>
      <c r="N56" s="43">
        <v>5</v>
      </c>
      <c r="O56" s="104">
        <f t="shared" si="11"/>
        <v>28195</v>
      </c>
      <c r="P56" s="105" t="str">
        <f t="shared" si="15"/>
        <v>0x6E23</v>
      </c>
      <c r="Q56" s="106"/>
      <c r="R56" s="105"/>
      <c r="S56" s="62"/>
      <c r="T56" s="62"/>
      <c r="U56" s="62"/>
      <c r="V56" s="57"/>
      <c r="W56" s="107"/>
      <c r="X56" s="111"/>
      <c r="Y56" s="57" t="s">
        <v>120</v>
      </c>
      <c r="Z56" s="58" t="s">
        <v>61</v>
      </c>
      <c r="AA56" s="58">
        <v>0</v>
      </c>
      <c r="AD56" s="107"/>
    </row>
    <row r="57" spans="1:30" customFormat="1" ht="15" customHeight="1" x14ac:dyDescent="0.25">
      <c r="A57" s="43"/>
      <c r="B57" s="44"/>
      <c r="C57" s="112" t="s">
        <v>43</v>
      </c>
      <c r="D57" s="43"/>
      <c r="E57" s="46"/>
      <c r="F57" s="47"/>
      <c r="G57" s="47"/>
      <c r="H57" s="47"/>
      <c r="I57" s="75"/>
      <c r="J57" s="110"/>
      <c r="K57" s="51"/>
      <c r="L57" s="69"/>
      <c r="M57" s="43"/>
      <c r="N57" s="43"/>
      <c r="O57" s="104"/>
      <c r="P57" s="105"/>
      <c r="Q57" s="106"/>
      <c r="R57" s="105"/>
      <c r="S57" s="62"/>
      <c r="T57" s="62"/>
      <c r="U57" s="62"/>
      <c r="V57" s="57"/>
      <c r="W57" s="107"/>
      <c r="X57" s="111"/>
      <c r="Y57" s="57" t="s">
        <v>120</v>
      </c>
      <c r="Z57" s="58" t="s">
        <v>62</v>
      </c>
      <c r="AA57" s="58">
        <v>1</v>
      </c>
      <c r="AD57" s="107"/>
    </row>
    <row r="58" spans="1:30" customFormat="1" ht="15" customHeight="1" x14ac:dyDescent="0.25">
      <c r="A58" s="43">
        <v>36</v>
      </c>
      <c r="B58" s="44"/>
      <c r="C58" s="126" t="s">
        <v>166</v>
      </c>
      <c r="D58" s="43" t="s">
        <v>106</v>
      </c>
      <c r="E58" s="46" t="s">
        <v>49</v>
      </c>
      <c r="F58" s="47">
        <v>0</v>
      </c>
      <c r="G58" s="47">
        <v>65535</v>
      </c>
      <c r="H58" s="47">
        <v>0</v>
      </c>
      <c r="I58" s="75">
        <v>1</v>
      </c>
      <c r="J58" s="110"/>
      <c r="K58" s="51"/>
      <c r="L58" s="69" t="s">
        <v>121</v>
      </c>
      <c r="M58" s="43">
        <v>55</v>
      </c>
      <c r="N58" s="43">
        <v>5</v>
      </c>
      <c r="O58" s="104">
        <f>IF(A58&lt;&gt;"",M58*2^9+A58,"")</f>
        <v>28196</v>
      </c>
      <c r="P58" s="105" t="str">
        <f>IF(A58&lt;&gt;"","0x" &amp;DEC2HEX( O58,4),"")</f>
        <v>0x6E24</v>
      </c>
      <c r="Q58" s="106"/>
      <c r="R58" s="105"/>
      <c r="S58" s="62"/>
      <c r="T58" s="62"/>
      <c r="U58" s="62"/>
      <c r="V58" s="57"/>
      <c r="W58" s="107"/>
      <c r="X58" s="111"/>
      <c r="Y58" s="57" t="s">
        <v>166</v>
      </c>
      <c r="Z58" s="58" t="s">
        <v>107</v>
      </c>
      <c r="AA58" s="58">
        <v>0</v>
      </c>
      <c r="AD58" s="107"/>
    </row>
    <row r="59" spans="1:30" customFormat="1" ht="15" customHeight="1" x14ac:dyDescent="0.25">
      <c r="A59" s="43"/>
      <c r="B59" s="44"/>
      <c r="C59" s="112" t="s">
        <v>43</v>
      </c>
      <c r="D59" s="43"/>
      <c r="E59" s="125"/>
      <c r="F59" s="47"/>
      <c r="G59" s="47"/>
      <c r="H59" s="47"/>
      <c r="I59" s="75"/>
      <c r="J59" s="110"/>
      <c r="K59" s="51"/>
      <c r="L59" s="69"/>
      <c r="M59" s="43"/>
      <c r="N59" s="43"/>
      <c r="O59" s="104"/>
      <c r="P59" s="105"/>
      <c r="Q59" s="106"/>
      <c r="R59" s="105"/>
      <c r="S59" s="62"/>
      <c r="T59" s="62"/>
      <c r="U59" s="62"/>
      <c r="V59" s="57"/>
      <c r="W59" s="107"/>
      <c r="X59" s="107"/>
      <c r="Y59" s="57" t="s">
        <v>166</v>
      </c>
      <c r="Z59" s="58" t="s">
        <v>108</v>
      </c>
      <c r="AA59" s="58">
        <v>1</v>
      </c>
      <c r="AD59" s="107"/>
    </row>
    <row r="60" spans="1:30" customFormat="1" ht="15" customHeight="1" x14ac:dyDescent="0.25">
      <c r="A60" s="43">
        <v>41</v>
      </c>
      <c r="B60" s="44"/>
      <c r="C60" s="126" t="s">
        <v>153</v>
      </c>
      <c r="D60" s="43" t="s">
        <v>66</v>
      </c>
      <c r="E60" s="46" t="s">
        <v>49</v>
      </c>
      <c r="F60" s="47">
        <v>0</v>
      </c>
      <c r="G60" s="47">
        <v>3000</v>
      </c>
      <c r="H60" s="47">
        <v>0</v>
      </c>
      <c r="I60" s="75">
        <v>1</v>
      </c>
      <c r="J60" s="110" t="s">
        <v>113</v>
      </c>
      <c r="K60" s="51"/>
      <c r="L60" s="69" t="s">
        <v>154</v>
      </c>
      <c r="M60" s="43">
        <v>55</v>
      </c>
      <c r="N60" s="43">
        <v>5</v>
      </c>
      <c r="O60" s="104">
        <f>IF(A60&lt;&gt;"",M60*2^9+A60,"")</f>
        <v>28201</v>
      </c>
      <c r="P60" s="105" t="str">
        <f>IF(A60&lt;&gt;"","0x" &amp;DEC2HEX( O60,4),"")</f>
        <v>0x6E29</v>
      </c>
      <c r="Q60" s="106"/>
      <c r="R60" s="105"/>
      <c r="S60" s="62"/>
      <c r="T60" s="62"/>
      <c r="U60" s="62"/>
      <c r="V60" s="57"/>
      <c r="W60" s="107"/>
      <c r="X60" s="107"/>
      <c r="Y60" s="57"/>
      <c r="Z60" s="58"/>
      <c r="AA60" s="58"/>
      <c r="AD60" s="107"/>
    </row>
    <row r="61" spans="1:30" customFormat="1" ht="15" customHeight="1" x14ac:dyDescent="0.25">
      <c r="A61" s="43">
        <v>42</v>
      </c>
      <c r="B61" s="44"/>
      <c r="C61" s="126" t="s">
        <v>155</v>
      </c>
      <c r="D61" s="43" t="s">
        <v>69</v>
      </c>
      <c r="E61" s="125" t="s">
        <v>38</v>
      </c>
      <c r="F61" s="47">
        <v>0</v>
      </c>
      <c r="G61" s="47">
        <v>3</v>
      </c>
      <c r="H61" s="47">
        <v>0</v>
      </c>
      <c r="I61" s="75">
        <v>1</v>
      </c>
      <c r="J61" s="110" t="s">
        <v>81</v>
      </c>
      <c r="K61" s="51"/>
      <c r="L61" s="69" t="s">
        <v>156</v>
      </c>
      <c r="M61" s="43">
        <v>55</v>
      </c>
      <c r="N61" s="43">
        <v>5</v>
      </c>
      <c r="O61" s="104">
        <f>IF(A61&lt;&gt;"",M61*2^9+A61,"")</f>
        <v>28202</v>
      </c>
      <c r="P61" s="105" t="str">
        <f>IF(A61&lt;&gt;"","0x" &amp;DEC2HEX( O61,4),"")</f>
        <v>0x6E2A</v>
      </c>
      <c r="Q61" s="106"/>
      <c r="R61" s="105"/>
      <c r="S61" s="62"/>
      <c r="T61" s="62"/>
      <c r="U61" s="62"/>
      <c r="V61" s="57" t="s">
        <v>155</v>
      </c>
      <c r="W61" s="107" t="s">
        <v>157</v>
      </c>
      <c r="X61" s="107">
        <v>0</v>
      </c>
      <c r="Y61" s="57"/>
      <c r="Z61" s="58"/>
      <c r="AA61" s="58"/>
      <c r="AD61" s="107"/>
    </row>
    <row r="62" spans="1:30" customFormat="1" ht="15" customHeight="1" x14ac:dyDescent="0.25">
      <c r="A62" s="43"/>
      <c r="B62" s="44"/>
      <c r="C62" s="112" t="s">
        <v>43</v>
      </c>
      <c r="D62" s="43"/>
      <c r="E62" s="125"/>
      <c r="F62" s="47"/>
      <c r="G62" s="47"/>
      <c r="H62" s="47"/>
      <c r="I62" s="75"/>
      <c r="J62" s="110"/>
      <c r="K62" s="51"/>
      <c r="L62" s="69"/>
      <c r="M62" s="43"/>
      <c r="N62" s="43"/>
      <c r="O62" s="104"/>
      <c r="P62" s="105"/>
      <c r="Q62" s="106"/>
      <c r="R62" s="105"/>
      <c r="S62" s="62"/>
      <c r="T62" s="62"/>
      <c r="U62" s="62"/>
      <c r="V62" s="57" t="s">
        <v>155</v>
      </c>
      <c r="W62" s="107" t="s">
        <v>158</v>
      </c>
      <c r="X62" s="107">
        <v>1</v>
      </c>
      <c r="Y62" s="57"/>
      <c r="Z62" s="58"/>
      <c r="AA62" s="58"/>
      <c r="AD62" s="107"/>
    </row>
    <row r="63" spans="1:30" customFormat="1" ht="15" customHeight="1" x14ac:dyDescent="0.25">
      <c r="A63" s="43"/>
      <c r="B63" s="44"/>
      <c r="C63" s="112" t="s">
        <v>43</v>
      </c>
      <c r="D63" s="43"/>
      <c r="E63" s="125"/>
      <c r="F63" s="47"/>
      <c r="G63" s="47"/>
      <c r="H63" s="47"/>
      <c r="I63" s="75"/>
      <c r="J63" s="110"/>
      <c r="K63" s="51"/>
      <c r="L63" s="69"/>
      <c r="M63" s="43"/>
      <c r="N63" s="43"/>
      <c r="O63" s="104"/>
      <c r="P63" s="105"/>
      <c r="Q63" s="106"/>
      <c r="R63" s="105"/>
      <c r="S63" s="62"/>
      <c r="T63" s="62"/>
      <c r="U63" s="62"/>
      <c r="V63" s="57" t="s">
        <v>155</v>
      </c>
      <c r="W63" s="107" t="s">
        <v>159</v>
      </c>
      <c r="X63" s="107">
        <v>2</v>
      </c>
      <c r="Y63" s="57"/>
      <c r="Z63" s="58"/>
      <c r="AA63" s="58"/>
      <c r="AD63" s="107"/>
    </row>
    <row r="64" spans="1:30" customFormat="1" ht="15" customHeight="1" x14ac:dyDescent="0.25">
      <c r="A64" s="43"/>
      <c r="B64" s="44"/>
      <c r="C64" s="112" t="s">
        <v>43</v>
      </c>
      <c r="D64" s="43"/>
      <c r="E64" s="125"/>
      <c r="F64" s="47"/>
      <c r="G64" s="47"/>
      <c r="H64" s="47"/>
      <c r="I64" s="75"/>
      <c r="J64" s="110"/>
      <c r="K64" s="51"/>
      <c r="L64" s="69"/>
      <c r="M64" s="43"/>
      <c r="N64" s="43"/>
      <c r="O64" s="104"/>
      <c r="P64" s="105"/>
      <c r="Q64" s="106"/>
      <c r="R64" s="105"/>
      <c r="S64" s="62"/>
      <c r="T64" s="62"/>
      <c r="U64" s="62"/>
      <c r="V64" s="57" t="s">
        <v>155</v>
      </c>
      <c r="W64" s="128" t="s">
        <v>160</v>
      </c>
      <c r="X64" s="128">
        <v>3</v>
      </c>
      <c r="Y64" s="57"/>
      <c r="Z64" s="58"/>
      <c r="AA64" s="58"/>
      <c r="AD64" s="107"/>
    </row>
    <row r="65" spans="1:30" customFormat="1" ht="15" customHeight="1" x14ac:dyDescent="0.25">
      <c r="A65" s="43"/>
      <c r="B65" s="44"/>
      <c r="C65" s="112" t="s">
        <v>43</v>
      </c>
      <c r="D65" s="43"/>
      <c r="E65" s="125"/>
      <c r="F65" s="47"/>
      <c r="G65" s="47"/>
      <c r="H65" s="47"/>
      <c r="I65" s="75"/>
      <c r="J65" s="110"/>
      <c r="K65" s="51"/>
      <c r="L65" s="69"/>
      <c r="M65" s="43"/>
      <c r="N65" s="43"/>
      <c r="O65" s="104"/>
      <c r="P65" s="105"/>
      <c r="Q65" s="106"/>
      <c r="R65" s="105"/>
      <c r="S65" s="62"/>
      <c r="T65" s="62"/>
      <c r="U65" s="62"/>
      <c r="V65" s="57"/>
      <c r="W65" s="107"/>
      <c r="X65" s="107"/>
      <c r="Y65" s="57"/>
      <c r="Z65" s="58"/>
      <c r="AA65" s="58"/>
      <c r="AD65" s="107"/>
    </row>
    <row r="66" spans="1:30" customFormat="1" ht="15" customHeight="1" x14ac:dyDescent="0.25">
      <c r="A66" s="43"/>
      <c r="B66" s="44"/>
      <c r="C66" s="112"/>
      <c r="D66" s="43"/>
      <c r="E66" s="125"/>
      <c r="F66" s="47"/>
      <c r="G66" s="47"/>
      <c r="H66" s="47"/>
      <c r="I66" s="75"/>
      <c r="J66" s="110"/>
      <c r="K66" s="51"/>
      <c r="L66" s="69"/>
      <c r="M66" s="43"/>
      <c r="N66" s="43"/>
      <c r="O66" s="104"/>
      <c r="P66" s="105"/>
      <c r="Q66" s="106"/>
      <c r="R66" s="105"/>
      <c r="S66" s="62"/>
      <c r="T66" s="62"/>
      <c r="U66" s="62"/>
      <c r="V66" s="57"/>
      <c r="W66" s="107"/>
      <c r="X66" s="107"/>
      <c r="Y66" s="57"/>
      <c r="Z66" s="58"/>
      <c r="AA66" s="58"/>
      <c r="AD66" s="107"/>
    </row>
    <row r="67" spans="1:30" customFormat="1" ht="15" customHeight="1" x14ac:dyDescent="0.25">
      <c r="A67" s="43">
        <v>43</v>
      </c>
      <c r="B67" s="44"/>
      <c r="C67" s="130" t="s">
        <v>161</v>
      </c>
      <c r="D67" s="43" t="s">
        <v>69</v>
      </c>
      <c r="E67" s="51" t="s">
        <v>49</v>
      </c>
      <c r="F67" s="48">
        <v>0</v>
      </c>
      <c r="G67" s="48">
        <v>175</v>
      </c>
      <c r="H67" s="47">
        <v>0</v>
      </c>
      <c r="I67" s="74">
        <v>0.2</v>
      </c>
      <c r="J67" s="52" t="s">
        <v>58</v>
      </c>
      <c r="K67" s="68" t="s">
        <v>59</v>
      </c>
      <c r="L67" s="69" t="s">
        <v>162</v>
      </c>
      <c r="M67" s="43">
        <v>55</v>
      </c>
      <c r="N67" s="43">
        <v>5</v>
      </c>
      <c r="O67" s="104">
        <f>IF(A67&lt;&gt;"",M67*2^9+A67,"")</f>
        <v>28203</v>
      </c>
      <c r="P67" s="105" t="str">
        <f>IF(A67&lt;&gt;"","0x" &amp;DEC2HEX( O67,4),"")</f>
        <v>0x6E2B</v>
      </c>
      <c r="Q67" s="106"/>
      <c r="R67" s="105"/>
      <c r="S67" s="62"/>
      <c r="T67" s="62"/>
      <c r="U67" s="62"/>
      <c r="V67" s="57"/>
      <c r="W67" s="107"/>
      <c r="X67" s="107"/>
      <c r="Y67" s="57" t="s">
        <v>161</v>
      </c>
      <c r="Z67" s="58" t="s">
        <v>61</v>
      </c>
      <c r="AA67" s="58">
        <v>0</v>
      </c>
      <c r="AD67" s="107"/>
    </row>
    <row r="68" spans="1:30" customFormat="1" ht="15" customHeight="1" x14ac:dyDescent="0.25">
      <c r="A68" s="43"/>
      <c r="B68" s="44"/>
      <c r="C68" s="112" t="s">
        <v>43</v>
      </c>
      <c r="D68" s="43"/>
      <c r="E68" s="125"/>
      <c r="F68" s="47"/>
      <c r="G68" s="47"/>
      <c r="H68" s="47"/>
      <c r="I68" s="75"/>
      <c r="J68" s="110"/>
      <c r="K68" s="51"/>
      <c r="L68" s="69"/>
      <c r="M68" s="43"/>
      <c r="N68" s="43"/>
      <c r="O68" s="104"/>
      <c r="P68" s="105"/>
      <c r="Q68" s="106"/>
      <c r="R68" s="105"/>
      <c r="S68" s="62"/>
      <c r="T68" s="62"/>
      <c r="U68" s="62"/>
      <c r="V68" s="57"/>
      <c r="W68" s="107"/>
      <c r="X68" s="107"/>
      <c r="Y68" s="57" t="s">
        <v>161</v>
      </c>
      <c r="Z68" s="58" t="s">
        <v>62</v>
      </c>
      <c r="AA68" s="58">
        <v>1</v>
      </c>
      <c r="AD68" s="107"/>
    </row>
    <row r="69" spans="1:30" customFormat="1" ht="15" customHeight="1" x14ac:dyDescent="0.25">
      <c r="A69" s="43"/>
      <c r="B69" s="44"/>
      <c r="C69" s="112"/>
      <c r="D69" s="43"/>
      <c r="E69" s="125"/>
      <c r="F69" s="47"/>
      <c r="G69" s="47"/>
      <c r="H69" s="47"/>
      <c r="I69" s="75"/>
      <c r="J69" s="110"/>
      <c r="K69" s="51"/>
      <c r="L69" s="69"/>
      <c r="M69" s="43"/>
      <c r="N69" s="43"/>
      <c r="O69" s="104"/>
      <c r="P69" s="105"/>
      <c r="Q69" s="106"/>
      <c r="R69" s="105"/>
      <c r="S69" s="62"/>
      <c r="T69" s="62"/>
      <c r="U69" s="62"/>
      <c r="V69" s="57"/>
      <c r="W69" s="107"/>
      <c r="X69" s="107"/>
      <c r="Y69" s="57"/>
      <c r="Z69" s="58"/>
      <c r="AA69" s="58"/>
      <c r="AD69" s="107"/>
    </row>
    <row r="70" spans="1:30" customFormat="1" ht="15" customHeight="1" x14ac:dyDescent="0.25">
      <c r="A70" s="43">
        <v>50</v>
      </c>
      <c r="B70" s="44"/>
      <c r="C70" s="126" t="s">
        <v>123</v>
      </c>
      <c r="D70" s="43" t="s">
        <v>66</v>
      </c>
      <c r="E70" s="125" t="s">
        <v>38</v>
      </c>
      <c r="F70" s="47">
        <v>0</v>
      </c>
      <c r="G70" s="47">
        <v>65535</v>
      </c>
      <c r="H70" s="47">
        <v>0</v>
      </c>
      <c r="I70" s="75">
        <v>0</v>
      </c>
      <c r="J70" s="110" t="s">
        <v>81</v>
      </c>
      <c r="K70" s="51"/>
      <c r="L70" s="69" t="s">
        <v>125</v>
      </c>
      <c r="M70" s="43">
        <v>55</v>
      </c>
      <c r="N70" s="43">
        <v>5</v>
      </c>
      <c r="O70" s="104">
        <f>IF(A70&lt;&gt;"",M70*2^9+A70,"")</f>
        <v>28210</v>
      </c>
      <c r="P70" s="105" t="str">
        <f>IF(A70&lt;&gt;"","0x" &amp;DEC2HEX( O70,4),"")</f>
        <v>0x6E32</v>
      </c>
      <c r="Q70" s="106"/>
      <c r="R70" s="105"/>
      <c r="S70" s="62"/>
      <c r="T70" s="62"/>
      <c r="U70" s="62" t="s">
        <v>83</v>
      </c>
      <c r="V70" s="57" t="s">
        <v>123</v>
      </c>
      <c r="W70" s="58" t="s">
        <v>84</v>
      </c>
      <c r="X70" s="107">
        <v>4</v>
      </c>
      <c r="Y70" s="57"/>
      <c r="Z70" s="58"/>
      <c r="AA70" s="58"/>
      <c r="AD70" s="107"/>
    </row>
    <row r="71" spans="1:30" customFormat="1" ht="15" customHeight="1" x14ac:dyDescent="0.25">
      <c r="A71" s="43"/>
      <c r="B71" s="44"/>
      <c r="C71" s="51" t="s">
        <v>43</v>
      </c>
      <c r="D71" s="43"/>
      <c r="E71" s="125"/>
      <c r="F71" s="47"/>
      <c r="G71" s="47"/>
      <c r="H71" s="47"/>
      <c r="I71" s="75"/>
      <c r="J71" s="110"/>
      <c r="K71" s="51"/>
      <c r="L71" s="69"/>
      <c r="M71" s="43"/>
      <c r="N71" s="43"/>
      <c r="O71" s="104"/>
      <c r="P71" s="105"/>
      <c r="Q71" s="106"/>
      <c r="R71" s="105"/>
      <c r="S71" s="62"/>
      <c r="T71" s="62"/>
      <c r="U71" s="62"/>
      <c r="V71" s="57" t="s">
        <v>123</v>
      </c>
      <c r="W71" s="58" t="s">
        <v>85</v>
      </c>
      <c r="X71" s="107">
        <v>5</v>
      </c>
      <c r="Y71" s="57"/>
      <c r="Z71" s="58"/>
      <c r="AA71" s="58"/>
      <c r="AD71" s="107"/>
    </row>
    <row r="72" spans="1:30" customFormat="1" ht="15" customHeight="1" x14ac:dyDescent="0.25">
      <c r="A72" s="43"/>
      <c r="B72" s="44"/>
      <c r="C72" s="51"/>
      <c r="D72" s="43"/>
      <c r="E72" s="125"/>
      <c r="F72" s="47"/>
      <c r="G72" s="47"/>
      <c r="H72" s="47"/>
      <c r="I72" s="75"/>
      <c r="J72" s="110"/>
      <c r="K72" s="51"/>
      <c r="L72" s="69"/>
      <c r="M72" s="43"/>
      <c r="N72" s="43"/>
      <c r="O72" s="104"/>
      <c r="P72" s="105"/>
      <c r="Q72" s="106"/>
      <c r="R72" s="105"/>
      <c r="S72" s="62"/>
      <c r="T72" s="62"/>
      <c r="U72" s="62"/>
      <c r="V72" s="57"/>
      <c r="W72" s="58"/>
      <c r="X72" s="107"/>
      <c r="Y72" s="57"/>
      <c r="Z72" s="58"/>
      <c r="AA72" s="58"/>
      <c r="AD72" s="107"/>
    </row>
    <row r="73" spans="1:30" customFormat="1" ht="15" customHeight="1" x14ac:dyDescent="0.25">
      <c r="A73" s="43">
        <v>51</v>
      </c>
      <c r="B73" s="44"/>
      <c r="C73" s="69" t="s">
        <v>124</v>
      </c>
      <c r="D73" s="43" t="s">
        <v>69</v>
      </c>
      <c r="E73" s="46" t="s">
        <v>38</v>
      </c>
      <c r="F73" s="47">
        <v>0</v>
      </c>
      <c r="G73" s="47">
        <v>65535</v>
      </c>
      <c r="H73" s="47">
        <v>0</v>
      </c>
      <c r="I73" s="75">
        <v>0</v>
      </c>
      <c r="J73" s="110" t="s">
        <v>81</v>
      </c>
      <c r="K73" s="51"/>
      <c r="L73" s="69" t="s">
        <v>126</v>
      </c>
      <c r="M73" s="43">
        <v>55</v>
      </c>
      <c r="N73" s="43">
        <v>5</v>
      </c>
      <c r="O73" s="104">
        <f>IF(A73&lt;&gt;"",M73*2^9+A73,"")</f>
        <v>28211</v>
      </c>
      <c r="P73" s="105" t="str">
        <f>IF(A73&lt;&gt;"","0x" &amp;DEC2HEX( O73,4),"")</f>
        <v>0x6E33</v>
      </c>
      <c r="Q73" s="106"/>
      <c r="R73" s="105"/>
      <c r="S73" s="62"/>
      <c r="T73" s="62"/>
      <c r="U73" s="62"/>
      <c r="V73" s="57" t="s">
        <v>124</v>
      </c>
      <c r="W73" s="13" t="s">
        <v>129</v>
      </c>
      <c r="X73" s="14">
        <v>0</v>
      </c>
      <c r="Y73" s="57"/>
      <c r="Z73" s="58"/>
      <c r="AA73" s="58"/>
      <c r="AD73" s="107"/>
    </row>
    <row r="74" spans="1:30" customFormat="1" ht="15" customHeight="1" x14ac:dyDescent="0.25">
      <c r="A74" s="43"/>
      <c r="B74" s="44"/>
      <c r="C74" s="51" t="s">
        <v>43</v>
      </c>
      <c r="D74" s="43"/>
      <c r="E74" s="46"/>
      <c r="F74" s="47"/>
      <c r="G74" s="47"/>
      <c r="H74" s="47"/>
      <c r="I74" s="75"/>
      <c r="J74" s="110"/>
      <c r="K74" s="51"/>
      <c r="L74" s="69"/>
      <c r="M74" s="43"/>
      <c r="N74" s="43"/>
      <c r="O74" s="104"/>
      <c r="P74" s="105"/>
      <c r="Q74" s="106"/>
      <c r="R74" s="105"/>
      <c r="S74" s="62"/>
      <c r="T74" s="62"/>
      <c r="U74" s="62"/>
      <c r="V74" s="57" t="s">
        <v>124</v>
      </c>
      <c r="W74" s="13" t="s">
        <v>130</v>
      </c>
      <c r="X74" s="13">
        <v>1</v>
      </c>
      <c r="Y74" s="57"/>
      <c r="Z74" s="58"/>
      <c r="AA74" s="58"/>
      <c r="AD74" s="107"/>
    </row>
    <row r="75" spans="1:30" customFormat="1" ht="15" customHeight="1" x14ac:dyDescent="0.25">
      <c r="A75" s="43"/>
      <c r="B75" s="44"/>
      <c r="C75" s="51" t="s">
        <v>43</v>
      </c>
      <c r="D75" s="43"/>
      <c r="E75" s="46"/>
      <c r="F75" s="47"/>
      <c r="G75" s="47"/>
      <c r="H75" s="47"/>
      <c r="I75" s="75"/>
      <c r="J75" s="110"/>
      <c r="K75" s="51"/>
      <c r="L75" s="69"/>
      <c r="M75" s="43"/>
      <c r="N75" s="43"/>
      <c r="O75" s="104"/>
      <c r="P75" s="105"/>
      <c r="Q75" s="106"/>
      <c r="R75" s="105"/>
      <c r="S75" s="62"/>
      <c r="T75" s="62"/>
      <c r="U75" s="62"/>
      <c r="V75" s="57" t="s">
        <v>124</v>
      </c>
      <c r="W75" s="13" t="s">
        <v>143</v>
      </c>
      <c r="X75" s="13">
        <v>2</v>
      </c>
      <c r="Y75" s="57"/>
      <c r="Z75" s="58"/>
      <c r="AA75" s="58"/>
      <c r="AD75" s="107"/>
    </row>
    <row r="76" spans="1:30" customFormat="1" ht="15" customHeight="1" x14ac:dyDescent="0.25">
      <c r="A76" s="43"/>
      <c r="B76" s="44"/>
      <c r="C76" s="51" t="s">
        <v>43</v>
      </c>
      <c r="D76" s="43"/>
      <c r="E76" s="46"/>
      <c r="F76" s="47"/>
      <c r="G76" s="47"/>
      <c r="H76" s="47"/>
      <c r="I76" s="75"/>
      <c r="J76" s="110"/>
      <c r="K76" s="51"/>
      <c r="L76" s="69"/>
      <c r="M76" s="43"/>
      <c r="N76" s="43"/>
      <c r="O76" s="104"/>
      <c r="P76" s="105"/>
      <c r="Q76" s="106"/>
      <c r="R76" s="105"/>
      <c r="S76" s="62"/>
      <c r="T76" s="62"/>
      <c r="U76" s="62"/>
      <c r="V76" s="57" t="s">
        <v>124</v>
      </c>
      <c r="W76" s="13" t="s">
        <v>144</v>
      </c>
      <c r="X76" s="13">
        <v>3</v>
      </c>
      <c r="Y76" s="57"/>
      <c r="Z76" s="58"/>
      <c r="AA76" s="58"/>
      <c r="AD76" s="107"/>
    </row>
    <row r="77" spans="1:30" customFormat="1" ht="15" customHeight="1" x14ac:dyDescent="0.25">
      <c r="A77" s="43"/>
      <c r="B77" s="44"/>
      <c r="C77" s="51" t="s">
        <v>43</v>
      </c>
      <c r="D77" s="43"/>
      <c r="E77" s="46"/>
      <c r="F77" s="47"/>
      <c r="G77" s="47"/>
      <c r="H77" s="47"/>
      <c r="I77" s="75"/>
      <c r="J77" s="110"/>
      <c r="K77" s="51"/>
      <c r="L77" s="69"/>
      <c r="M77" s="43"/>
      <c r="N77" s="43"/>
      <c r="O77" s="104"/>
      <c r="P77" s="105"/>
      <c r="Q77" s="106"/>
      <c r="R77" s="105"/>
      <c r="S77" s="62"/>
      <c r="T77" s="62"/>
      <c r="U77" s="62"/>
      <c r="V77" s="57" t="s">
        <v>124</v>
      </c>
      <c r="W77" s="107" t="s">
        <v>127</v>
      </c>
      <c r="X77" s="128">
        <v>65281</v>
      </c>
      <c r="Y77" s="57"/>
      <c r="Z77" s="58"/>
      <c r="AA77" s="58"/>
      <c r="AD77" s="107"/>
    </row>
    <row r="78" spans="1:30" customFormat="1" ht="15" customHeight="1" x14ac:dyDescent="0.25">
      <c r="A78" s="43"/>
      <c r="B78" s="44"/>
      <c r="C78" s="51" t="s">
        <v>43</v>
      </c>
      <c r="D78" s="43"/>
      <c r="E78" s="46"/>
      <c r="F78" s="47"/>
      <c r="G78" s="47"/>
      <c r="H78" s="47"/>
      <c r="I78" s="75"/>
      <c r="J78" s="110"/>
      <c r="K78" s="51"/>
      <c r="L78" s="69"/>
      <c r="M78" s="43"/>
      <c r="N78" s="43"/>
      <c r="O78" s="104"/>
      <c r="P78" s="105"/>
      <c r="Q78" s="106"/>
      <c r="R78" s="105"/>
      <c r="S78" s="62"/>
      <c r="T78" s="62"/>
      <c r="U78" s="62"/>
      <c r="V78" s="57" t="s">
        <v>124</v>
      </c>
      <c r="W78" s="129" t="s">
        <v>128</v>
      </c>
      <c r="X78" s="128">
        <v>65282</v>
      </c>
      <c r="Y78" s="57"/>
      <c r="Z78" s="58"/>
      <c r="AA78" s="58"/>
      <c r="AD78" s="107"/>
    </row>
    <row r="79" spans="1:30" customFormat="1" ht="15" customHeight="1" x14ac:dyDescent="0.25">
      <c r="A79" s="43"/>
      <c r="B79" s="44"/>
      <c r="C79" s="51" t="s">
        <v>43</v>
      </c>
      <c r="D79" s="43"/>
      <c r="E79" s="46"/>
      <c r="F79" s="47"/>
      <c r="G79" s="47"/>
      <c r="H79" s="47"/>
      <c r="I79" s="75"/>
      <c r="J79" s="110"/>
      <c r="K79" s="51"/>
      <c r="L79" s="69"/>
      <c r="M79" s="43"/>
      <c r="N79" s="43"/>
      <c r="O79" s="104"/>
      <c r="P79" s="105"/>
      <c r="Q79" s="106"/>
      <c r="R79" s="105"/>
      <c r="S79" s="62"/>
      <c r="T79" s="62"/>
      <c r="U79" s="62"/>
      <c r="V79" s="57" t="s">
        <v>124</v>
      </c>
      <c r="W79" s="129" t="s">
        <v>141</v>
      </c>
      <c r="X79" s="128">
        <v>65283</v>
      </c>
      <c r="Y79" s="57"/>
      <c r="Z79" s="58"/>
      <c r="AA79" s="58"/>
      <c r="AD79" s="107"/>
    </row>
    <row r="80" spans="1:30" customFormat="1" ht="15" customHeight="1" x14ac:dyDescent="0.25">
      <c r="A80" s="43"/>
      <c r="B80" s="44"/>
      <c r="C80" s="51" t="s">
        <v>43</v>
      </c>
      <c r="D80" s="43"/>
      <c r="E80" s="46"/>
      <c r="F80" s="47"/>
      <c r="G80" s="47"/>
      <c r="H80" s="47"/>
      <c r="I80" s="75"/>
      <c r="J80" s="110"/>
      <c r="K80" s="51"/>
      <c r="L80" s="69"/>
      <c r="M80" s="43"/>
      <c r="N80" s="43"/>
      <c r="O80" s="104"/>
      <c r="P80" s="105"/>
      <c r="Q80" s="106"/>
      <c r="R80" s="105"/>
      <c r="S80" s="62"/>
      <c r="T80" s="62"/>
      <c r="U80" s="62"/>
      <c r="V80" s="57" t="s">
        <v>124</v>
      </c>
      <c r="W80" s="129" t="s">
        <v>131</v>
      </c>
      <c r="X80" s="128">
        <v>65284</v>
      </c>
      <c r="Y80" s="57"/>
      <c r="Z80" s="58"/>
      <c r="AA80" s="58"/>
      <c r="AD80" s="107"/>
    </row>
    <row r="81" spans="1:30" customFormat="1" ht="15" customHeight="1" x14ac:dyDescent="0.25">
      <c r="A81" s="43"/>
      <c r="B81" s="44"/>
      <c r="C81" s="51" t="s">
        <v>43</v>
      </c>
      <c r="D81" s="43"/>
      <c r="E81" s="46"/>
      <c r="F81" s="47"/>
      <c r="G81" s="47"/>
      <c r="H81" s="47"/>
      <c r="I81" s="75"/>
      <c r="J81" s="110"/>
      <c r="K81" s="51"/>
      <c r="L81" s="69"/>
      <c r="M81" s="43"/>
      <c r="N81" s="43"/>
      <c r="O81" s="104"/>
      <c r="P81" s="105"/>
      <c r="Q81" s="106"/>
      <c r="R81" s="105"/>
      <c r="S81" s="62"/>
      <c r="T81" s="62"/>
      <c r="U81" s="62"/>
      <c r="V81" s="57" t="s">
        <v>124</v>
      </c>
      <c r="W81" s="129" t="s">
        <v>142</v>
      </c>
      <c r="X81" s="128">
        <v>65285</v>
      </c>
      <c r="Y81" s="57"/>
      <c r="Z81" s="58"/>
      <c r="AA81" s="58"/>
      <c r="AD81" s="107"/>
    </row>
    <row r="82" spans="1:30" customFormat="1" ht="15" customHeight="1" x14ac:dyDescent="0.25">
      <c r="A82" s="43"/>
      <c r="B82" s="44"/>
      <c r="C82" s="51" t="s">
        <v>43</v>
      </c>
      <c r="D82" s="43"/>
      <c r="E82" s="46"/>
      <c r="F82" s="47"/>
      <c r="G82" s="47"/>
      <c r="H82" s="47"/>
      <c r="I82" s="75"/>
      <c r="J82" s="110"/>
      <c r="K82" s="51"/>
      <c r="L82" s="69"/>
      <c r="M82" s="43"/>
      <c r="N82" s="43"/>
      <c r="O82" s="104"/>
      <c r="P82" s="105"/>
      <c r="Q82" s="106"/>
      <c r="R82" s="105"/>
      <c r="S82" s="62"/>
      <c r="T82" s="62"/>
      <c r="U82" s="62"/>
      <c r="V82" s="57" t="s">
        <v>124</v>
      </c>
      <c r="W82" s="129" t="s">
        <v>132</v>
      </c>
      <c r="X82" s="128">
        <v>65286</v>
      </c>
      <c r="Y82" s="57"/>
      <c r="Z82" s="58"/>
      <c r="AA82" s="58"/>
      <c r="AD82" s="107"/>
    </row>
    <row r="83" spans="1:30" customFormat="1" ht="15" customHeight="1" x14ac:dyDescent="0.25">
      <c r="A83" s="43"/>
      <c r="B83" s="44"/>
      <c r="C83" s="51" t="s">
        <v>43</v>
      </c>
      <c r="D83" s="43"/>
      <c r="E83" s="46"/>
      <c r="F83" s="47"/>
      <c r="G83" s="47"/>
      <c r="H83" s="47"/>
      <c r="I83" s="75"/>
      <c r="J83" s="110"/>
      <c r="K83" s="51"/>
      <c r="L83" s="69"/>
      <c r="M83" s="43"/>
      <c r="N83" s="43"/>
      <c r="O83" s="104"/>
      <c r="P83" s="105"/>
      <c r="Q83" s="106"/>
      <c r="R83" s="105"/>
      <c r="S83" s="62"/>
      <c r="T83" s="62"/>
      <c r="U83" s="62"/>
      <c r="V83" s="57" t="s">
        <v>124</v>
      </c>
      <c r="W83" s="129" t="s">
        <v>151</v>
      </c>
      <c r="X83" s="128">
        <v>65287</v>
      </c>
      <c r="Y83" s="57"/>
      <c r="Z83" s="58"/>
      <c r="AA83" s="58"/>
      <c r="AD83" s="107"/>
    </row>
    <row r="84" spans="1:30" customFormat="1" ht="15" customHeight="1" x14ac:dyDescent="0.25">
      <c r="A84" s="43"/>
      <c r="B84" s="44"/>
      <c r="C84" s="51" t="s">
        <v>43</v>
      </c>
      <c r="D84" s="43"/>
      <c r="E84" s="46"/>
      <c r="F84" s="47"/>
      <c r="G84" s="47"/>
      <c r="H84" s="47"/>
      <c r="I84" s="75"/>
      <c r="J84" s="110"/>
      <c r="K84" s="51"/>
      <c r="L84" s="69"/>
      <c r="M84" s="43"/>
      <c r="N84" s="43"/>
      <c r="O84" s="104"/>
      <c r="P84" s="105"/>
      <c r="Q84" s="106"/>
      <c r="R84" s="105"/>
      <c r="S84" s="62"/>
      <c r="T84" s="62"/>
      <c r="U84" s="62"/>
      <c r="V84" s="57" t="s">
        <v>124</v>
      </c>
      <c r="W84" s="13" t="s">
        <v>152</v>
      </c>
      <c r="X84" s="128">
        <v>65288</v>
      </c>
      <c r="Y84" s="57"/>
      <c r="Z84" s="58"/>
      <c r="AA84" s="58"/>
      <c r="AD84" s="107"/>
    </row>
    <row r="85" spans="1:30" customFormat="1" ht="15" customHeight="1" x14ac:dyDescent="0.25">
      <c r="A85" s="43"/>
      <c r="B85" s="44"/>
      <c r="C85" s="51"/>
      <c r="D85" s="43"/>
      <c r="E85" s="46"/>
      <c r="F85" s="47"/>
      <c r="G85" s="47"/>
      <c r="H85" s="47"/>
      <c r="I85" s="75"/>
      <c r="J85" s="110"/>
      <c r="K85" s="51"/>
      <c r="L85" s="69"/>
      <c r="M85" s="43"/>
      <c r="N85" s="43"/>
      <c r="O85" s="104"/>
      <c r="P85" s="105"/>
      <c r="Q85" s="106"/>
      <c r="R85" s="105"/>
      <c r="S85" s="62"/>
      <c r="T85" s="62"/>
      <c r="U85" s="62"/>
      <c r="V85" s="57"/>
      <c r="W85" s="107"/>
      <c r="X85" s="107"/>
      <c r="Y85" s="57"/>
      <c r="Z85" s="58"/>
      <c r="AA85" s="58"/>
      <c r="AD85" s="107"/>
    </row>
    <row r="86" spans="1:30" customFormat="1" ht="15" customHeight="1" x14ac:dyDescent="0.25">
      <c r="A86" s="43">
        <v>100</v>
      </c>
      <c r="B86" s="44"/>
      <c r="C86" s="69" t="s">
        <v>80</v>
      </c>
      <c r="D86" s="43" t="s">
        <v>66</v>
      </c>
      <c r="E86" s="46" t="s">
        <v>38</v>
      </c>
      <c r="F86" s="47">
        <v>0</v>
      </c>
      <c r="G86" s="47">
        <v>65535</v>
      </c>
      <c r="H86" s="47"/>
      <c r="I86" s="75">
        <v>0</v>
      </c>
      <c r="J86" s="110" t="s">
        <v>81</v>
      </c>
      <c r="K86" s="51"/>
      <c r="L86" s="69" t="s">
        <v>82</v>
      </c>
      <c r="M86" s="43">
        <f>IF(A86&lt;&gt;"",$D$5,"")</f>
        <v>55</v>
      </c>
      <c r="N86" s="43">
        <f>IF(A86&lt;&gt;"",$D$4,"")</f>
        <v>5</v>
      </c>
      <c r="O86" s="104">
        <f t="shared" si="11"/>
        <v>28260</v>
      </c>
      <c r="P86" s="105" t="str">
        <f t="shared" si="8"/>
        <v>0x6E64</v>
      </c>
      <c r="Q86" s="106"/>
      <c r="R86" s="105"/>
      <c r="S86" s="62"/>
      <c r="T86" s="62"/>
      <c r="U86" s="62" t="s">
        <v>83</v>
      </c>
      <c r="V86" s="57" t="s">
        <v>80</v>
      </c>
      <c r="W86" s="58" t="s">
        <v>84</v>
      </c>
      <c r="X86" s="58">
        <v>52224</v>
      </c>
      <c r="Y86" s="57"/>
      <c r="Z86" s="58"/>
      <c r="AA86" s="58"/>
      <c r="AD86" s="107"/>
    </row>
    <row r="87" spans="1:30" customFormat="1" ht="15" customHeight="1" x14ac:dyDescent="0.25">
      <c r="A87" s="43"/>
      <c r="B87" s="44"/>
      <c r="C87" s="112" t="s">
        <v>43</v>
      </c>
      <c r="D87" s="43"/>
      <c r="E87" s="46"/>
      <c r="F87" s="47"/>
      <c r="G87" s="47"/>
      <c r="H87" s="47"/>
      <c r="I87" s="75"/>
      <c r="J87" s="110"/>
      <c r="K87" s="51"/>
      <c r="L87" s="69"/>
      <c r="M87" s="43"/>
      <c r="N87" s="43"/>
      <c r="O87" s="104"/>
      <c r="P87" s="105"/>
      <c r="Q87" s="106"/>
      <c r="R87" s="105"/>
      <c r="S87" s="62"/>
      <c r="T87" s="62"/>
      <c r="U87" s="62"/>
      <c r="V87" s="57" t="s">
        <v>80</v>
      </c>
      <c r="W87" s="58" t="s">
        <v>85</v>
      </c>
      <c r="X87" s="58">
        <v>56576</v>
      </c>
      <c r="Y87" s="57"/>
      <c r="Z87" s="58"/>
      <c r="AA87" s="58"/>
      <c r="AD87" s="107"/>
    </row>
    <row r="88" spans="1:30" customFormat="1" ht="15" customHeight="1" x14ac:dyDescent="0.25">
      <c r="A88" s="43"/>
      <c r="B88" s="44"/>
      <c r="C88" s="69"/>
      <c r="D88" s="43"/>
      <c r="E88" s="46"/>
      <c r="F88" s="47"/>
      <c r="G88" s="47"/>
      <c r="H88" s="47"/>
      <c r="I88" s="75"/>
      <c r="J88" s="110"/>
      <c r="K88" s="51"/>
      <c r="L88" s="69"/>
      <c r="M88" s="43" t="str">
        <f>IF(A88&lt;&gt;"",$D$5,"")</f>
        <v/>
      </c>
      <c r="N88" s="43" t="str">
        <f>IF(A88&lt;&gt;"",$D$4,"")</f>
        <v/>
      </c>
      <c r="O88" s="104" t="str">
        <f>IF(A88&lt;&gt;"",M88*2^9+A88,"")</f>
        <v/>
      </c>
      <c r="P88" s="105" t="str">
        <f>IF(A88&lt;&gt;"","0x" &amp;DEC2HEX( O88,4),"")</f>
        <v/>
      </c>
      <c r="Q88" s="106"/>
      <c r="R88" s="105"/>
      <c r="S88" s="62"/>
      <c r="T88" s="62"/>
      <c r="U88" s="62"/>
      <c r="V88" s="57"/>
      <c r="W88" s="58"/>
      <c r="X88" s="58"/>
      <c r="Y88" s="57"/>
      <c r="Z88" s="58"/>
      <c r="AA88" s="58"/>
      <c r="AD88" s="107"/>
    </row>
    <row r="89" spans="1:30" customFormat="1" ht="15" customHeight="1" x14ac:dyDescent="0.25">
      <c r="A89" s="43">
        <v>101</v>
      </c>
      <c r="B89" s="44"/>
      <c r="C89" s="69" t="s">
        <v>86</v>
      </c>
      <c r="D89" s="43" t="s">
        <v>69</v>
      </c>
      <c r="E89" s="46" t="s">
        <v>38</v>
      </c>
      <c r="F89" s="47">
        <v>0</v>
      </c>
      <c r="G89" s="47">
        <v>65535</v>
      </c>
      <c r="H89" s="47"/>
      <c r="I89" s="75">
        <v>0</v>
      </c>
      <c r="J89" s="110" t="s">
        <v>81</v>
      </c>
      <c r="K89" s="51"/>
      <c r="L89" s="69" t="s">
        <v>87</v>
      </c>
      <c r="M89" s="43">
        <f>IF(A89&lt;&gt;"",$D$5,"")</f>
        <v>55</v>
      </c>
      <c r="N89" s="43">
        <f>IF(A89&lt;&gt;"",$D$4,"")</f>
        <v>5</v>
      </c>
      <c r="O89" s="104">
        <f>IF(A89&lt;&gt;"",M89*2^9+A89,"")</f>
        <v>28261</v>
      </c>
      <c r="P89" s="105" t="str">
        <f>IF(A89&lt;&gt;"","0x" &amp;DEC2HEX( O89,4),"")</f>
        <v>0x6E65</v>
      </c>
      <c r="Q89" s="106"/>
      <c r="R89" s="105"/>
      <c r="S89" s="62"/>
      <c r="T89" s="62"/>
      <c r="U89" s="62"/>
      <c r="V89" s="57" t="s">
        <v>86</v>
      </c>
      <c r="W89" s="113" t="s">
        <v>88</v>
      </c>
      <c r="X89" s="58">
        <v>0</v>
      </c>
      <c r="Y89" s="57"/>
      <c r="Z89" s="58"/>
      <c r="AA89" s="58"/>
      <c r="AD89" s="107"/>
    </row>
    <row r="90" spans="1:30" customFormat="1" ht="15" customHeight="1" x14ac:dyDescent="0.25">
      <c r="A90" s="43"/>
      <c r="B90" s="44"/>
      <c r="C90" s="112" t="s">
        <v>43</v>
      </c>
      <c r="D90" s="43"/>
      <c r="E90" s="46"/>
      <c r="F90" s="47"/>
      <c r="G90" s="47"/>
      <c r="H90" s="47"/>
      <c r="I90" s="75"/>
      <c r="J90" s="110"/>
      <c r="K90" s="51"/>
      <c r="L90" s="69"/>
      <c r="M90" s="43" t="str">
        <f t="shared" ref="M90:M109" si="16">IF(A90&lt;&gt;"",$D$5,"")</f>
        <v/>
      </c>
      <c r="N90" s="43" t="str">
        <f t="shared" ref="N90:N109" si="17">IF(A90&lt;&gt;"",$D$4,"")</f>
        <v/>
      </c>
      <c r="O90" s="104" t="str">
        <f t="shared" ref="O90:O109" si="18">IF(A90&lt;&gt;"",M90*2^9+A90,"")</f>
        <v/>
      </c>
      <c r="P90" s="105" t="str">
        <f t="shared" ref="P90:P109" si="19">IF(A90&lt;&gt;"","0x" &amp;DEC2HEX( O90,4),"")</f>
        <v/>
      </c>
      <c r="Q90" s="106"/>
      <c r="R90" s="105"/>
      <c r="S90" s="62"/>
      <c r="T90" s="62"/>
      <c r="U90" s="62"/>
      <c r="V90" s="57" t="s">
        <v>86</v>
      </c>
      <c r="W90" s="58" t="s">
        <v>89</v>
      </c>
      <c r="X90" s="58">
        <v>1</v>
      </c>
      <c r="Y90" s="57"/>
      <c r="Z90" s="58"/>
      <c r="AA90" s="58"/>
      <c r="AD90" s="107"/>
    </row>
    <row r="91" spans="1:30" customFormat="1" ht="15" customHeight="1" x14ac:dyDescent="0.25">
      <c r="A91" s="43"/>
      <c r="B91" s="44"/>
      <c r="C91" s="112" t="s">
        <v>43</v>
      </c>
      <c r="D91" s="43"/>
      <c r="E91" s="46"/>
      <c r="F91" s="47"/>
      <c r="G91" s="47"/>
      <c r="H91" s="47"/>
      <c r="I91" s="75"/>
      <c r="J91" s="110"/>
      <c r="K91" s="51"/>
      <c r="L91" s="69"/>
      <c r="M91" s="43" t="str">
        <f t="shared" si="16"/>
        <v/>
      </c>
      <c r="N91" s="43" t="str">
        <f t="shared" si="17"/>
        <v/>
      </c>
      <c r="O91" s="104" t="str">
        <f t="shared" si="18"/>
        <v/>
      </c>
      <c r="P91" s="105" t="str">
        <f t="shared" si="19"/>
        <v/>
      </c>
      <c r="Q91" s="106"/>
      <c r="R91" s="105"/>
      <c r="S91" s="62"/>
      <c r="T91" s="62"/>
      <c r="U91" s="62"/>
      <c r="V91" s="57" t="s">
        <v>86</v>
      </c>
      <c r="W91" s="58" t="s">
        <v>90</v>
      </c>
      <c r="X91" s="58">
        <v>2</v>
      </c>
      <c r="Y91" s="57"/>
      <c r="Z91" s="58"/>
      <c r="AA91" s="58"/>
      <c r="AD91" s="107"/>
    </row>
    <row r="92" spans="1:30" customFormat="1" ht="15" customHeight="1" x14ac:dyDescent="0.25">
      <c r="A92" s="43"/>
      <c r="B92" s="44"/>
      <c r="C92" s="112" t="s">
        <v>43</v>
      </c>
      <c r="D92" s="43"/>
      <c r="E92" s="46"/>
      <c r="F92" s="47"/>
      <c r="G92" s="47"/>
      <c r="H92" s="47"/>
      <c r="I92" s="75"/>
      <c r="J92" s="110"/>
      <c r="K92" s="51"/>
      <c r="L92" s="69"/>
      <c r="M92" s="43" t="str">
        <f t="shared" si="16"/>
        <v/>
      </c>
      <c r="N92" s="43" t="str">
        <f t="shared" si="17"/>
        <v/>
      </c>
      <c r="O92" s="104" t="str">
        <f t="shared" si="18"/>
        <v/>
      </c>
      <c r="P92" s="105" t="str">
        <f t="shared" si="19"/>
        <v/>
      </c>
      <c r="Q92" s="106"/>
      <c r="R92" s="105"/>
      <c r="S92" s="62"/>
      <c r="T92" s="62"/>
      <c r="U92" s="62"/>
      <c r="V92" s="57" t="s">
        <v>86</v>
      </c>
      <c r="W92" s="58" t="s">
        <v>91</v>
      </c>
      <c r="X92" s="58">
        <v>3</v>
      </c>
      <c r="Y92" s="57"/>
      <c r="Z92" s="58"/>
      <c r="AA92" s="58"/>
      <c r="AD92" s="107"/>
    </row>
    <row r="93" spans="1:30" customFormat="1" ht="15" customHeight="1" x14ac:dyDescent="0.25">
      <c r="A93" s="43"/>
      <c r="B93" s="44"/>
      <c r="C93" s="112" t="s">
        <v>43</v>
      </c>
      <c r="D93" s="43"/>
      <c r="E93" s="46"/>
      <c r="F93" s="47"/>
      <c r="G93" s="47"/>
      <c r="H93" s="47"/>
      <c r="I93" s="75"/>
      <c r="J93" s="110"/>
      <c r="K93" s="51"/>
      <c r="L93" s="69"/>
      <c r="M93" s="43" t="str">
        <f t="shared" si="16"/>
        <v/>
      </c>
      <c r="N93" s="43" t="str">
        <f t="shared" si="17"/>
        <v/>
      </c>
      <c r="O93" s="104" t="str">
        <f t="shared" si="18"/>
        <v/>
      </c>
      <c r="P93" s="105" t="str">
        <f t="shared" si="19"/>
        <v/>
      </c>
      <c r="Q93" s="106"/>
      <c r="R93" s="105"/>
      <c r="S93" s="62"/>
      <c r="T93" s="62"/>
      <c r="U93" s="62"/>
      <c r="V93" s="57" t="s">
        <v>86</v>
      </c>
      <c r="W93" s="58" t="s">
        <v>92</v>
      </c>
      <c r="X93" s="58">
        <v>4</v>
      </c>
      <c r="Y93" s="57"/>
      <c r="Z93" s="58"/>
      <c r="AA93" s="58"/>
      <c r="AD93" s="107"/>
    </row>
    <row r="94" spans="1:30" customFormat="1" ht="15" customHeight="1" x14ac:dyDescent="0.25">
      <c r="A94" s="43"/>
      <c r="B94" s="44"/>
      <c r="C94" s="112" t="s">
        <v>43</v>
      </c>
      <c r="D94" s="43"/>
      <c r="E94" s="46"/>
      <c r="F94" s="47"/>
      <c r="G94" s="47"/>
      <c r="H94" s="47"/>
      <c r="I94" s="75"/>
      <c r="J94" s="110"/>
      <c r="K94" s="51"/>
      <c r="L94" s="69"/>
      <c r="M94" s="43" t="str">
        <f t="shared" si="16"/>
        <v/>
      </c>
      <c r="N94" s="43" t="str">
        <f t="shared" si="17"/>
        <v/>
      </c>
      <c r="O94" s="104" t="str">
        <f t="shared" si="18"/>
        <v/>
      </c>
      <c r="P94" s="105" t="str">
        <f t="shared" si="19"/>
        <v/>
      </c>
      <c r="Q94" s="106"/>
      <c r="R94" s="105"/>
      <c r="S94" s="62"/>
      <c r="T94" s="62"/>
      <c r="U94" s="62"/>
      <c r="V94" s="57" t="s">
        <v>86</v>
      </c>
      <c r="W94" s="58" t="s">
        <v>93</v>
      </c>
      <c r="X94" s="58">
        <v>5</v>
      </c>
      <c r="Y94" s="57"/>
      <c r="Z94" s="58"/>
      <c r="AA94" s="58"/>
      <c r="AD94" s="107"/>
    </row>
    <row r="95" spans="1:30" customFormat="1" ht="15" customHeight="1" x14ac:dyDescent="0.25">
      <c r="A95" s="43"/>
      <c r="B95" s="44"/>
      <c r="C95" s="112" t="s">
        <v>43</v>
      </c>
      <c r="D95" s="43"/>
      <c r="E95" s="46"/>
      <c r="F95" s="47"/>
      <c r="G95" s="47"/>
      <c r="H95" s="47"/>
      <c r="I95" s="75"/>
      <c r="J95" s="110"/>
      <c r="K95" s="51"/>
      <c r="L95" s="69"/>
      <c r="M95" s="43" t="str">
        <f t="shared" si="16"/>
        <v/>
      </c>
      <c r="N95" s="43" t="str">
        <f t="shared" si="17"/>
        <v/>
      </c>
      <c r="O95" s="104" t="str">
        <f t="shared" si="18"/>
        <v/>
      </c>
      <c r="P95" s="105" t="str">
        <f t="shared" si="19"/>
        <v/>
      </c>
      <c r="Q95" s="106"/>
      <c r="R95" s="105"/>
      <c r="S95" s="62"/>
      <c r="T95" s="62"/>
      <c r="U95" s="62"/>
      <c r="V95" s="57" t="s">
        <v>86</v>
      </c>
      <c r="W95" s="58" t="s">
        <v>94</v>
      </c>
      <c r="X95" s="58">
        <v>6</v>
      </c>
      <c r="Y95" s="57"/>
      <c r="Z95" s="58"/>
      <c r="AA95" s="58"/>
      <c r="AD95" s="107"/>
    </row>
    <row r="96" spans="1:30" customFormat="1" ht="15" customHeight="1" x14ac:dyDescent="0.25">
      <c r="A96" s="43"/>
      <c r="B96" s="44"/>
      <c r="C96" s="112" t="s">
        <v>43</v>
      </c>
      <c r="D96" s="43"/>
      <c r="E96" s="46"/>
      <c r="F96" s="47"/>
      <c r="G96" s="47"/>
      <c r="H96" s="47"/>
      <c r="I96" s="75"/>
      <c r="J96" s="110"/>
      <c r="K96" s="51"/>
      <c r="L96" s="69"/>
      <c r="M96" s="43" t="str">
        <f t="shared" si="16"/>
        <v/>
      </c>
      <c r="N96" s="43" t="str">
        <f t="shared" si="17"/>
        <v/>
      </c>
      <c r="O96" s="104" t="str">
        <f t="shared" si="18"/>
        <v/>
      </c>
      <c r="P96" s="105" t="str">
        <f t="shared" si="19"/>
        <v/>
      </c>
      <c r="Q96" s="106"/>
      <c r="R96" s="105"/>
      <c r="S96" s="62"/>
      <c r="T96" s="62"/>
      <c r="U96" s="62"/>
      <c r="V96" s="57" t="s">
        <v>86</v>
      </c>
      <c r="W96" s="58" t="s">
        <v>148</v>
      </c>
      <c r="X96" s="58">
        <v>7</v>
      </c>
      <c r="Y96" s="57"/>
      <c r="Z96" s="58"/>
      <c r="AA96" s="58"/>
      <c r="AD96" s="107"/>
    </row>
    <row r="97" spans="1:30" customFormat="1" ht="15" customHeight="1" x14ac:dyDescent="0.25">
      <c r="A97" s="43"/>
      <c r="B97" s="44"/>
      <c r="C97" s="112" t="s">
        <v>43</v>
      </c>
      <c r="D97" s="43"/>
      <c r="E97" s="46"/>
      <c r="F97" s="47"/>
      <c r="G97" s="47"/>
      <c r="H97" s="47"/>
      <c r="I97" s="75"/>
      <c r="J97" s="110"/>
      <c r="K97" s="51"/>
      <c r="L97" s="69"/>
      <c r="M97" s="43" t="str">
        <f t="shared" si="16"/>
        <v/>
      </c>
      <c r="N97" s="43" t="str">
        <f t="shared" si="17"/>
        <v/>
      </c>
      <c r="O97" s="104" t="str">
        <f t="shared" si="18"/>
        <v/>
      </c>
      <c r="P97" s="105" t="str">
        <f t="shared" si="19"/>
        <v/>
      </c>
      <c r="Q97" s="106"/>
      <c r="R97" s="105"/>
      <c r="S97" s="62"/>
      <c r="T97" s="62"/>
      <c r="U97" s="62"/>
      <c r="V97" s="57" t="s">
        <v>86</v>
      </c>
      <c r="W97" s="58" t="s">
        <v>95</v>
      </c>
      <c r="X97" s="58">
        <v>8</v>
      </c>
      <c r="Y97" s="57"/>
      <c r="Z97" s="58"/>
      <c r="AA97" s="58"/>
      <c r="AD97" s="107"/>
    </row>
    <row r="98" spans="1:30" customFormat="1" ht="15" customHeight="1" x14ac:dyDescent="0.25">
      <c r="A98" s="43"/>
      <c r="B98" s="44"/>
      <c r="C98" s="112" t="s">
        <v>43</v>
      </c>
      <c r="D98" s="43"/>
      <c r="E98" s="46"/>
      <c r="F98" s="47"/>
      <c r="G98" s="47"/>
      <c r="H98" s="47"/>
      <c r="I98" s="75"/>
      <c r="J98" s="110"/>
      <c r="K98" s="51"/>
      <c r="L98" s="69"/>
      <c r="M98" s="43" t="str">
        <f t="shared" si="16"/>
        <v/>
      </c>
      <c r="N98" s="43" t="str">
        <f t="shared" si="17"/>
        <v/>
      </c>
      <c r="O98" s="104" t="str">
        <f t="shared" si="18"/>
        <v/>
      </c>
      <c r="P98" s="105" t="str">
        <f t="shared" si="19"/>
        <v/>
      </c>
      <c r="Q98" s="106"/>
      <c r="R98" s="105"/>
      <c r="S98" s="62"/>
      <c r="T98" s="62"/>
      <c r="U98" s="62"/>
      <c r="V98" s="57" t="s">
        <v>86</v>
      </c>
      <c r="W98" s="58" t="s">
        <v>96</v>
      </c>
      <c r="X98" s="58">
        <v>65280</v>
      </c>
      <c r="Y98" s="57"/>
      <c r="Z98" s="58"/>
      <c r="AA98" s="58"/>
      <c r="AD98" s="107"/>
    </row>
    <row r="99" spans="1:30" customFormat="1" ht="15" customHeight="1" x14ac:dyDescent="0.25">
      <c r="A99" s="43"/>
      <c r="B99" s="44"/>
      <c r="C99" s="112" t="s">
        <v>43</v>
      </c>
      <c r="D99" s="43"/>
      <c r="E99" s="46"/>
      <c r="F99" s="47"/>
      <c r="G99" s="47"/>
      <c r="H99" s="47"/>
      <c r="I99" s="75"/>
      <c r="J99" s="110"/>
      <c r="K99" s="51"/>
      <c r="L99" s="69"/>
      <c r="M99" s="43" t="str">
        <f t="shared" si="16"/>
        <v/>
      </c>
      <c r="N99" s="43" t="str">
        <f t="shared" si="17"/>
        <v/>
      </c>
      <c r="O99" s="104" t="str">
        <f t="shared" si="18"/>
        <v/>
      </c>
      <c r="P99" s="105" t="str">
        <f t="shared" si="19"/>
        <v/>
      </c>
      <c r="Q99" s="106"/>
      <c r="R99" s="105"/>
      <c r="S99" s="62"/>
      <c r="T99" s="62"/>
      <c r="U99" s="62"/>
      <c r="V99" s="57" t="s">
        <v>86</v>
      </c>
      <c r="W99" s="58" t="s">
        <v>97</v>
      </c>
      <c r="X99" s="58">
        <v>65281</v>
      </c>
      <c r="Y99" s="57"/>
      <c r="Z99" s="58"/>
      <c r="AA99" s="58"/>
      <c r="AD99" s="107"/>
    </row>
    <row r="100" spans="1:30" customFormat="1" ht="15" customHeight="1" x14ac:dyDescent="0.25">
      <c r="A100" s="43"/>
      <c r="B100" s="44"/>
      <c r="C100" s="112" t="s">
        <v>43</v>
      </c>
      <c r="D100" s="43"/>
      <c r="E100" s="46"/>
      <c r="F100" s="47"/>
      <c r="G100" s="47"/>
      <c r="H100" s="47"/>
      <c r="I100" s="75"/>
      <c r="J100" s="110"/>
      <c r="K100" s="51"/>
      <c r="L100" s="69"/>
      <c r="M100" s="43" t="str">
        <f t="shared" si="16"/>
        <v/>
      </c>
      <c r="N100" s="43" t="str">
        <f t="shared" si="17"/>
        <v/>
      </c>
      <c r="O100" s="104" t="str">
        <f t="shared" si="18"/>
        <v/>
      </c>
      <c r="P100" s="105" t="str">
        <f t="shared" si="19"/>
        <v/>
      </c>
      <c r="Q100" s="106"/>
      <c r="R100" s="105"/>
      <c r="S100" s="62"/>
      <c r="T100" s="62"/>
      <c r="U100" s="62"/>
      <c r="V100" s="57" t="s">
        <v>86</v>
      </c>
      <c r="W100" s="58" t="s">
        <v>98</v>
      </c>
      <c r="X100" s="58">
        <v>65282</v>
      </c>
      <c r="Y100" s="57"/>
      <c r="Z100" s="58"/>
      <c r="AA100" s="58"/>
      <c r="AD100" s="107"/>
    </row>
    <row r="101" spans="1:30" customFormat="1" ht="15" customHeight="1" x14ac:dyDescent="0.25">
      <c r="A101" s="43"/>
      <c r="B101" s="44"/>
      <c r="C101" s="112" t="s">
        <v>43</v>
      </c>
      <c r="D101" s="43"/>
      <c r="E101" s="46"/>
      <c r="F101" s="47"/>
      <c r="G101" s="47"/>
      <c r="H101" s="47"/>
      <c r="I101" s="75"/>
      <c r="J101" s="110"/>
      <c r="K101" s="51"/>
      <c r="L101" s="69"/>
      <c r="M101" s="43" t="str">
        <f t="shared" si="16"/>
        <v/>
      </c>
      <c r="N101" s="43" t="str">
        <f t="shared" si="17"/>
        <v/>
      </c>
      <c r="O101" s="104" t="str">
        <f t="shared" si="18"/>
        <v/>
      </c>
      <c r="P101" s="105" t="str">
        <f t="shared" si="19"/>
        <v/>
      </c>
      <c r="Q101" s="106"/>
      <c r="R101" s="105"/>
      <c r="S101" s="62"/>
      <c r="T101" s="62"/>
      <c r="U101" s="62"/>
      <c r="V101" s="57" t="s">
        <v>86</v>
      </c>
      <c r="W101" s="58" t="s">
        <v>99</v>
      </c>
      <c r="X101" s="58">
        <v>65283</v>
      </c>
      <c r="Y101" s="57"/>
      <c r="Z101" s="58"/>
      <c r="AA101" s="58"/>
      <c r="AD101" s="107"/>
    </row>
    <row r="102" spans="1:30" customFormat="1" ht="15" customHeight="1" x14ac:dyDescent="0.25">
      <c r="A102" s="43"/>
      <c r="B102" s="44"/>
      <c r="C102" s="112" t="s">
        <v>43</v>
      </c>
      <c r="D102" s="43"/>
      <c r="E102" s="46"/>
      <c r="F102" s="47"/>
      <c r="G102" s="47"/>
      <c r="H102" s="47"/>
      <c r="I102" s="75"/>
      <c r="J102" s="110"/>
      <c r="K102" s="51"/>
      <c r="L102" s="69"/>
      <c r="M102" s="43" t="str">
        <f t="shared" si="16"/>
        <v/>
      </c>
      <c r="N102" s="43" t="str">
        <f t="shared" si="17"/>
        <v/>
      </c>
      <c r="O102" s="104" t="str">
        <f t="shared" si="18"/>
        <v/>
      </c>
      <c r="P102" s="105" t="str">
        <f t="shared" si="19"/>
        <v/>
      </c>
      <c r="Q102" s="106"/>
      <c r="R102" s="105"/>
      <c r="S102" s="62"/>
      <c r="T102" s="62"/>
      <c r="U102" s="62"/>
      <c r="V102" s="57" t="s">
        <v>86</v>
      </c>
      <c r="W102" s="58" t="s">
        <v>100</v>
      </c>
      <c r="X102" s="58">
        <v>65284</v>
      </c>
      <c r="Y102" s="57"/>
      <c r="Z102" s="58"/>
      <c r="AA102" s="58"/>
      <c r="AD102" s="107"/>
    </row>
    <row r="103" spans="1:30" customFormat="1" ht="15" customHeight="1" x14ac:dyDescent="0.25">
      <c r="A103" s="43"/>
      <c r="B103" s="44"/>
      <c r="C103" s="112" t="s">
        <v>43</v>
      </c>
      <c r="D103" s="43"/>
      <c r="E103" s="46"/>
      <c r="F103" s="47"/>
      <c r="G103" s="47"/>
      <c r="H103" s="47"/>
      <c r="I103" s="75"/>
      <c r="J103" s="110"/>
      <c r="K103" s="51"/>
      <c r="L103" s="69"/>
      <c r="M103" s="43" t="str">
        <f t="shared" si="16"/>
        <v/>
      </c>
      <c r="N103" s="43" t="str">
        <f t="shared" si="17"/>
        <v/>
      </c>
      <c r="O103" s="104" t="str">
        <f t="shared" si="18"/>
        <v/>
      </c>
      <c r="P103" s="105" t="str">
        <f t="shared" si="19"/>
        <v/>
      </c>
      <c r="Q103" s="106"/>
      <c r="R103" s="105"/>
      <c r="S103" s="62"/>
      <c r="T103" s="62"/>
      <c r="U103" s="62"/>
      <c r="V103" s="57" t="s">
        <v>86</v>
      </c>
      <c r="W103" s="58" t="s">
        <v>101</v>
      </c>
      <c r="X103" s="58">
        <v>65285</v>
      </c>
      <c r="Y103" s="57"/>
      <c r="Z103" s="58"/>
      <c r="AA103" s="58"/>
      <c r="AD103" s="107"/>
    </row>
    <row r="104" spans="1:30" customFormat="1" ht="15" customHeight="1" x14ac:dyDescent="0.25">
      <c r="A104" s="43"/>
      <c r="B104" s="44"/>
      <c r="C104" s="1"/>
      <c r="D104" s="43"/>
      <c r="E104" s="46"/>
      <c r="F104" s="47"/>
      <c r="G104" s="47"/>
      <c r="H104" s="47"/>
      <c r="I104" s="75"/>
      <c r="J104" s="110"/>
      <c r="K104" s="51"/>
      <c r="L104" s="69"/>
      <c r="M104" s="43" t="str">
        <f t="shared" si="16"/>
        <v/>
      </c>
      <c r="N104" s="43" t="str">
        <f t="shared" si="17"/>
        <v/>
      </c>
      <c r="O104" s="104" t="str">
        <f t="shared" si="18"/>
        <v/>
      </c>
      <c r="P104" s="105" t="str">
        <f t="shared" si="19"/>
        <v/>
      </c>
      <c r="Q104" s="106"/>
      <c r="R104" s="105"/>
      <c r="S104" s="62"/>
      <c r="T104" s="62"/>
      <c r="U104" s="62"/>
      <c r="V104" s="57" t="s">
        <v>86</v>
      </c>
      <c r="W104" s="58" t="s">
        <v>102</v>
      </c>
      <c r="X104" s="58">
        <v>65286</v>
      </c>
      <c r="Y104" s="57"/>
      <c r="Z104" s="58"/>
      <c r="AA104" s="58"/>
      <c r="AD104" s="107"/>
    </row>
    <row r="105" spans="1:30" customFormat="1" ht="15" customHeight="1" x14ac:dyDescent="0.25">
      <c r="A105" s="43"/>
      <c r="B105" s="44"/>
      <c r="C105" s="1"/>
      <c r="D105" s="43"/>
      <c r="E105" s="46"/>
      <c r="F105" s="47"/>
      <c r="G105" s="47"/>
      <c r="H105" s="47"/>
      <c r="I105" s="75"/>
      <c r="J105" s="110"/>
      <c r="K105" s="51"/>
      <c r="L105" s="69"/>
      <c r="M105" s="43" t="str">
        <f t="shared" si="16"/>
        <v/>
      </c>
      <c r="N105" s="43" t="str">
        <f t="shared" si="17"/>
        <v/>
      </c>
      <c r="O105" s="104" t="str">
        <f t="shared" si="18"/>
        <v/>
      </c>
      <c r="P105" s="105" t="str">
        <f t="shared" si="19"/>
        <v/>
      </c>
      <c r="Q105" s="106"/>
      <c r="R105" s="105"/>
      <c r="S105" s="62"/>
      <c r="T105" s="62"/>
      <c r="U105" s="62"/>
      <c r="V105" s="57" t="s">
        <v>86</v>
      </c>
      <c r="W105" s="58" t="s">
        <v>103</v>
      </c>
      <c r="X105" s="58">
        <v>65287</v>
      </c>
      <c r="Y105" s="57"/>
      <c r="Z105" s="58"/>
      <c r="AA105" s="58"/>
      <c r="AD105" s="107"/>
    </row>
    <row r="106" spans="1:30" customFormat="1" ht="15" customHeight="1" x14ac:dyDescent="0.25">
      <c r="A106" s="43">
        <v>102</v>
      </c>
      <c r="B106" s="44"/>
      <c r="C106" s="112" t="s">
        <v>168</v>
      </c>
      <c r="D106" s="43" t="s">
        <v>69</v>
      </c>
      <c r="E106" s="81" t="s">
        <v>49</v>
      </c>
      <c r="F106" s="47">
        <v>0</v>
      </c>
      <c r="G106" s="47">
        <v>2</v>
      </c>
      <c r="H106" s="47">
        <v>0</v>
      </c>
      <c r="I106" s="75">
        <v>1</v>
      </c>
      <c r="J106" s="110" t="s">
        <v>81</v>
      </c>
      <c r="K106" s="51"/>
      <c r="L106" s="69" t="s">
        <v>169</v>
      </c>
      <c r="M106" s="43">
        <f t="shared" si="16"/>
        <v>55</v>
      </c>
      <c r="N106" s="43">
        <f t="shared" si="17"/>
        <v>5</v>
      </c>
      <c r="O106" s="104">
        <f t="shared" si="18"/>
        <v>28262</v>
      </c>
      <c r="P106" s="105" t="str">
        <f t="shared" si="19"/>
        <v>0x6E66</v>
      </c>
      <c r="Q106" s="106"/>
      <c r="R106" s="105"/>
      <c r="S106" s="62"/>
      <c r="T106" s="62"/>
      <c r="U106" s="62"/>
      <c r="V106" s="57" t="s">
        <v>168</v>
      </c>
      <c r="W106" s="58" t="s">
        <v>170</v>
      </c>
      <c r="X106" s="58">
        <v>0</v>
      </c>
      <c r="Y106" s="57" t="s">
        <v>168</v>
      </c>
      <c r="Z106" s="58" t="s">
        <v>173</v>
      </c>
      <c r="AA106" s="58">
        <v>0</v>
      </c>
      <c r="AD106" s="107"/>
    </row>
    <row r="107" spans="1:30" customFormat="1" ht="15" customHeight="1" x14ac:dyDescent="0.25">
      <c r="A107" s="43"/>
      <c r="B107" s="44"/>
      <c r="C107" s="112" t="s">
        <v>43</v>
      </c>
      <c r="D107" s="43"/>
      <c r="E107" s="46"/>
      <c r="F107" s="47"/>
      <c r="G107" s="47"/>
      <c r="H107" s="47"/>
      <c r="I107" s="75"/>
      <c r="J107" s="110"/>
      <c r="K107" s="51"/>
      <c r="L107" s="69"/>
      <c r="M107" s="43"/>
      <c r="N107" s="43"/>
      <c r="O107" s="104"/>
      <c r="P107" s="105"/>
      <c r="Q107" s="106"/>
      <c r="R107" s="105"/>
      <c r="S107" s="62"/>
      <c r="T107" s="62"/>
      <c r="U107" s="62"/>
      <c r="V107" s="57" t="s">
        <v>168</v>
      </c>
      <c r="W107" s="58" t="s">
        <v>171</v>
      </c>
      <c r="X107" s="58">
        <v>1</v>
      </c>
      <c r="Y107" s="57" t="s">
        <v>168</v>
      </c>
      <c r="Z107" s="58" t="s">
        <v>174</v>
      </c>
      <c r="AA107" s="58">
        <v>1</v>
      </c>
      <c r="AD107" s="107"/>
    </row>
    <row r="108" spans="1:30" customFormat="1" ht="15" customHeight="1" x14ac:dyDescent="0.25">
      <c r="A108" s="43"/>
      <c r="B108" s="44"/>
      <c r="C108" s="112" t="s">
        <v>43</v>
      </c>
      <c r="D108" s="43"/>
      <c r="E108" s="46"/>
      <c r="F108" s="47"/>
      <c r="G108" s="47"/>
      <c r="H108" s="47"/>
      <c r="I108" s="75"/>
      <c r="J108" s="110"/>
      <c r="K108" s="51"/>
      <c r="L108" s="69"/>
      <c r="M108" s="43"/>
      <c r="N108" s="43"/>
      <c r="O108" s="104"/>
      <c r="P108" s="105"/>
      <c r="Q108" s="106"/>
      <c r="R108" s="105"/>
      <c r="S108" s="62"/>
      <c r="T108" s="62"/>
      <c r="U108" s="62"/>
      <c r="V108" s="57" t="s">
        <v>168</v>
      </c>
      <c r="W108" s="58" t="s">
        <v>172</v>
      </c>
      <c r="X108" s="58">
        <v>2</v>
      </c>
      <c r="Y108" s="57"/>
      <c r="Z108" s="58"/>
      <c r="AA108" s="58"/>
      <c r="AD108" s="107"/>
    </row>
    <row r="109" spans="1:30" customFormat="1" ht="15" customHeight="1" x14ac:dyDescent="0.25">
      <c r="A109" s="43"/>
      <c r="B109" s="44"/>
      <c r="C109" s="45"/>
      <c r="D109" s="43"/>
      <c r="E109" s="51"/>
      <c r="F109" s="51"/>
      <c r="G109" s="47"/>
      <c r="H109" s="47"/>
      <c r="I109" s="73"/>
      <c r="J109" s="78"/>
      <c r="K109" s="79"/>
      <c r="L109" s="45"/>
      <c r="M109" s="43" t="str">
        <f t="shared" si="16"/>
        <v/>
      </c>
      <c r="N109" s="43" t="str">
        <f t="shared" si="17"/>
        <v/>
      </c>
      <c r="O109" s="104" t="str">
        <f t="shared" si="18"/>
        <v/>
      </c>
      <c r="P109" s="105" t="str">
        <f t="shared" si="19"/>
        <v/>
      </c>
      <c r="Q109" s="106"/>
      <c r="R109" s="105"/>
      <c r="S109" s="62"/>
      <c r="T109" s="62"/>
      <c r="U109" s="62"/>
      <c r="V109" s="57"/>
      <c r="W109" s="58"/>
      <c r="X109" s="58"/>
      <c r="Y109" s="57"/>
      <c r="Z109" s="58"/>
      <c r="AA109" s="58"/>
      <c r="AD109" s="107"/>
    </row>
    <row r="110" spans="1:30" customFormat="1" ht="15" customHeight="1" x14ac:dyDescent="0.25">
      <c r="A110" s="43">
        <v>494</v>
      </c>
      <c r="B110" s="44"/>
      <c r="C110" s="45" t="s">
        <v>65</v>
      </c>
      <c r="D110" s="80" t="s">
        <v>66</v>
      </c>
      <c r="E110" s="81" t="s">
        <v>49</v>
      </c>
      <c r="F110" s="80">
        <v>0</v>
      </c>
      <c r="G110" s="82">
        <v>255</v>
      </c>
      <c r="H110" s="83"/>
      <c r="I110" s="80"/>
      <c r="J110" s="69"/>
      <c r="K110" s="84" t="s">
        <v>67</v>
      </c>
      <c r="L110" s="85" t="s">
        <v>68</v>
      </c>
      <c r="M110" s="43">
        <f>IF(A110&lt;&gt;"",$D$5,"")</f>
        <v>55</v>
      </c>
      <c r="N110" s="43">
        <f>IF(A110&lt;&gt;"",$D$4,"")</f>
        <v>5</v>
      </c>
      <c r="O110" s="104">
        <f>IF(A110&lt;&gt;"",M110*2^9+A110,"")</f>
        <v>28654</v>
      </c>
      <c r="P110" s="105" t="str">
        <f>IF(A110&lt;&gt;"","0x" &amp;DEC2HEX( O110,4),"")</f>
        <v>0x6FEE</v>
      </c>
      <c r="Q110" s="106" t="s">
        <v>52</v>
      </c>
      <c r="R110" s="105"/>
      <c r="S110" s="62"/>
      <c r="T110" s="62"/>
      <c r="U110" s="62"/>
      <c r="V110" s="57"/>
      <c r="W110" s="58"/>
      <c r="X110" s="58"/>
      <c r="Y110" s="57"/>
      <c r="Z110" s="58"/>
      <c r="AA110" s="58"/>
    </row>
    <row r="111" spans="1:30" customFormat="1" ht="15" customHeight="1" x14ac:dyDescent="0.25">
      <c r="A111" s="43"/>
      <c r="B111" s="86"/>
      <c r="C111" s="45"/>
      <c r="D111" s="43"/>
      <c r="E111" s="51"/>
      <c r="F111" s="51"/>
      <c r="G111" s="47"/>
      <c r="H111" s="87"/>
      <c r="I111" s="73"/>
      <c r="J111" s="45"/>
      <c r="K111" s="51"/>
      <c r="L111" s="45"/>
      <c r="M111" s="43" t="str">
        <f>IF(A111&lt;&gt;"",$D$5,"")</f>
        <v/>
      </c>
      <c r="N111" s="43" t="str">
        <f>IF(A111&lt;&gt;"",$D$4,"")</f>
        <v/>
      </c>
      <c r="O111" s="104" t="str">
        <f>IF(A111&lt;&gt;"",M111*2^9+A111,"")</f>
        <v/>
      </c>
      <c r="P111" s="105" t="str">
        <f>IF(A111&lt;&gt;"","0x" &amp;DEC2HEX( O111,4),"")</f>
        <v/>
      </c>
      <c r="Q111" s="106"/>
      <c r="R111" s="105"/>
      <c r="S111" s="62"/>
      <c r="T111" s="62"/>
      <c r="U111" s="62"/>
      <c r="V111" s="114"/>
      <c r="W111" s="107"/>
      <c r="X111" s="107"/>
      <c r="Y111" s="114"/>
      <c r="Z111" s="107"/>
      <c r="AA111" s="107"/>
    </row>
    <row r="112" spans="1:30" customFormat="1" ht="15" x14ac:dyDescent="0.25">
      <c r="A112" s="115">
        <v>511</v>
      </c>
      <c r="B112" s="89"/>
      <c r="C112" s="116" t="str">
        <f>"GD_ID_"&amp;$D$3&amp;"_LifeMessage"</f>
        <v>GD_ID_4WS_LifeMessage</v>
      </c>
      <c r="D112" s="90" t="s">
        <v>69</v>
      </c>
      <c r="E112" s="91" t="s">
        <v>38</v>
      </c>
      <c r="F112" s="92">
        <v>0</v>
      </c>
      <c r="G112" s="92">
        <v>65535</v>
      </c>
      <c r="H112" s="92"/>
      <c r="I112" s="92">
        <v>1</v>
      </c>
      <c r="J112" s="90"/>
      <c r="K112" s="93"/>
      <c r="L112" s="116" t="s">
        <v>70</v>
      </c>
      <c r="M112" s="117">
        <f>$D$5</f>
        <v>55</v>
      </c>
      <c r="N112" s="117">
        <f>IF(A112&lt;&gt;"",$D$4,"")</f>
        <v>5</v>
      </c>
      <c r="O112" s="117">
        <f xml:space="preserve"> (M112*512+A112)</f>
        <v>28671</v>
      </c>
      <c r="P112" s="115" t="str">
        <f>IF(A112&lt;&gt;"","0x" &amp;DEC2HEX( O112,4),"")</f>
        <v>0x6FFF</v>
      </c>
      <c r="Q112" s="118"/>
      <c r="R112" s="115"/>
      <c r="S112" s="62"/>
      <c r="T112" s="62"/>
      <c r="U112" s="62"/>
      <c r="V112" s="114"/>
      <c r="W112" s="107"/>
      <c r="X112" s="107"/>
      <c r="Y112" s="114"/>
      <c r="Z112" s="107"/>
      <c r="AA112" s="107"/>
    </row>
    <row r="113" spans="1:27" customFormat="1" ht="15" x14ac:dyDescent="0.25">
      <c r="A113" s="119" t="s">
        <v>71</v>
      </c>
      <c r="B113" s="86"/>
      <c r="D113" s="119"/>
      <c r="E113" s="119"/>
      <c r="F113" s="119"/>
      <c r="G113" s="119"/>
      <c r="H113" s="119"/>
      <c r="I113" s="120"/>
      <c r="Q113" s="105"/>
      <c r="R113" s="121"/>
      <c r="S113" s="62"/>
      <c r="T113" s="62"/>
      <c r="U113" s="62"/>
      <c r="V113" s="114"/>
      <c r="W113" s="107"/>
      <c r="X113" s="107"/>
      <c r="Y113" s="114"/>
      <c r="Z113" s="107"/>
      <c r="AA113" s="107"/>
    </row>
    <row r="114" spans="1:27" customFormat="1" ht="15" x14ac:dyDescent="0.25">
      <c r="A114" s="119"/>
      <c r="B114" s="86"/>
      <c r="D114" s="119"/>
      <c r="E114" s="119"/>
      <c r="F114" s="119"/>
      <c r="G114" s="119"/>
      <c r="H114" s="119"/>
      <c r="I114" s="120"/>
      <c r="Q114" s="105"/>
      <c r="R114" s="121"/>
      <c r="S114" s="62"/>
      <c r="T114" s="62"/>
      <c r="U114" s="62"/>
      <c r="V114" s="114"/>
      <c r="W114" s="107"/>
      <c r="X114" s="107"/>
      <c r="Y114" s="114"/>
      <c r="Z114" s="107"/>
      <c r="AA114" s="107"/>
    </row>
    <row r="115" spans="1:27" customFormat="1" ht="15" x14ac:dyDescent="0.25">
      <c r="A115" s="122" t="s">
        <v>72</v>
      </c>
      <c r="B115" s="86"/>
      <c r="D115" s="119"/>
      <c r="E115" s="119"/>
      <c r="F115" s="119"/>
      <c r="G115" s="122"/>
      <c r="H115" s="122"/>
      <c r="I115" s="120"/>
      <c r="J115" s="119"/>
      <c r="Q115" s="105"/>
      <c r="R115" s="121"/>
      <c r="S115" s="62"/>
      <c r="T115" s="62"/>
      <c r="U115" s="62"/>
      <c r="V115" s="114"/>
      <c r="W115" s="107"/>
      <c r="X115" s="107"/>
      <c r="Y115" s="114"/>
      <c r="Z115" s="107"/>
      <c r="AA115" s="107"/>
    </row>
    <row r="116" spans="1:27" customFormat="1" ht="15" x14ac:dyDescent="0.25">
      <c r="A116" s="123"/>
      <c r="B116" s="86"/>
      <c r="C116" s="124" t="s">
        <v>73</v>
      </c>
      <c r="D116" s="119"/>
      <c r="E116" s="119"/>
      <c r="F116" s="119"/>
      <c r="G116" s="119"/>
      <c r="H116" s="119"/>
      <c r="I116" s="120"/>
      <c r="J116" s="120"/>
      <c r="Q116" s="105"/>
      <c r="R116" s="121"/>
      <c r="S116" s="62"/>
      <c r="T116" s="62"/>
      <c r="U116" s="62"/>
      <c r="V116" s="114"/>
      <c r="W116" s="107"/>
      <c r="X116" s="107"/>
      <c r="Y116" s="114"/>
      <c r="Z116" s="107"/>
      <c r="AA116" s="107"/>
    </row>
    <row r="117" spans="1:27" customFormat="1" ht="15" x14ac:dyDescent="0.25">
      <c r="A117" s="119"/>
      <c r="B117" s="86"/>
      <c r="C117" s="124" t="s">
        <v>74</v>
      </c>
      <c r="D117" s="119"/>
      <c r="E117" s="119"/>
      <c r="F117" s="119"/>
      <c r="G117" s="119"/>
      <c r="H117" s="119"/>
      <c r="I117" s="120"/>
      <c r="J117" s="120"/>
      <c r="Q117" s="105"/>
      <c r="R117" s="121"/>
      <c r="S117" s="62"/>
      <c r="T117" s="62"/>
      <c r="U117" s="62"/>
      <c r="V117" s="114"/>
      <c r="W117" s="107"/>
      <c r="X117" s="107"/>
      <c r="Y117" s="114"/>
      <c r="Z117" s="107"/>
      <c r="AA117" s="107"/>
    </row>
    <row r="118" spans="1:27" customFormat="1" ht="15" x14ac:dyDescent="0.25">
      <c r="A118" s="119"/>
      <c r="B118" s="86"/>
      <c r="C118" t="s">
        <v>75</v>
      </c>
      <c r="D118" s="119"/>
      <c r="E118" s="119"/>
      <c r="F118" s="119"/>
      <c r="G118" s="119"/>
      <c r="H118" s="119"/>
      <c r="I118" s="120"/>
      <c r="J118" s="120"/>
      <c r="Q118" s="105"/>
      <c r="R118" s="121"/>
      <c r="S118" s="62"/>
      <c r="T118" s="62"/>
      <c r="U118" s="62"/>
      <c r="V118" s="114"/>
      <c r="W118" s="107"/>
      <c r="X118" s="107"/>
      <c r="Y118" s="114"/>
      <c r="Z118" s="107"/>
      <c r="AA118" s="107"/>
    </row>
    <row r="119" spans="1:27" x14ac:dyDescent="0.2">
      <c r="A119" s="96"/>
      <c r="B119" s="86"/>
      <c r="Q119" s="61"/>
      <c r="R119" s="32"/>
      <c r="S119" s="62"/>
      <c r="T119" s="62"/>
      <c r="U119" s="62"/>
      <c r="V119" s="88"/>
      <c r="X119" s="13"/>
      <c r="Y119" s="88"/>
      <c r="Z119" s="13"/>
      <c r="AA119" s="13"/>
    </row>
    <row r="120" spans="1:27" x14ac:dyDescent="0.2">
      <c r="B120" s="86"/>
      <c r="C120" s="95"/>
      <c r="D120" s="95"/>
      <c r="Q120" s="61"/>
      <c r="R120" s="32"/>
      <c r="S120" s="62"/>
      <c r="T120" s="62"/>
      <c r="U120" s="62"/>
      <c r="V120" s="88"/>
      <c r="X120" s="13"/>
      <c r="Y120" s="88"/>
      <c r="Z120" s="13"/>
      <c r="AA120" s="13"/>
    </row>
    <row r="121" spans="1:27" x14ac:dyDescent="0.2">
      <c r="B121" s="86"/>
      <c r="C121" s="95"/>
      <c r="D121" s="95"/>
      <c r="Q121" s="61"/>
      <c r="R121" s="32"/>
      <c r="S121" s="62"/>
      <c r="T121" s="62"/>
      <c r="U121" s="62"/>
      <c r="V121" s="88"/>
      <c r="X121" s="13"/>
      <c r="Y121" s="88"/>
      <c r="Z121" s="13"/>
      <c r="AA121" s="13"/>
    </row>
    <row r="122" spans="1:27" x14ac:dyDescent="0.2">
      <c r="B122" s="86"/>
      <c r="C122" s="95"/>
      <c r="D122" s="95"/>
      <c r="Q122" s="61"/>
      <c r="R122" s="32"/>
      <c r="S122" s="62"/>
      <c r="T122" s="62"/>
      <c r="U122" s="62"/>
      <c r="V122" s="88"/>
      <c r="X122" s="13"/>
      <c r="Y122" s="88"/>
      <c r="Z122" s="13"/>
      <c r="AA122" s="13"/>
    </row>
    <row r="123" spans="1:27" x14ac:dyDescent="0.2">
      <c r="B123" s="86"/>
      <c r="C123" s="95"/>
      <c r="D123" s="95"/>
      <c r="Q123" s="61"/>
      <c r="R123" s="32"/>
      <c r="S123" s="62"/>
      <c r="T123" s="62"/>
      <c r="U123" s="62"/>
      <c r="V123" s="88"/>
      <c r="X123" s="13"/>
      <c r="Y123" s="88"/>
      <c r="Z123" s="13"/>
      <c r="AA123" s="13"/>
    </row>
    <row r="124" spans="1:27" x14ac:dyDescent="0.2">
      <c r="B124" s="86"/>
      <c r="C124" s="95"/>
      <c r="D124" s="95"/>
      <c r="Q124" s="61"/>
      <c r="R124" s="32"/>
      <c r="S124" s="62"/>
      <c r="T124" s="62"/>
      <c r="U124" s="62"/>
      <c r="V124" s="88"/>
      <c r="X124" s="13"/>
      <c r="Y124" s="88"/>
      <c r="Z124" s="13"/>
      <c r="AA124" s="13"/>
    </row>
    <row r="125" spans="1:27" x14ac:dyDescent="0.2">
      <c r="B125" s="86"/>
      <c r="C125" s="95"/>
      <c r="D125" s="95"/>
      <c r="Q125" s="61"/>
      <c r="R125" s="32"/>
      <c r="S125" s="62"/>
      <c r="T125" s="62"/>
      <c r="U125" s="62"/>
      <c r="V125" s="88"/>
      <c r="X125" s="13"/>
      <c r="Y125" s="88"/>
      <c r="Z125" s="13"/>
      <c r="AA125" s="13"/>
    </row>
    <row r="126" spans="1:27" x14ac:dyDescent="0.2">
      <c r="B126" s="86"/>
      <c r="Q126" s="61"/>
      <c r="R126" s="32"/>
      <c r="S126" s="62"/>
      <c r="T126" s="62"/>
      <c r="U126" s="62"/>
      <c r="V126" s="88"/>
      <c r="X126" s="13"/>
      <c r="Y126" s="88"/>
      <c r="Z126" s="13"/>
      <c r="AA126" s="13"/>
    </row>
    <row r="127" spans="1:27" x14ac:dyDescent="0.2">
      <c r="B127" s="86"/>
      <c r="Q127" s="61"/>
      <c r="R127" s="32"/>
      <c r="S127" s="62"/>
      <c r="T127" s="62"/>
      <c r="U127" s="62"/>
      <c r="V127" s="88"/>
      <c r="X127" s="13"/>
      <c r="Y127" s="88"/>
      <c r="Z127" s="13"/>
      <c r="AA127" s="13"/>
    </row>
    <row r="128" spans="1:27" x14ac:dyDescent="0.2">
      <c r="A128" s="96"/>
      <c r="B128" s="86"/>
      <c r="Q128" s="61"/>
      <c r="R128" s="32"/>
      <c r="S128" s="62"/>
      <c r="T128" s="62"/>
      <c r="U128" s="62"/>
      <c r="V128" s="88"/>
      <c r="X128" s="13"/>
      <c r="Y128" s="88"/>
      <c r="Z128" s="13"/>
      <c r="AA128" s="13"/>
    </row>
    <row r="129" spans="1:27" x14ac:dyDescent="0.2">
      <c r="B129" s="86"/>
      <c r="D129" s="95"/>
      <c r="Q129" s="61"/>
      <c r="R129" s="32"/>
      <c r="S129" s="62"/>
      <c r="T129" s="62"/>
      <c r="U129" s="62"/>
      <c r="V129" s="88"/>
      <c r="X129" s="13"/>
      <c r="Y129" s="88"/>
      <c r="Z129" s="13"/>
      <c r="AA129" s="13"/>
    </row>
    <row r="130" spans="1:27" x14ac:dyDescent="0.2">
      <c r="B130" s="86"/>
      <c r="D130" s="95"/>
      <c r="Q130" s="61"/>
      <c r="R130" s="32"/>
      <c r="S130" s="62"/>
      <c r="T130" s="62"/>
      <c r="U130" s="62"/>
      <c r="V130" s="88"/>
      <c r="X130" s="13"/>
      <c r="Y130" s="88"/>
      <c r="Z130" s="13"/>
      <c r="AA130" s="13"/>
    </row>
    <row r="131" spans="1:27" x14ac:dyDescent="0.2">
      <c r="B131" s="86"/>
      <c r="D131" s="95"/>
      <c r="Q131" s="61"/>
      <c r="R131" s="32"/>
      <c r="S131" s="62"/>
      <c r="T131" s="62"/>
      <c r="U131" s="62"/>
      <c r="V131" s="88"/>
      <c r="X131" s="13"/>
      <c r="Y131" s="88"/>
      <c r="Z131" s="13"/>
      <c r="AA131" s="13"/>
    </row>
    <row r="132" spans="1:27" x14ac:dyDescent="0.2">
      <c r="B132" s="86"/>
      <c r="Q132" s="61"/>
      <c r="R132" s="32"/>
      <c r="S132" s="62"/>
      <c r="T132" s="62"/>
      <c r="U132" s="62"/>
      <c r="V132" s="88"/>
      <c r="X132" s="13"/>
      <c r="Y132" s="88"/>
      <c r="Z132" s="13"/>
      <c r="AA132" s="13"/>
    </row>
    <row r="133" spans="1:27" x14ac:dyDescent="0.2">
      <c r="B133" s="86"/>
      <c r="Q133" s="61"/>
      <c r="R133" s="32"/>
      <c r="S133" s="62"/>
      <c r="T133" s="62"/>
      <c r="U133" s="62"/>
      <c r="V133" s="88"/>
      <c r="X133" s="13"/>
      <c r="Y133" s="88"/>
      <c r="Z133" s="13"/>
      <c r="AA133" s="13"/>
    </row>
    <row r="134" spans="1:27" x14ac:dyDescent="0.2">
      <c r="B134" s="86"/>
      <c r="Q134" s="61"/>
      <c r="R134" s="32"/>
      <c r="S134" s="62"/>
      <c r="T134" s="62"/>
      <c r="U134" s="62"/>
      <c r="V134" s="88"/>
      <c r="X134" s="13"/>
      <c r="Y134" s="88"/>
      <c r="Z134" s="13"/>
      <c r="AA134" s="13"/>
    </row>
    <row r="135" spans="1:27" x14ac:dyDescent="0.2">
      <c r="A135" s="1"/>
      <c r="B135" s="86"/>
      <c r="Q135" s="61"/>
      <c r="R135" s="32"/>
      <c r="S135" s="62"/>
      <c r="T135" s="62"/>
      <c r="U135" s="62"/>
      <c r="V135" s="88"/>
      <c r="X135" s="13"/>
      <c r="Y135" s="88"/>
      <c r="Z135" s="13"/>
      <c r="AA135" s="13"/>
    </row>
    <row r="136" spans="1:27" x14ac:dyDescent="0.2">
      <c r="A136" s="1"/>
      <c r="B136" s="86"/>
      <c r="Q136" s="61"/>
      <c r="R136" s="32"/>
      <c r="S136" s="62"/>
      <c r="T136" s="62"/>
      <c r="U136" s="62"/>
      <c r="V136" s="88"/>
      <c r="X136" s="13"/>
      <c r="Y136" s="88"/>
      <c r="Z136" s="13"/>
      <c r="AA136" s="13"/>
    </row>
    <row r="137" spans="1:27" x14ac:dyDescent="0.2">
      <c r="A137" s="1"/>
      <c r="B137" s="86"/>
      <c r="Q137" s="61"/>
      <c r="R137" s="32"/>
      <c r="S137" s="62"/>
      <c r="T137" s="62"/>
      <c r="U137" s="62"/>
      <c r="V137" s="88"/>
      <c r="X137" s="13"/>
      <c r="Y137" s="88"/>
      <c r="Z137" s="13"/>
      <c r="AA137" s="13"/>
    </row>
    <row r="138" spans="1:27" x14ac:dyDescent="0.2">
      <c r="A138" s="1"/>
      <c r="B138" s="86"/>
      <c r="Q138" s="61"/>
      <c r="R138" s="32"/>
      <c r="S138" s="62"/>
      <c r="T138" s="62"/>
      <c r="U138" s="62"/>
      <c r="V138" s="88"/>
      <c r="X138" s="13"/>
      <c r="Y138" s="88"/>
      <c r="Z138" s="13"/>
      <c r="AA138" s="13"/>
    </row>
    <row r="139" spans="1:27" x14ac:dyDescent="0.2">
      <c r="A139" s="1"/>
      <c r="B139" s="86"/>
      <c r="Q139" s="61"/>
      <c r="R139" s="32"/>
      <c r="S139" s="62"/>
      <c r="T139" s="62"/>
      <c r="U139" s="62"/>
      <c r="V139" s="88"/>
      <c r="X139" s="13"/>
      <c r="Y139" s="88"/>
      <c r="Z139" s="13"/>
      <c r="AA139" s="13"/>
    </row>
    <row r="140" spans="1:27" x14ac:dyDescent="0.2">
      <c r="A140" s="1"/>
      <c r="B140" s="86"/>
      <c r="Q140" s="61"/>
      <c r="R140" s="32"/>
      <c r="S140" s="62"/>
      <c r="T140" s="62"/>
      <c r="U140" s="62"/>
      <c r="V140" s="88"/>
      <c r="X140" s="13"/>
      <c r="Y140" s="88"/>
      <c r="Z140" s="13"/>
      <c r="AA140" s="13"/>
    </row>
    <row r="141" spans="1:27" x14ac:dyDescent="0.2">
      <c r="A141" s="1"/>
      <c r="B141" s="86"/>
      <c r="Q141" s="61"/>
      <c r="R141" s="32"/>
      <c r="S141" s="62"/>
      <c r="T141" s="62"/>
      <c r="U141" s="62"/>
      <c r="V141" s="88"/>
      <c r="X141" s="13"/>
      <c r="Y141" s="88"/>
      <c r="Z141" s="13"/>
      <c r="AA141" s="13"/>
    </row>
    <row r="142" spans="1:27" x14ac:dyDescent="0.2">
      <c r="A142" s="1"/>
      <c r="B142" s="86"/>
      <c r="Q142" s="61"/>
      <c r="R142" s="32"/>
      <c r="S142" s="62"/>
      <c r="T142" s="62"/>
      <c r="U142" s="62"/>
      <c r="V142" s="88"/>
      <c r="X142" s="13"/>
      <c r="Y142" s="88"/>
      <c r="Z142" s="13"/>
      <c r="AA142" s="13"/>
    </row>
    <row r="143" spans="1:27" x14ac:dyDescent="0.2">
      <c r="A143" s="1"/>
      <c r="B143" s="86"/>
      <c r="Q143" s="61"/>
      <c r="R143" s="32"/>
      <c r="S143" s="62"/>
      <c r="T143" s="62"/>
      <c r="U143" s="62"/>
      <c r="V143" s="88"/>
      <c r="X143" s="13"/>
      <c r="Y143" s="88"/>
      <c r="Z143" s="13"/>
      <c r="AA143" s="13"/>
    </row>
    <row r="144" spans="1:27" x14ac:dyDescent="0.2">
      <c r="A144" s="1"/>
      <c r="B144" s="86"/>
      <c r="Q144" s="61"/>
      <c r="R144" s="32"/>
      <c r="S144" s="62"/>
      <c r="T144" s="62"/>
      <c r="U144" s="62"/>
      <c r="V144" s="88"/>
      <c r="X144" s="13"/>
      <c r="Y144" s="88"/>
      <c r="Z144" s="13"/>
      <c r="AA144" s="13"/>
    </row>
    <row r="145" spans="1:27" x14ac:dyDescent="0.2">
      <c r="A145" s="1"/>
      <c r="B145" s="86"/>
      <c r="Q145" s="61"/>
      <c r="R145" s="32"/>
      <c r="S145" s="62"/>
      <c r="T145" s="62"/>
      <c r="U145" s="62"/>
      <c r="V145" s="88"/>
      <c r="X145" s="13"/>
      <c r="Y145" s="88"/>
      <c r="Z145" s="13"/>
      <c r="AA145" s="13"/>
    </row>
    <row r="146" spans="1:27" x14ac:dyDescent="0.2">
      <c r="A146" s="1"/>
      <c r="B146" s="86"/>
      <c r="Q146" s="61"/>
      <c r="R146" s="32"/>
      <c r="S146" s="62"/>
      <c r="T146" s="62"/>
      <c r="U146" s="62"/>
      <c r="V146" s="88"/>
      <c r="X146" s="13"/>
      <c r="Y146" s="88"/>
      <c r="Z146" s="13"/>
      <c r="AA146" s="13"/>
    </row>
    <row r="147" spans="1:27" x14ac:dyDescent="0.2">
      <c r="A147" s="1"/>
      <c r="B147" s="86"/>
      <c r="Q147" s="61"/>
      <c r="R147" s="32"/>
      <c r="S147" s="62"/>
      <c r="T147" s="62"/>
      <c r="U147" s="62"/>
      <c r="V147" s="88"/>
      <c r="X147" s="13"/>
      <c r="Y147" s="88"/>
      <c r="Z147" s="13"/>
      <c r="AA147" s="13"/>
    </row>
    <row r="148" spans="1:27" x14ac:dyDescent="0.2">
      <c r="A148" s="1"/>
      <c r="B148" s="86"/>
      <c r="Q148" s="61"/>
      <c r="R148" s="32"/>
      <c r="S148" s="62"/>
      <c r="T148" s="62"/>
      <c r="U148" s="62"/>
      <c r="V148" s="88"/>
      <c r="X148" s="13"/>
      <c r="Y148" s="88"/>
      <c r="Z148" s="13"/>
      <c r="AA148" s="13"/>
    </row>
    <row r="149" spans="1:27" x14ac:dyDescent="0.2">
      <c r="A149" s="1"/>
      <c r="B149" s="86"/>
      <c r="Q149" s="61"/>
      <c r="R149" s="32"/>
      <c r="S149" s="62"/>
      <c r="T149" s="62"/>
      <c r="U149" s="62"/>
      <c r="V149" s="88"/>
      <c r="X149" s="13"/>
      <c r="Y149" s="88"/>
      <c r="Z149" s="13"/>
      <c r="AA149" s="13"/>
    </row>
    <row r="150" spans="1:27" x14ac:dyDescent="0.2">
      <c r="A150" s="1"/>
      <c r="B150" s="86"/>
      <c r="Q150" s="61"/>
      <c r="R150" s="32"/>
      <c r="S150" s="62"/>
      <c r="T150" s="62"/>
      <c r="U150" s="62"/>
      <c r="V150" s="88"/>
      <c r="X150" s="13"/>
      <c r="Y150" s="88"/>
      <c r="Z150" s="13"/>
      <c r="AA150" s="13"/>
    </row>
    <row r="151" spans="1:27" x14ac:dyDescent="0.2">
      <c r="A151" s="1"/>
      <c r="B151" s="86"/>
      <c r="Q151" s="61"/>
      <c r="R151" s="32"/>
      <c r="S151" s="62"/>
      <c r="T151" s="62"/>
      <c r="U151" s="62"/>
      <c r="V151" s="88"/>
      <c r="X151" s="13"/>
      <c r="Y151" s="88"/>
      <c r="Z151" s="13"/>
      <c r="AA151" s="13"/>
    </row>
    <row r="152" spans="1:27" x14ac:dyDescent="0.2">
      <c r="A152" s="1"/>
      <c r="B152" s="86"/>
      <c r="Q152" s="61"/>
      <c r="R152" s="32"/>
      <c r="S152" s="62"/>
      <c r="T152" s="62"/>
      <c r="U152" s="62"/>
      <c r="V152" s="88"/>
      <c r="X152" s="13"/>
      <c r="Y152" s="88"/>
      <c r="Z152" s="13"/>
      <c r="AA152" s="13"/>
    </row>
    <row r="153" spans="1:27" x14ac:dyDescent="0.2">
      <c r="A153" s="1"/>
      <c r="B153" s="86"/>
      <c r="Q153" s="61"/>
      <c r="R153" s="32"/>
      <c r="S153" s="62"/>
      <c r="T153" s="62"/>
      <c r="U153" s="62"/>
      <c r="V153" s="88"/>
      <c r="X153" s="13"/>
      <c r="Y153" s="88"/>
      <c r="Z153" s="13"/>
      <c r="AA153" s="13"/>
    </row>
    <row r="154" spans="1:27" x14ac:dyDescent="0.2">
      <c r="A154" s="1"/>
      <c r="B154" s="86"/>
      <c r="Q154" s="61"/>
      <c r="R154" s="32"/>
      <c r="S154" s="62"/>
      <c r="T154" s="62"/>
      <c r="U154" s="62"/>
      <c r="V154" s="88"/>
      <c r="X154" s="13"/>
      <c r="Y154" s="88"/>
      <c r="Z154" s="13"/>
      <c r="AA154" s="13"/>
    </row>
    <row r="155" spans="1:27" x14ac:dyDescent="0.2">
      <c r="A155" s="1"/>
      <c r="B155" s="86"/>
      <c r="Q155" s="61"/>
      <c r="R155" s="32"/>
      <c r="S155" s="62"/>
      <c r="T155" s="62"/>
      <c r="U155" s="62"/>
      <c r="V155" s="88"/>
      <c r="X155" s="13"/>
      <c r="Y155" s="88"/>
      <c r="Z155" s="13"/>
      <c r="AA155" s="13"/>
    </row>
    <row r="156" spans="1:27" x14ac:dyDescent="0.2">
      <c r="A156" s="1"/>
      <c r="B156" s="86"/>
      <c r="Q156" s="61"/>
      <c r="R156" s="32"/>
      <c r="S156" s="62"/>
      <c r="T156" s="62"/>
      <c r="U156" s="62"/>
      <c r="V156" s="88"/>
      <c r="X156" s="13"/>
      <c r="Y156" s="88"/>
      <c r="Z156" s="13"/>
      <c r="AA156" s="13"/>
    </row>
    <row r="157" spans="1:27" x14ac:dyDescent="0.2">
      <c r="A157" s="1"/>
      <c r="B157" s="86"/>
      <c r="Q157" s="61"/>
      <c r="R157" s="32"/>
      <c r="S157" s="62"/>
      <c r="T157" s="62"/>
      <c r="U157" s="62"/>
      <c r="V157" s="88"/>
      <c r="X157" s="13"/>
      <c r="Y157" s="88"/>
      <c r="Z157" s="13"/>
      <c r="AA157" s="13"/>
    </row>
    <row r="158" spans="1:27" x14ac:dyDescent="0.2">
      <c r="A158" s="1"/>
      <c r="B158" s="86"/>
      <c r="Q158" s="61"/>
      <c r="R158" s="32"/>
      <c r="S158" s="62"/>
      <c r="T158" s="62"/>
      <c r="U158" s="62"/>
      <c r="V158" s="88"/>
      <c r="X158" s="13"/>
      <c r="Y158" s="88"/>
      <c r="Z158" s="13"/>
      <c r="AA158" s="13"/>
    </row>
    <row r="159" spans="1:27" x14ac:dyDescent="0.2">
      <c r="A159" s="1"/>
      <c r="B159" s="86"/>
      <c r="Q159" s="61"/>
      <c r="R159" s="32"/>
      <c r="S159" s="62"/>
      <c r="T159" s="62"/>
      <c r="U159" s="62"/>
      <c r="V159" s="88"/>
      <c r="X159" s="13"/>
      <c r="Y159" s="88"/>
      <c r="Z159" s="13"/>
      <c r="AA159" s="13"/>
    </row>
    <row r="160" spans="1:27" x14ac:dyDescent="0.2">
      <c r="A160" s="1"/>
      <c r="B160" s="86"/>
      <c r="Q160" s="61"/>
      <c r="R160" s="32"/>
      <c r="S160" s="62"/>
      <c r="T160" s="62"/>
      <c r="U160" s="62"/>
      <c r="V160" s="88"/>
      <c r="X160" s="13"/>
      <c r="Y160" s="88"/>
      <c r="Z160" s="13"/>
      <c r="AA160" s="13"/>
    </row>
    <row r="161" spans="1:27" x14ac:dyDescent="0.2">
      <c r="A161" s="1"/>
      <c r="B161" s="86"/>
      <c r="Q161" s="61"/>
      <c r="R161" s="32"/>
      <c r="S161" s="62"/>
      <c r="T161" s="62"/>
      <c r="U161" s="62"/>
      <c r="V161" s="88"/>
      <c r="X161" s="13"/>
      <c r="Y161" s="88"/>
      <c r="Z161" s="13"/>
      <c r="AA161" s="13"/>
    </row>
    <row r="162" spans="1:27" x14ac:dyDescent="0.2">
      <c r="A162" s="1"/>
      <c r="B162" s="86"/>
      <c r="Q162" s="61"/>
      <c r="R162" s="32"/>
      <c r="S162" s="62"/>
      <c r="T162" s="62"/>
      <c r="U162" s="62"/>
      <c r="V162" s="88"/>
      <c r="X162" s="13"/>
      <c r="Y162" s="88"/>
      <c r="Z162" s="13"/>
      <c r="AA162" s="13"/>
    </row>
    <row r="163" spans="1:27" x14ac:dyDescent="0.2">
      <c r="A163" s="1"/>
      <c r="B163" s="86"/>
      <c r="Q163" s="61"/>
      <c r="R163" s="32"/>
      <c r="S163" s="62"/>
      <c r="T163" s="62"/>
      <c r="U163" s="62"/>
      <c r="V163" s="88"/>
      <c r="X163" s="13"/>
      <c r="Y163" s="88"/>
      <c r="Z163" s="13"/>
      <c r="AA163" s="13"/>
    </row>
    <row r="164" spans="1:27" x14ac:dyDescent="0.2">
      <c r="A164" s="1"/>
      <c r="B164" s="86"/>
      <c r="Q164" s="61"/>
      <c r="R164" s="32"/>
      <c r="S164" s="62"/>
      <c r="T164" s="62"/>
      <c r="U164" s="62"/>
      <c r="V164" s="88"/>
      <c r="X164" s="13"/>
      <c r="Y164" s="88"/>
      <c r="Z164" s="13"/>
      <c r="AA164" s="13"/>
    </row>
    <row r="165" spans="1:27" x14ac:dyDescent="0.2">
      <c r="A165" s="1"/>
      <c r="B165" s="86"/>
      <c r="Q165" s="61"/>
      <c r="R165" s="32"/>
      <c r="S165" s="62"/>
      <c r="T165" s="62"/>
      <c r="U165" s="62"/>
      <c r="V165" s="88"/>
      <c r="X165" s="13"/>
      <c r="Y165" s="88"/>
      <c r="Z165" s="13"/>
      <c r="AA165" s="13"/>
    </row>
    <row r="166" spans="1:27" x14ac:dyDescent="0.2">
      <c r="A166" s="1"/>
      <c r="B166" s="86"/>
      <c r="Q166" s="61"/>
      <c r="R166" s="32"/>
      <c r="S166" s="62"/>
      <c r="T166" s="62"/>
      <c r="U166" s="62"/>
      <c r="V166" s="88"/>
      <c r="X166" s="13"/>
      <c r="Y166" s="88"/>
      <c r="Z166" s="13"/>
      <c r="AA166" s="13"/>
    </row>
    <row r="167" spans="1:27" x14ac:dyDescent="0.2">
      <c r="A167" s="1"/>
      <c r="B167" s="86"/>
      <c r="Q167" s="61"/>
      <c r="R167" s="32"/>
      <c r="S167" s="62"/>
      <c r="T167" s="62"/>
      <c r="U167" s="62"/>
      <c r="V167" s="88"/>
      <c r="X167" s="13"/>
      <c r="Y167" s="88"/>
      <c r="Z167" s="13"/>
      <c r="AA167" s="13"/>
    </row>
    <row r="168" spans="1:27" x14ac:dyDescent="0.2">
      <c r="A168" s="1"/>
      <c r="B168" s="86"/>
      <c r="Q168" s="61"/>
      <c r="R168" s="32"/>
      <c r="S168" s="62"/>
      <c r="T168" s="62"/>
      <c r="U168" s="62"/>
      <c r="V168" s="88"/>
      <c r="X168" s="13"/>
      <c r="Y168" s="88"/>
      <c r="Z168" s="13"/>
      <c r="AA168" s="13"/>
    </row>
    <row r="169" spans="1:27" x14ac:dyDescent="0.2">
      <c r="A169" s="1"/>
      <c r="B169" s="86"/>
      <c r="Q169" s="61"/>
      <c r="R169" s="32"/>
      <c r="S169" s="62"/>
      <c r="T169" s="62"/>
      <c r="U169" s="62"/>
      <c r="V169" s="88"/>
      <c r="X169" s="13"/>
      <c r="Y169" s="88"/>
      <c r="Z169" s="13"/>
      <c r="AA169" s="13"/>
    </row>
    <row r="170" spans="1:27" x14ac:dyDescent="0.2">
      <c r="A170" s="1"/>
      <c r="B170" s="86"/>
      <c r="Q170" s="61"/>
      <c r="R170" s="32"/>
      <c r="S170" s="62"/>
      <c r="T170" s="62"/>
      <c r="U170" s="62"/>
      <c r="V170" s="88"/>
      <c r="X170" s="13"/>
      <c r="Y170" s="88"/>
      <c r="Z170" s="13"/>
      <c r="AA170" s="13"/>
    </row>
    <row r="171" spans="1:27" x14ac:dyDescent="0.2">
      <c r="A171" s="1"/>
      <c r="B171" s="86"/>
      <c r="Q171" s="61"/>
      <c r="R171" s="32"/>
      <c r="S171" s="62"/>
      <c r="T171" s="62"/>
      <c r="U171" s="62"/>
      <c r="V171" s="88"/>
      <c r="X171" s="13"/>
      <c r="Y171" s="88"/>
      <c r="Z171" s="13"/>
      <c r="AA171" s="13"/>
    </row>
    <row r="172" spans="1:27" x14ac:dyDescent="0.2">
      <c r="A172" s="1"/>
      <c r="B172" s="86"/>
      <c r="Q172" s="61"/>
      <c r="R172" s="32"/>
      <c r="S172" s="62"/>
      <c r="T172" s="62"/>
      <c r="U172" s="62"/>
      <c r="V172" s="88"/>
      <c r="X172" s="13"/>
      <c r="Y172" s="88"/>
      <c r="Z172" s="13"/>
      <c r="AA172" s="13"/>
    </row>
    <row r="173" spans="1:27" x14ac:dyDescent="0.2">
      <c r="A173" s="1"/>
      <c r="B173" s="86"/>
      <c r="Q173" s="61"/>
      <c r="R173" s="32"/>
      <c r="S173" s="62"/>
      <c r="T173" s="62"/>
      <c r="U173" s="62"/>
      <c r="V173" s="88"/>
      <c r="X173" s="13"/>
      <c r="Y173" s="88"/>
      <c r="Z173" s="13"/>
      <c r="AA173" s="13"/>
    </row>
    <row r="174" spans="1:27" x14ac:dyDescent="0.2">
      <c r="A174" s="1"/>
      <c r="B174" s="86"/>
      <c r="Q174" s="61"/>
      <c r="R174" s="32"/>
      <c r="S174" s="62"/>
      <c r="T174" s="62"/>
      <c r="U174" s="62"/>
      <c r="V174" s="88"/>
      <c r="X174" s="13"/>
      <c r="Y174" s="88"/>
      <c r="Z174" s="13"/>
      <c r="AA174" s="13"/>
    </row>
    <row r="175" spans="1:27" x14ac:dyDescent="0.2">
      <c r="A175" s="1"/>
      <c r="B175" s="86"/>
      <c r="Q175" s="61"/>
      <c r="R175" s="32"/>
      <c r="S175" s="62"/>
      <c r="T175" s="62"/>
      <c r="U175" s="62"/>
      <c r="V175" s="88"/>
      <c r="X175" s="13"/>
      <c r="Y175" s="88"/>
      <c r="Z175" s="13"/>
      <c r="AA175" s="13"/>
    </row>
    <row r="176" spans="1:27" x14ac:dyDescent="0.2">
      <c r="A176" s="1"/>
      <c r="B176" s="86"/>
      <c r="Q176" s="61"/>
      <c r="R176" s="32"/>
      <c r="S176" s="62"/>
      <c r="T176" s="62"/>
      <c r="U176" s="62"/>
      <c r="V176" s="88"/>
      <c r="X176" s="13"/>
      <c r="Y176" s="88"/>
      <c r="Z176" s="13"/>
      <c r="AA176" s="13"/>
    </row>
    <row r="177" spans="1:27" x14ac:dyDescent="0.2">
      <c r="A177" s="1"/>
      <c r="B177" s="86"/>
      <c r="Q177" s="61"/>
      <c r="R177" s="32"/>
      <c r="S177" s="62"/>
      <c r="T177" s="62"/>
      <c r="U177" s="62"/>
      <c r="V177" s="88"/>
      <c r="X177" s="13"/>
      <c r="Y177" s="88"/>
      <c r="Z177" s="13"/>
      <c r="AA177" s="13"/>
    </row>
    <row r="178" spans="1:27" x14ac:dyDescent="0.2">
      <c r="A178" s="1"/>
      <c r="B178" s="86"/>
      <c r="Q178" s="61"/>
      <c r="R178" s="32"/>
      <c r="S178" s="62"/>
      <c r="T178" s="62"/>
      <c r="U178" s="62"/>
      <c r="V178" s="88"/>
      <c r="X178" s="13"/>
      <c r="Y178" s="88"/>
      <c r="Z178" s="13"/>
      <c r="AA178" s="13"/>
    </row>
    <row r="179" spans="1:27" x14ac:dyDescent="0.2">
      <c r="A179" s="1"/>
      <c r="B179" s="86"/>
      <c r="Q179" s="61"/>
      <c r="R179" s="32"/>
      <c r="S179" s="62"/>
      <c r="T179" s="62"/>
      <c r="U179" s="62"/>
      <c r="V179" s="88"/>
      <c r="X179" s="13"/>
      <c r="Y179" s="88"/>
      <c r="Z179" s="13"/>
      <c r="AA179" s="13"/>
    </row>
    <row r="180" spans="1:27" x14ac:dyDescent="0.2">
      <c r="A180" s="1"/>
      <c r="B180" s="86"/>
      <c r="Q180" s="61"/>
      <c r="R180" s="32"/>
      <c r="S180" s="62"/>
      <c r="T180" s="62"/>
      <c r="U180" s="62"/>
      <c r="V180" s="88"/>
      <c r="X180" s="13"/>
      <c r="Y180" s="88"/>
      <c r="Z180" s="13"/>
      <c r="AA180" s="13"/>
    </row>
    <row r="181" spans="1:27" x14ac:dyDescent="0.2">
      <c r="A181" s="1"/>
      <c r="B181" s="86"/>
      <c r="Q181" s="61"/>
      <c r="R181" s="32"/>
      <c r="S181" s="62"/>
      <c r="T181" s="62"/>
      <c r="U181" s="62"/>
      <c r="V181" s="88"/>
      <c r="X181" s="13"/>
      <c r="Y181" s="88"/>
      <c r="Z181" s="13"/>
      <c r="AA181" s="13"/>
    </row>
    <row r="182" spans="1:27" x14ac:dyDescent="0.2">
      <c r="A182" s="1"/>
      <c r="B182" s="86"/>
      <c r="Q182" s="61"/>
      <c r="R182" s="32"/>
      <c r="S182" s="62"/>
      <c r="T182" s="62"/>
      <c r="U182" s="62"/>
      <c r="V182" s="88"/>
      <c r="X182" s="13"/>
      <c r="Y182" s="88"/>
      <c r="Z182" s="13"/>
      <c r="AA182" s="13"/>
    </row>
    <row r="183" spans="1:27" x14ac:dyDescent="0.2">
      <c r="A183" s="1"/>
      <c r="B183" s="86"/>
      <c r="Q183" s="61"/>
      <c r="R183" s="32"/>
      <c r="S183" s="62"/>
      <c r="T183" s="62"/>
      <c r="U183" s="62"/>
      <c r="V183" s="88"/>
      <c r="X183" s="13"/>
      <c r="Y183" s="88"/>
      <c r="Z183" s="13"/>
      <c r="AA183" s="13"/>
    </row>
    <row r="184" spans="1:27" x14ac:dyDescent="0.2">
      <c r="A184" s="1"/>
      <c r="B184" s="86"/>
      <c r="Q184" s="61"/>
      <c r="R184" s="32"/>
      <c r="S184" s="62"/>
      <c r="T184" s="62"/>
      <c r="U184" s="62"/>
      <c r="V184" s="88"/>
      <c r="X184" s="13"/>
      <c r="Y184" s="88"/>
      <c r="Z184" s="13"/>
      <c r="AA184" s="13"/>
    </row>
    <row r="185" spans="1:27" x14ac:dyDescent="0.2">
      <c r="A185" s="1"/>
      <c r="B185" s="86"/>
      <c r="Q185" s="61"/>
      <c r="R185" s="32"/>
      <c r="S185" s="62"/>
      <c r="T185" s="62"/>
      <c r="U185" s="62"/>
      <c r="V185" s="88"/>
      <c r="X185" s="13"/>
      <c r="Y185" s="88"/>
      <c r="Z185" s="13"/>
      <c r="AA185" s="13"/>
    </row>
    <row r="186" spans="1:27" x14ac:dyDescent="0.2">
      <c r="A186" s="1"/>
      <c r="B186" s="86"/>
      <c r="Q186" s="61"/>
      <c r="R186" s="32"/>
      <c r="S186" s="62"/>
      <c r="T186" s="62"/>
      <c r="U186" s="62"/>
      <c r="V186" s="88"/>
      <c r="X186" s="13"/>
      <c r="Y186" s="88"/>
      <c r="Z186" s="13"/>
      <c r="AA186" s="13"/>
    </row>
    <row r="187" spans="1:27" x14ac:dyDescent="0.2">
      <c r="A187" s="1"/>
      <c r="B187" s="86"/>
      <c r="Q187" s="61"/>
      <c r="R187" s="32"/>
      <c r="S187" s="62"/>
      <c r="T187" s="62"/>
      <c r="U187" s="62"/>
      <c r="V187" s="88"/>
      <c r="X187" s="13"/>
      <c r="Y187" s="88"/>
      <c r="Z187" s="13"/>
      <c r="AA187" s="13"/>
    </row>
    <row r="188" spans="1:27" x14ac:dyDescent="0.2">
      <c r="A188" s="1"/>
      <c r="B188" s="86"/>
      <c r="Q188" s="61"/>
      <c r="R188" s="32"/>
      <c r="S188" s="62"/>
      <c r="T188" s="62"/>
      <c r="U188" s="62"/>
      <c r="V188" s="88"/>
      <c r="X188" s="13"/>
      <c r="Y188" s="88"/>
      <c r="Z188" s="13"/>
      <c r="AA188" s="13"/>
    </row>
    <row r="189" spans="1:27" x14ac:dyDescent="0.2">
      <c r="A189" s="1"/>
      <c r="B189" s="86"/>
      <c r="Q189" s="61"/>
      <c r="R189" s="32"/>
      <c r="S189" s="62"/>
      <c r="T189" s="62"/>
      <c r="U189" s="62"/>
      <c r="V189" s="88"/>
      <c r="X189" s="13"/>
      <c r="Y189" s="88"/>
      <c r="Z189" s="13"/>
      <c r="AA189" s="13"/>
    </row>
    <row r="190" spans="1:27" x14ac:dyDescent="0.2">
      <c r="A190" s="1"/>
      <c r="B190" s="86"/>
      <c r="Q190" s="61"/>
      <c r="R190" s="32"/>
      <c r="S190" s="62"/>
      <c r="T190" s="62"/>
      <c r="U190" s="62"/>
      <c r="V190" s="88"/>
      <c r="X190" s="13"/>
      <c r="Y190" s="88"/>
      <c r="Z190" s="13"/>
      <c r="AA190" s="13"/>
    </row>
    <row r="191" spans="1:27" x14ac:dyDescent="0.2">
      <c r="A191" s="1"/>
      <c r="B191" s="97"/>
      <c r="Q191" s="61"/>
      <c r="R191" s="32"/>
      <c r="S191" s="62"/>
      <c r="T191" s="62"/>
      <c r="U191" s="62"/>
      <c r="V191" s="88"/>
      <c r="X191" s="13"/>
      <c r="Y191" s="88"/>
      <c r="Z191" s="13"/>
      <c r="AA191" s="13"/>
    </row>
    <row r="192" spans="1:27" x14ac:dyDescent="0.2">
      <c r="A192" s="1"/>
      <c r="B192" s="97"/>
      <c r="Q192" s="61"/>
      <c r="R192" s="32"/>
      <c r="S192" s="62"/>
      <c r="T192" s="62"/>
      <c r="U192" s="62"/>
      <c r="V192" s="88"/>
      <c r="X192" s="13"/>
      <c r="Y192" s="88"/>
      <c r="Z192" s="13"/>
      <c r="AA192" s="13"/>
    </row>
    <row r="193" spans="1:27" x14ac:dyDescent="0.2">
      <c r="A193" s="1"/>
      <c r="B193" s="86"/>
      <c r="Q193" s="61"/>
      <c r="R193" s="32"/>
      <c r="S193" s="62"/>
      <c r="T193" s="62"/>
      <c r="U193" s="62"/>
      <c r="V193" s="88"/>
      <c r="X193" s="13"/>
      <c r="Y193" s="88"/>
      <c r="Z193" s="13"/>
      <c r="AA193" s="13"/>
    </row>
    <row r="194" spans="1:27" x14ac:dyDescent="0.2">
      <c r="A194" s="1"/>
      <c r="B194" s="86"/>
      <c r="Q194" s="61"/>
      <c r="R194" s="32"/>
      <c r="S194" s="62"/>
      <c r="T194" s="62"/>
      <c r="U194" s="62"/>
      <c r="V194" s="88"/>
      <c r="X194" s="13"/>
      <c r="Y194" s="88"/>
      <c r="Z194" s="13"/>
      <c r="AA194" s="13"/>
    </row>
    <row r="195" spans="1:27" x14ac:dyDescent="0.2">
      <c r="A195" s="1"/>
      <c r="B195" s="86"/>
      <c r="Q195" s="61"/>
      <c r="R195" s="32"/>
      <c r="S195" s="62"/>
      <c r="T195" s="62"/>
      <c r="U195" s="62"/>
      <c r="V195" s="88"/>
      <c r="X195" s="13"/>
      <c r="Y195" s="88"/>
      <c r="Z195" s="13"/>
      <c r="AA195" s="13"/>
    </row>
    <row r="196" spans="1:27" x14ac:dyDescent="0.2">
      <c r="A196" s="1"/>
      <c r="B196" s="86"/>
      <c r="Q196" s="61"/>
      <c r="R196" s="32"/>
      <c r="S196" s="62"/>
      <c r="T196" s="62"/>
      <c r="U196" s="62"/>
      <c r="V196" s="88"/>
      <c r="X196" s="13"/>
      <c r="Y196" s="88"/>
      <c r="Z196" s="13"/>
      <c r="AA196" s="13"/>
    </row>
    <row r="197" spans="1:27" x14ac:dyDescent="0.2">
      <c r="A197" s="1"/>
      <c r="B197" s="86"/>
      <c r="Q197" s="61"/>
      <c r="R197" s="32"/>
      <c r="S197" s="62"/>
      <c r="T197" s="62"/>
      <c r="U197" s="62"/>
      <c r="V197" s="88"/>
      <c r="X197" s="13"/>
      <c r="Y197" s="88"/>
      <c r="Z197" s="13"/>
      <c r="AA197" s="13"/>
    </row>
    <row r="198" spans="1:27" x14ac:dyDescent="0.2">
      <c r="A198" s="1"/>
      <c r="B198" s="86"/>
      <c r="Q198" s="61"/>
      <c r="R198" s="32"/>
      <c r="S198" s="62"/>
      <c r="T198" s="62"/>
      <c r="U198" s="62"/>
      <c r="V198" s="88"/>
      <c r="X198" s="13"/>
      <c r="Y198" s="88"/>
      <c r="Z198" s="13"/>
      <c r="AA198" s="13"/>
    </row>
    <row r="199" spans="1:27" x14ac:dyDescent="0.2">
      <c r="A199" s="1"/>
      <c r="B199" s="86"/>
      <c r="Q199" s="61"/>
      <c r="R199" s="32"/>
      <c r="S199" s="62"/>
      <c r="T199" s="62"/>
      <c r="U199" s="62"/>
      <c r="V199" s="88"/>
      <c r="X199" s="13"/>
      <c r="Y199" s="88"/>
      <c r="Z199" s="13"/>
      <c r="AA199" s="13"/>
    </row>
    <row r="200" spans="1:27" x14ac:dyDescent="0.2">
      <c r="A200" s="1"/>
      <c r="B200" s="86"/>
      <c r="Q200" s="61"/>
      <c r="R200" s="32"/>
      <c r="S200" s="62"/>
      <c r="T200" s="62"/>
      <c r="U200" s="62"/>
      <c r="V200" s="88"/>
      <c r="X200" s="13"/>
      <c r="Y200" s="88"/>
      <c r="Z200" s="13"/>
      <c r="AA200" s="13"/>
    </row>
    <row r="201" spans="1:27" x14ac:dyDescent="0.2">
      <c r="A201" s="1"/>
      <c r="B201" s="86"/>
      <c r="Q201" s="61"/>
      <c r="R201" s="32"/>
      <c r="S201" s="62"/>
      <c r="T201" s="62"/>
      <c r="U201" s="62"/>
      <c r="V201" s="88"/>
      <c r="X201" s="13"/>
      <c r="Y201" s="88"/>
      <c r="Z201" s="13"/>
      <c r="AA201" s="13"/>
    </row>
    <row r="202" spans="1:27" x14ac:dyDescent="0.2">
      <c r="A202" s="1"/>
      <c r="B202" s="86"/>
      <c r="Q202" s="61"/>
      <c r="R202" s="32"/>
      <c r="S202" s="62"/>
      <c r="T202" s="62"/>
      <c r="U202" s="62"/>
      <c r="V202" s="88"/>
      <c r="X202" s="13"/>
      <c r="Y202" s="88"/>
      <c r="Z202" s="13"/>
      <c r="AA202" s="13"/>
    </row>
    <row r="203" spans="1:27" x14ac:dyDescent="0.2">
      <c r="A203" s="1"/>
      <c r="B203" s="86"/>
      <c r="Q203" s="61"/>
      <c r="R203" s="32"/>
      <c r="S203" s="62"/>
      <c r="T203" s="62"/>
      <c r="U203" s="62"/>
      <c r="V203" s="88"/>
      <c r="X203" s="13"/>
      <c r="Y203" s="88"/>
      <c r="Z203" s="13"/>
      <c r="AA203" s="13"/>
    </row>
    <row r="204" spans="1:27" x14ac:dyDescent="0.2">
      <c r="A204" s="1"/>
      <c r="B204" s="86"/>
      <c r="Q204" s="61"/>
      <c r="R204" s="32"/>
      <c r="S204" s="62"/>
      <c r="T204" s="62"/>
      <c r="U204" s="62"/>
      <c r="V204" s="88"/>
      <c r="X204" s="13"/>
      <c r="Y204" s="88"/>
      <c r="Z204" s="13"/>
      <c r="AA204" s="13"/>
    </row>
    <row r="205" spans="1:27" x14ac:dyDescent="0.2">
      <c r="A205" s="1"/>
      <c r="B205" s="86"/>
      <c r="Q205" s="61"/>
      <c r="R205" s="32"/>
      <c r="S205" s="62"/>
      <c r="T205" s="62"/>
      <c r="U205" s="62"/>
      <c r="V205" s="88"/>
      <c r="X205" s="13"/>
      <c r="Y205" s="88"/>
      <c r="Z205" s="13"/>
      <c r="AA205" s="13"/>
    </row>
    <row r="206" spans="1:27" x14ac:dyDescent="0.2">
      <c r="A206" s="1"/>
      <c r="B206" s="86"/>
      <c r="Q206" s="61"/>
      <c r="R206" s="32"/>
      <c r="S206" s="62"/>
      <c r="T206" s="62"/>
      <c r="U206" s="62"/>
      <c r="V206" s="88"/>
      <c r="X206" s="13"/>
      <c r="Y206" s="88"/>
      <c r="Z206" s="13"/>
      <c r="AA206" s="13"/>
    </row>
    <row r="207" spans="1:27" x14ac:dyDescent="0.2">
      <c r="A207" s="1"/>
      <c r="B207" s="86"/>
      <c r="Q207" s="61"/>
      <c r="R207" s="32"/>
      <c r="S207" s="62"/>
      <c r="T207" s="62"/>
      <c r="U207" s="62"/>
      <c r="V207" s="88"/>
      <c r="X207" s="13"/>
      <c r="Y207" s="88"/>
      <c r="Z207" s="13"/>
      <c r="AA207" s="13"/>
    </row>
    <row r="208" spans="1:27" x14ac:dyDescent="0.2">
      <c r="A208" s="1"/>
      <c r="B208" s="86"/>
      <c r="Q208" s="61"/>
      <c r="R208" s="32"/>
      <c r="S208" s="62"/>
      <c r="T208" s="62"/>
      <c r="U208" s="62"/>
      <c r="V208" s="88"/>
      <c r="X208" s="13"/>
      <c r="Y208" s="88"/>
      <c r="Z208" s="13"/>
      <c r="AA208" s="13"/>
    </row>
    <row r="209" spans="1:27" x14ac:dyDescent="0.2">
      <c r="A209" s="1"/>
      <c r="B209" s="86"/>
      <c r="Q209" s="61"/>
      <c r="R209" s="32"/>
      <c r="S209" s="62"/>
      <c r="T209" s="62"/>
      <c r="U209" s="62"/>
      <c r="V209" s="88"/>
      <c r="X209" s="13"/>
      <c r="Y209" s="88"/>
      <c r="Z209" s="13"/>
      <c r="AA209" s="13"/>
    </row>
    <row r="210" spans="1:27" x14ac:dyDescent="0.2">
      <c r="A210" s="1"/>
      <c r="B210" s="86"/>
      <c r="Q210" s="61"/>
      <c r="R210" s="32"/>
      <c r="S210" s="62"/>
      <c r="T210" s="62"/>
      <c r="U210" s="62"/>
      <c r="V210" s="88"/>
      <c r="X210" s="13"/>
      <c r="Y210" s="88"/>
      <c r="Z210" s="13"/>
      <c r="AA210" s="13"/>
    </row>
    <row r="211" spans="1:27" x14ac:dyDescent="0.2">
      <c r="A211" s="1"/>
      <c r="B211" s="86"/>
      <c r="Q211" s="61"/>
      <c r="R211" s="32"/>
      <c r="S211" s="62"/>
      <c r="T211" s="62"/>
      <c r="U211" s="62"/>
      <c r="V211" s="88"/>
      <c r="X211" s="13"/>
      <c r="Y211" s="88"/>
      <c r="Z211" s="13"/>
      <c r="AA211" s="13"/>
    </row>
    <row r="212" spans="1:27" x14ac:dyDescent="0.2">
      <c r="A212" s="1"/>
      <c r="B212" s="86"/>
      <c r="Q212" s="61"/>
      <c r="R212" s="32"/>
      <c r="S212" s="62"/>
      <c r="T212" s="62"/>
      <c r="U212" s="62"/>
      <c r="V212" s="88"/>
      <c r="X212" s="13"/>
      <c r="Y212" s="88"/>
      <c r="Z212" s="13"/>
      <c r="AA212" s="13"/>
    </row>
    <row r="213" spans="1:27" x14ac:dyDescent="0.2">
      <c r="A213" s="1"/>
      <c r="B213" s="86"/>
      <c r="Q213" s="61"/>
      <c r="R213" s="32"/>
      <c r="S213" s="62"/>
      <c r="T213" s="62"/>
      <c r="U213" s="62"/>
      <c r="V213" s="88"/>
      <c r="X213" s="13"/>
      <c r="Y213" s="88"/>
      <c r="Z213" s="13"/>
      <c r="AA213" s="13"/>
    </row>
    <row r="214" spans="1:27" x14ac:dyDescent="0.2">
      <c r="A214" s="1"/>
      <c r="B214" s="86"/>
      <c r="Q214" s="61"/>
      <c r="R214" s="32"/>
      <c r="S214" s="62"/>
      <c r="T214" s="62"/>
      <c r="U214" s="62"/>
      <c r="V214" s="88"/>
      <c r="X214" s="13"/>
      <c r="Y214" s="88"/>
      <c r="Z214" s="13"/>
      <c r="AA214" s="13"/>
    </row>
    <row r="215" spans="1:27" x14ac:dyDescent="0.2">
      <c r="A215" s="1"/>
      <c r="B215" s="86"/>
      <c r="Q215" s="61"/>
      <c r="R215" s="32"/>
      <c r="S215" s="62"/>
      <c r="T215" s="62"/>
      <c r="U215" s="62"/>
      <c r="V215" s="88"/>
      <c r="X215" s="13"/>
      <c r="Y215" s="88"/>
      <c r="Z215" s="13"/>
      <c r="AA215" s="13"/>
    </row>
    <row r="216" spans="1:27" x14ac:dyDescent="0.2">
      <c r="A216" s="1"/>
      <c r="B216" s="86"/>
      <c r="Q216" s="61"/>
      <c r="R216" s="32"/>
      <c r="S216" s="62"/>
      <c r="T216" s="62"/>
      <c r="U216" s="62"/>
      <c r="V216" s="88"/>
      <c r="X216" s="13"/>
      <c r="Y216" s="88"/>
      <c r="Z216" s="13"/>
      <c r="AA216" s="13"/>
    </row>
    <row r="217" spans="1:27" x14ac:dyDescent="0.2">
      <c r="A217" s="1"/>
      <c r="B217" s="86"/>
      <c r="Q217" s="61"/>
      <c r="R217" s="32"/>
      <c r="S217" s="62"/>
      <c r="T217" s="62"/>
      <c r="U217" s="62"/>
      <c r="V217" s="88"/>
      <c r="X217" s="13"/>
      <c r="Y217" s="88"/>
      <c r="Z217" s="13"/>
      <c r="AA217" s="13"/>
    </row>
    <row r="218" spans="1:27" x14ac:dyDescent="0.2">
      <c r="A218" s="1"/>
      <c r="B218" s="86"/>
      <c r="Q218" s="61"/>
      <c r="R218" s="32"/>
      <c r="S218" s="62"/>
      <c r="T218" s="62"/>
      <c r="U218" s="62"/>
      <c r="V218" s="88"/>
      <c r="X218" s="13"/>
      <c r="Y218" s="88"/>
      <c r="Z218" s="13"/>
      <c r="AA218" s="13"/>
    </row>
    <row r="219" spans="1:27" x14ac:dyDescent="0.2">
      <c r="A219" s="1"/>
      <c r="B219" s="86"/>
      <c r="Q219" s="61"/>
      <c r="R219" s="32"/>
      <c r="S219" s="62"/>
      <c r="T219" s="62"/>
      <c r="U219" s="62"/>
      <c r="V219" s="88"/>
      <c r="X219" s="13"/>
      <c r="Y219" s="88"/>
      <c r="Z219" s="13"/>
      <c r="AA219" s="13"/>
    </row>
    <row r="220" spans="1:27" x14ac:dyDescent="0.2">
      <c r="A220" s="1"/>
      <c r="B220" s="86"/>
      <c r="Q220" s="61"/>
      <c r="R220" s="32"/>
      <c r="S220" s="62"/>
      <c r="T220" s="62"/>
      <c r="U220" s="62"/>
      <c r="V220" s="88"/>
      <c r="X220" s="13"/>
      <c r="Y220" s="88"/>
      <c r="Z220" s="13"/>
      <c r="AA220" s="13"/>
    </row>
    <row r="221" spans="1:27" x14ac:dyDescent="0.2">
      <c r="A221" s="1"/>
      <c r="B221" s="86"/>
      <c r="Q221" s="61"/>
      <c r="R221" s="32"/>
      <c r="S221" s="62"/>
      <c r="T221" s="62"/>
      <c r="U221" s="62"/>
      <c r="V221" s="88"/>
      <c r="X221" s="13"/>
      <c r="Y221" s="88"/>
      <c r="Z221" s="13"/>
      <c r="AA221" s="13"/>
    </row>
    <row r="222" spans="1:27" x14ac:dyDescent="0.2">
      <c r="A222" s="1"/>
      <c r="B222" s="86"/>
      <c r="Q222" s="61"/>
      <c r="R222" s="32"/>
      <c r="S222" s="62"/>
      <c r="T222" s="62"/>
      <c r="U222" s="62"/>
      <c r="V222" s="88"/>
      <c r="X222" s="13"/>
      <c r="Y222" s="88"/>
      <c r="Z222" s="13"/>
      <c r="AA222" s="13"/>
    </row>
    <row r="223" spans="1:27" x14ac:dyDescent="0.2">
      <c r="A223" s="1"/>
      <c r="B223" s="86"/>
      <c r="Q223" s="61"/>
      <c r="R223" s="32"/>
      <c r="S223" s="62"/>
      <c r="T223" s="62"/>
      <c r="U223" s="62"/>
      <c r="V223" s="88"/>
      <c r="X223" s="13"/>
      <c r="Y223" s="88"/>
      <c r="Z223" s="13"/>
      <c r="AA223" s="13"/>
    </row>
    <row r="224" spans="1:27" x14ac:dyDescent="0.2">
      <c r="A224" s="1"/>
      <c r="B224" s="86"/>
      <c r="Q224" s="61"/>
      <c r="R224" s="32"/>
      <c r="S224" s="62"/>
      <c r="T224" s="62"/>
      <c r="U224" s="62"/>
      <c r="V224" s="88"/>
      <c r="X224" s="13"/>
      <c r="Y224" s="88"/>
      <c r="Z224" s="13"/>
      <c r="AA224" s="13"/>
    </row>
    <row r="225" spans="1:27" x14ac:dyDescent="0.2">
      <c r="A225" s="1"/>
      <c r="B225" s="86"/>
      <c r="Q225" s="61"/>
      <c r="R225" s="32"/>
      <c r="S225" s="62"/>
      <c r="T225" s="62"/>
      <c r="U225" s="62"/>
      <c r="V225" s="88"/>
      <c r="X225" s="13"/>
      <c r="Y225" s="88"/>
      <c r="Z225" s="13"/>
      <c r="AA225" s="13"/>
    </row>
    <row r="226" spans="1:27" x14ac:dyDescent="0.2">
      <c r="A226" s="1"/>
      <c r="B226" s="86"/>
      <c r="Q226" s="61"/>
      <c r="R226" s="32"/>
      <c r="S226" s="62"/>
      <c r="T226" s="62"/>
      <c r="U226" s="62"/>
      <c r="V226" s="88"/>
      <c r="X226" s="13"/>
      <c r="Y226" s="88"/>
      <c r="Z226" s="13"/>
      <c r="AA226" s="13"/>
    </row>
    <row r="227" spans="1:27" x14ac:dyDescent="0.2">
      <c r="A227" s="1"/>
      <c r="B227" s="86"/>
      <c r="Q227" s="61"/>
      <c r="R227" s="32"/>
      <c r="S227" s="62"/>
      <c r="T227" s="62"/>
      <c r="U227" s="62"/>
      <c r="V227" s="88"/>
      <c r="X227" s="13"/>
      <c r="Y227" s="88"/>
      <c r="Z227" s="13"/>
      <c r="AA227" s="13"/>
    </row>
    <row r="228" spans="1:27" x14ac:dyDescent="0.2">
      <c r="A228" s="1"/>
      <c r="B228" s="86"/>
      <c r="Q228" s="61"/>
      <c r="R228" s="32"/>
      <c r="S228" s="62"/>
      <c r="T228" s="62"/>
      <c r="U228" s="62"/>
      <c r="V228" s="88"/>
      <c r="X228" s="13"/>
      <c r="Y228" s="88"/>
      <c r="Z228" s="13"/>
      <c r="AA228" s="13"/>
    </row>
    <row r="229" spans="1:27" x14ac:dyDescent="0.2">
      <c r="A229" s="1"/>
      <c r="B229" s="86"/>
      <c r="Q229" s="61"/>
      <c r="R229" s="32"/>
      <c r="S229" s="62"/>
      <c r="T229" s="62"/>
      <c r="U229" s="62"/>
      <c r="V229" s="88"/>
      <c r="X229" s="13"/>
      <c r="Y229" s="88"/>
      <c r="Z229" s="13"/>
      <c r="AA229" s="13"/>
    </row>
    <row r="230" spans="1:27" x14ac:dyDescent="0.2">
      <c r="A230" s="1"/>
      <c r="Q230" s="61"/>
      <c r="R230" s="32"/>
      <c r="S230" s="62"/>
      <c r="T230" s="62"/>
      <c r="U230" s="62"/>
      <c r="V230" s="88"/>
      <c r="X230" s="13"/>
      <c r="Y230" s="88"/>
      <c r="Z230" s="13"/>
      <c r="AA230" s="13"/>
    </row>
    <row r="231" spans="1:27" x14ac:dyDescent="0.2">
      <c r="A231" s="1"/>
      <c r="B231" s="99"/>
      <c r="Q231" s="61"/>
      <c r="R231" s="32"/>
      <c r="S231" s="62"/>
      <c r="T231" s="62"/>
      <c r="U231" s="62"/>
      <c r="V231" s="88"/>
      <c r="X231" s="13"/>
      <c r="Y231" s="88"/>
      <c r="Z231" s="13"/>
      <c r="AA231" s="13"/>
    </row>
    <row r="232" spans="1:27" x14ac:dyDescent="0.2">
      <c r="A232" s="1"/>
      <c r="B232" s="99"/>
      <c r="Q232" s="61"/>
      <c r="R232" s="32"/>
      <c r="S232" s="62"/>
      <c r="T232" s="62"/>
      <c r="U232" s="62"/>
      <c r="V232" s="88"/>
      <c r="X232" s="13"/>
      <c r="Y232" s="88"/>
      <c r="Z232" s="13"/>
      <c r="AA232" s="13"/>
    </row>
    <row r="233" spans="1:27" x14ac:dyDescent="0.2">
      <c r="A233" s="1"/>
      <c r="B233" s="99"/>
      <c r="Q233" s="61"/>
      <c r="R233" s="32"/>
      <c r="S233" s="62"/>
      <c r="T233" s="62"/>
      <c r="U233" s="62"/>
      <c r="V233" s="88"/>
      <c r="X233" s="13"/>
      <c r="Y233" s="88"/>
      <c r="Z233" s="13"/>
      <c r="AA233" s="13"/>
    </row>
    <row r="234" spans="1:27" x14ac:dyDescent="0.2">
      <c r="A234" s="1"/>
      <c r="B234" s="99"/>
      <c r="Q234" s="61"/>
      <c r="R234" s="32"/>
      <c r="S234" s="62"/>
      <c r="T234" s="62"/>
      <c r="U234" s="62"/>
      <c r="V234" s="88"/>
      <c r="X234" s="13"/>
      <c r="Y234" s="88"/>
      <c r="Z234" s="13"/>
      <c r="AA234" s="13"/>
    </row>
    <row r="235" spans="1:27" x14ac:dyDescent="0.2">
      <c r="A235" s="1"/>
      <c r="B235" s="99"/>
      <c r="Q235" s="61"/>
      <c r="R235" s="32"/>
      <c r="S235" s="62"/>
      <c r="T235" s="62"/>
      <c r="U235" s="62"/>
      <c r="V235" s="88"/>
      <c r="X235" s="13"/>
      <c r="Y235" s="88"/>
      <c r="Z235" s="13"/>
      <c r="AA235" s="13"/>
    </row>
    <row r="236" spans="1:27" x14ac:dyDescent="0.2">
      <c r="A236" s="1"/>
      <c r="B236" s="99"/>
      <c r="Q236" s="61"/>
      <c r="R236" s="32"/>
      <c r="S236" s="62"/>
      <c r="T236" s="62"/>
      <c r="U236" s="62"/>
      <c r="V236" s="88"/>
      <c r="X236" s="13"/>
      <c r="Y236" s="88"/>
      <c r="Z236" s="13"/>
      <c r="AA236" s="13"/>
    </row>
    <row r="237" spans="1:27" x14ac:dyDescent="0.2">
      <c r="A237" s="1"/>
      <c r="B237" s="99"/>
      <c r="Q237" s="61"/>
      <c r="R237" s="32"/>
      <c r="S237" s="62"/>
      <c r="T237" s="62"/>
      <c r="U237" s="62"/>
      <c r="V237" s="88"/>
      <c r="X237" s="13"/>
      <c r="Y237" s="88"/>
      <c r="Z237" s="13"/>
      <c r="AA237" s="13"/>
    </row>
    <row r="238" spans="1:27" x14ac:dyDescent="0.2">
      <c r="A238" s="1"/>
      <c r="B238" s="99"/>
      <c r="Q238" s="61"/>
      <c r="R238" s="32"/>
      <c r="S238" s="62"/>
      <c r="T238" s="62"/>
      <c r="U238" s="62"/>
      <c r="V238" s="88"/>
      <c r="X238" s="13"/>
      <c r="Y238" s="88"/>
      <c r="Z238" s="13"/>
      <c r="AA238" s="13"/>
    </row>
    <row r="239" spans="1:27" x14ac:dyDescent="0.2">
      <c r="A239" s="1"/>
      <c r="B239" s="99"/>
      <c r="Q239" s="61"/>
      <c r="R239" s="32"/>
      <c r="S239" s="62"/>
      <c r="T239" s="62"/>
      <c r="U239" s="62"/>
      <c r="V239" s="88"/>
      <c r="X239" s="13"/>
      <c r="Y239" s="88"/>
      <c r="Z239" s="13"/>
      <c r="AA239" s="13"/>
    </row>
    <row r="240" spans="1:27" x14ac:dyDescent="0.2">
      <c r="A240" s="1"/>
      <c r="B240" s="99"/>
      <c r="Q240" s="61"/>
      <c r="R240" s="32"/>
      <c r="S240" s="62"/>
      <c r="T240" s="62"/>
      <c r="U240" s="62"/>
      <c r="V240" s="88"/>
      <c r="X240" s="13"/>
      <c r="Y240" s="88"/>
      <c r="Z240" s="13"/>
      <c r="AA240" s="13"/>
    </row>
    <row r="241" spans="1:27" x14ac:dyDescent="0.2">
      <c r="A241" s="1"/>
      <c r="B241" s="99"/>
      <c r="Q241" s="61"/>
      <c r="R241" s="32"/>
      <c r="S241" s="62"/>
      <c r="T241" s="62"/>
      <c r="U241" s="62"/>
      <c r="V241" s="88"/>
      <c r="X241" s="13"/>
      <c r="Y241" s="88"/>
      <c r="Z241" s="13"/>
      <c r="AA241" s="13"/>
    </row>
    <row r="242" spans="1:27" x14ac:dyDescent="0.2">
      <c r="A242" s="1"/>
      <c r="B242" s="99"/>
      <c r="Q242" s="61"/>
      <c r="R242" s="32"/>
      <c r="S242" s="62"/>
      <c r="T242" s="62"/>
      <c r="U242" s="62"/>
      <c r="V242" s="88"/>
      <c r="X242" s="13"/>
      <c r="Y242" s="88"/>
      <c r="Z242" s="13"/>
      <c r="AA242" s="13"/>
    </row>
    <row r="243" spans="1:27" x14ac:dyDescent="0.2">
      <c r="A243" s="1"/>
      <c r="B243" s="99"/>
      <c r="Q243" s="61"/>
      <c r="R243" s="32"/>
      <c r="S243" s="62"/>
      <c r="T243" s="62"/>
      <c r="U243" s="62"/>
      <c r="V243" s="88"/>
      <c r="X243" s="13"/>
      <c r="Y243" s="88"/>
      <c r="Z243" s="13"/>
      <c r="AA243" s="13"/>
    </row>
    <row r="244" spans="1:27" x14ac:dyDescent="0.2">
      <c r="A244" s="1"/>
      <c r="B244" s="99"/>
      <c r="Q244" s="61"/>
      <c r="R244" s="32"/>
      <c r="S244" s="62"/>
      <c r="T244" s="62"/>
      <c r="U244" s="62"/>
      <c r="V244" s="88"/>
      <c r="X244" s="13"/>
      <c r="Y244" s="88"/>
      <c r="Z244" s="13"/>
      <c r="AA244" s="13"/>
    </row>
    <row r="245" spans="1:27" x14ac:dyDescent="0.2">
      <c r="A245" s="1"/>
      <c r="B245" s="99"/>
      <c r="Q245" s="61"/>
      <c r="R245" s="32"/>
      <c r="S245" s="62"/>
      <c r="T245" s="62"/>
      <c r="U245" s="62"/>
      <c r="V245" s="88"/>
      <c r="X245" s="13"/>
      <c r="Y245" s="88"/>
      <c r="Z245" s="13"/>
      <c r="AA245" s="13"/>
    </row>
    <row r="246" spans="1:27" x14ac:dyDescent="0.2">
      <c r="A246" s="1"/>
      <c r="B246" s="99"/>
      <c r="Q246" s="61"/>
      <c r="R246" s="32"/>
      <c r="S246" s="62"/>
      <c r="T246" s="62"/>
      <c r="U246" s="62"/>
      <c r="V246" s="88"/>
      <c r="X246" s="13"/>
      <c r="Y246" s="88"/>
      <c r="Z246" s="13"/>
      <c r="AA246" s="13"/>
    </row>
    <row r="247" spans="1:27" x14ac:dyDescent="0.2">
      <c r="A247" s="1"/>
      <c r="B247" s="99"/>
      <c r="Q247" s="61"/>
      <c r="R247" s="32"/>
      <c r="S247" s="62"/>
      <c r="T247" s="62"/>
      <c r="U247" s="62"/>
      <c r="V247" s="88"/>
      <c r="X247" s="13"/>
      <c r="Y247" s="88"/>
      <c r="Z247" s="13"/>
      <c r="AA247" s="13"/>
    </row>
    <row r="248" spans="1:27" x14ac:dyDescent="0.2">
      <c r="A248" s="1"/>
      <c r="B248" s="99"/>
      <c r="Q248" s="61"/>
      <c r="R248" s="32"/>
      <c r="S248" s="62"/>
      <c r="T248" s="62"/>
      <c r="U248" s="62"/>
      <c r="V248" s="88"/>
      <c r="X248" s="13"/>
      <c r="Y248" s="88"/>
      <c r="Z248" s="13"/>
      <c r="AA248" s="13"/>
    </row>
    <row r="249" spans="1:27" x14ac:dyDescent="0.2">
      <c r="A249" s="1"/>
      <c r="B249" s="99"/>
      <c r="Q249" s="61"/>
      <c r="R249" s="32"/>
      <c r="S249" s="62"/>
      <c r="T249" s="62"/>
      <c r="U249" s="62"/>
      <c r="V249" s="88"/>
      <c r="X249" s="13"/>
      <c r="Y249" s="88"/>
      <c r="Z249" s="13"/>
      <c r="AA249" s="13"/>
    </row>
    <row r="250" spans="1:27" x14ac:dyDescent="0.2">
      <c r="A250" s="1"/>
      <c r="B250" s="99"/>
      <c r="Q250" s="61"/>
      <c r="R250" s="32"/>
      <c r="S250" s="62"/>
      <c r="T250" s="62"/>
      <c r="U250" s="62"/>
      <c r="V250" s="88"/>
      <c r="X250" s="13"/>
      <c r="Y250" s="88"/>
      <c r="Z250" s="13"/>
      <c r="AA250" s="13"/>
    </row>
    <row r="251" spans="1:27" x14ac:dyDescent="0.2">
      <c r="A251" s="1"/>
      <c r="B251" s="99"/>
      <c r="Q251" s="61"/>
      <c r="R251" s="32"/>
      <c r="S251" s="62"/>
      <c r="T251" s="62"/>
      <c r="U251" s="62"/>
      <c r="V251" s="88"/>
      <c r="X251" s="13"/>
      <c r="Y251" s="88"/>
      <c r="Z251" s="13"/>
      <c r="AA251" s="13"/>
    </row>
    <row r="252" spans="1:27" x14ac:dyDescent="0.2">
      <c r="A252" s="1"/>
      <c r="B252" s="99"/>
      <c r="Q252" s="61"/>
      <c r="R252" s="32"/>
      <c r="S252" s="62"/>
      <c r="T252" s="62"/>
      <c r="U252" s="62"/>
      <c r="V252" s="88"/>
      <c r="X252" s="13"/>
      <c r="Y252" s="88"/>
      <c r="Z252" s="13"/>
      <c r="AA252" s="13"/>
    </row>
    <row r="253" spans="1:27" x14ac:dyDescent="0.2">
      <c r="A253" s="1"/>
      <c r="B253" s="99"/>
      <c r="Q253" s="61"/>
      <c r="R253" s="32"/>
      <c r="S253" s="62"/>
      <c r="T253" s="62"/>
      <c r="U253" s="62"/>
      <c r="V253" s="88"/>
      <c r="X253" s="13"/>
      <c r="Y253" s="88"/>
      <c r="Z253" s="13"/>
      <c r="AA253" s="13"/>
    </row>
    <row r="254" spans="1:27" x14ac:dyDescent="0.2">
      <c r="A254" s="1"/>
      <c r="B254" s="99"/>
      <c r="Q254" s="61"/>
      <c r="R254" s="32"/>
      <c r="S254" s="62"/>
      <c r="T254" s="62"/>
      <c r="U254" s="62"/>
      <c r="V254" s="88"/>
      <c r="X254" s="13"/>
      <c r="Y254" s="88"/>
      <c r="Z254" s="13"/>
      <c r="AA254" s="13"/>
    </row>
    <row r="255" spans="1:27" x14ac:dyDescent="0.2">
      <c r="A255" s="1"/>
      <c r="B255" s="99"/>
      <c r="Q255" s="61"/>
      <c r="R255" s="32"/>
      <c r="S255" s="62"/>
      <c r="T255" s="62"/>
      <c r="U255" s="62"/>
      <c r="V255" s="88"/>
      <c r="X255" s="13"/>
      <c r="Y255" s="88"/>
      <c r="Z255" s="13"/>
      <c r="AA255" s="13"/>
    </row>
    <row r="256" spans="1:27" x14ac:dyDescent="0.2">
      <c r="A256" s="1"/>
      <c r="B256" s="99"/>
      <c r="Q256" s="61"/>
      <c r="R256" s="32"/>
      <c r="S256" s="62"/>
      <c r="T256" s="62"/>
      <c r="U256" s="62"/>
      <c r="V256" s="88"/>
      <c r="X256" s="13"/>
      <c r="Y256" s="88"/>
      <c r="Z256" s="13"/>
      <c r="AA256" s="13"/>
    </row>
    <row r="257" spans="1:27" x14ac:dyDescent="0.2">
      <c r="A257" s="1"/>
      <c r="B257" s="99"/>
      <c r="Q257" s="61"/>
      <c r="R257" s="32"/>
      <c r="S257" s="62"/>
      <c r="T257" s="62"/>
      <c r="U257" s="62"/>
      <c r="V257" s="88"/>
      <c r="X257" s="13"/>
      <c r="Y257" s="88"/>
      <c r="Z257" s="13"/>
      <c r="AA257" s="13"/>
    </row>
    <row r="258" spans="1:27" x14ac:dyDescent="0.2">
      <c r="A258" s="1"/>
      <c r="B258" s="99"/>
      <c r="Q258" s="61"/>
      <c r="R258" s="32"/>
      <c r="S258" s="62"/>
      <c r="T258" s="62"/>
      <c r="U258" s="62"/>
      <c r="V258" s="88"/>
      <c r="X258" s="13"/>
      <c r="Y258" s="88"/>
      <c r="Z258" s="13"/>
      <c r="AA258" s="13"/>
    </row>
    <row r="259" spans="1:27" x14ac:dyDescent="0.2">
      <c r="A259" s="1"/>
      <c r="B259" s="99"/>
      <c r="Q259" s="61"/>
      <c r="R259" s="32"/>
      <c r="S259" s="62"/>
      <c r="T259" s="62"/>
      <c r="U259" s="62"/>
      <c r="V259" s="88"/>
      <c r="X259" s="13"/>
      <c r="Y259" s="88"/>
      <c r="Z259" s="13"/>
      <c r="AA259" s="13"/>
    </row>
    <row r="260" spans="1:27" x14ac:dyDescent="0.2">
      <c r="A260" s="1"/>
      <c r="B260" s="99"/>
      <c r="Q260" s="61"/>
      <c r="R260" s="32"/>
      <c r="S260" s="62"/>
      <c r="T260" s="62"/>
      <c r="U260" s="62"/>
      <c r="V260" s="88"/>
      <c r="X260" s="13"/>
      <c r="Y260" s="88"/>
      <c r="Z260" s="13"/>
      <c r="AA260" s="13"/>
    </row>
    <row r="261" spans="1:27" x14ac:dyDescent="0.2">
      <c r="A261" s="1"/>
      <c r="B261" s="99"/>
      <c r="Q261" s="61"/>
      <c r="R261" s="32"/>
      <c r="S261" s="62"/>
      <c r="T261" s="62"/>
      <c r="U261" s="62"/>
      <c r="V261" s="88"/>
      <c r="X261" s="13"/>
      <c r="Y261" s="88"/>
      <c r="Z261" s="13"/>
      <c r="AA261" s="13"/>
    </row>
    <row r="262" spans="1:27" x14ac:dyDescent="0.2">
      <c r="A262" s="1"/>
      <c r="B262" s="99"/>
      <c r="Q262" s="61"/>
      <c r="R262" s="32"/>
      <c r="S262" s="62"/>
      <c r="T262" s="62"/>
      <c r="U262" s="62"/>
      <c r="V262" s="88"/>
      <c r="X262" s="13"/>
      <c r="Y262" s="88"/>
      <c r="Z262" s="13"/>
      <c r="AA262" s="13"/>
    </row>
    <row r="263" spans="1:27" x14ac:dyDescent="0.2">
      <c r="A263" s="1"/>
      <c r="Q263" s="61"/>
      <c r="R263" s="32"/>
      <c r="S263" s="62"/>
      <c r="T263" s="62"/>
      <c r="U263" s="62"/>
      <c r="V263" s="88"/>
      <c r="X263" s="13"/>
      <c r="Y263" s="88"/>
      <c r="Z263" s="13"/>
      <c r="AA263" s="13"/>
    </row>
    <row r="264" spans="1:27" x14ac:dyDescent="0.2">
      <c r="A264" s="1"/>
      <c r="B264" s="99"/>
      <c r="Q264" s="61"/>
      <c r="R264" s="32"/>
      <c r="S264" s="62"/>
      <c r="T264" s="62"/>
      <c r="U264" s="62"/>
      <c r="V264" s="88"/>
      <c r="X264" s="13"/>
      <c r="Y264" s="88"/>
      <c r="Z264" s="13"/>
      <c r="AA264" s="13"/>
    </row>
    <row r="265" spans="1:27" x14ac:dyDescent="0.2">
      <c r="A265" s="1"/>
      <c r="B265" s="99"/>
      <c r="Q265" s="61"/>
      <c r="R265" s="32"/>
      <c r="S265" s="62"/>
      <c r="T265" s="62"/>
      <c r="U265" s="62"/>
      <c r="V265" s="88"/>
      <c r="X265" s="13"/>
      <c r="Y265" s="88"/>
      <c r="Z265" s="13"/>
      <c r="AA265" s="13"/>
    </row>
    <row r="266" spans="1:27" x14ac:dyDescent="0.2">
      <c r="A266" s="1"/>
      <c r="B266" s="99"/>
      <c r="Q266" s="61"/>
      <c r="R266" s="32"/>
      <c r="S266" s="62"/>
      <c r="T266" s="62"/>
      <c r="U266" s="62"/>
      <c r="V266" s="88"/>
      <c r="X266" s="13"/>
      <c r="Y266" s="88"/>
      <c r="Z266" s="13"/>
      <c r="AA266" s="13"/>
    </row>
    <row r="267" spans="1:27" x14ac:dyDescent="0.2">
      <c r="A267" s="1"/>
      <c r="B267" s="99"/>
      <c r="Q267" s="61"/>
      <c r="R267" s="32"/>
      <c r="S267" s="62"/>
      <c r="T267" s="62"/>
      <c r="U267" s="62"/>
      <c r="V267" s="88"/>
      <c r="X267" s="13"/>
      <c r="Y267" s="88"/>
      <c r="Z267" s="13"/>
      <c r="AA267" s="13"/>
    </row>
    <row r="268" spans="1:27" x14ac:dyDescent="0.2">
      <c r="A268" s="1"/>
      <c r="B268" s="99"/>
      <c r="Q268" s="61"/>
      <c r="R268" s="32"/>
      <c r="S268" s="62"/>
      <c r="T268" s="62"/>
      <c r="U268" s="62"/>
      <c r="V268" s="88"/>
      <c r="X268" s="13"/>
      <c r="Y268" s="88"/>
      <c r="Z268" s="13"/>
      <c r="AA268" s="13"/>
    </row>
    <row r="269" spans="1:27" x14ac:dyDescent="0.2">
      <c r="A269" s="1"/>
      <c r="B269" s="99"/>
      <c r="Q269" s="61"/>
      <c r="R269" s="32"/>
      <c r="S269" s="62"/>
      <c r="T269" s="62"/>
      <c r="U269" s="62"/>
      <c r="V269" s="88"/>
      <c r="X269" s="13"/>
      <c r="Y269" s="88"/>
      <c r="Z269" s="13"/>
      <c r="AA269" s="13"/>
    </row>
    <row r="270" spans="1:27" x14ac:dyDescent="0.2">
      <c r="A270" s="1"/>
      <c r="B270" s="99"/>
      <c r="Q270" s="61"/>
      <c r="R270" s="32"/>
      <c r="S270" s="62"/>
      <c r="T270" s="62"/>
      <c r="U270" s="62"/>
      <c r="V270" s="88"/>
      <c r="X270" s="13"/>
      <c r="Y270" s="88"/>
      <c r="Z270" s="13"/>
      <c r="AA270" s="13"/>
    </row>
    <row r="271" spans="1:27" x14ac:dyDescent="0.2">
      <c r="A271" s="1"/>
      <c r="B271" s="99"/>
      <c r="Q271" s="61"/>
      <c r="R271" s="32"/>
      <c r="S271" s="62"/>
      <c r="T271" s="62"/>
      <c r="U271" s="62"/>
      <c r="V271" s="88"/>
      <c r="X271" s="13"/>
      <c r="Y271" s="88"/>
      <c r="Z271" s="13"/>
      <c r="AA271" s="13"/>
    </row>
    <row r="272" spans="1:27" x14ac:dyDescent="0.2">
      <c r="A272" s="1"/>
      <c r="B272" s="99"/>
      <c r="Q272" s="61"/>
      <c r="R272" s="32"/>
      <c r="S272" s="62"/>
      <c r="T272" s="62"/>
      <c r="U272" s="62"/>
      <c r="V272" s="88"/>
      <c r="X272" s="13"/>
      <c r="Y272" s="88"/>
      <c r="Z272" s="13"/>
      <c r="AA272" s="13"/>
    </row>
    <row r="273" spans="1:27" x14ac:dyDescent="0.2">
      <c r="A273" s="1"/>
      <c r="B273" s="99"/>
      <c r="Q273" s="61"/>
      <c r="R273" s="32"/>
      <c r="S273" s="62"/>
      <c r="T273" s="62"/>
      <c r="U273" s="62"/>
      <c r="V273" s="88"/>
      <c r="X273" s="13"/>
      <c r="Y273" s="88"/>
      <c r="Z273" s="13"/>
      <c r="AA273" s="13"/>
    </row>
    <row r="274" spans="1:27" x14ac:dyDescent="0.2">
      <c r="A274" s="1"/>
      <c r="B274" s="99"/>
      <c r="Q274" s="61"/>
      <c r="R274" s="32"/>
      <c r="S274" s="62"/>
      <c r="T274" s="62"/>
      <c r="U274" s="62"/>
      <c r="V274" s="88"/>
      <c r="X274" s="13"/>
      <c r="Y274" s="88"/>
      <c r="Z274" s="13"/>
      <c r="AA274" s="13"/>
    </row>
    <row r="275" spans="1:27" x14ac:dyDescent="0.2">
      <c r="A275" s="1"/>
      <c r="B275" s="99"/>
      <c r="Q275" s="61"/>
      <c r="R275" s="32"/>
      <c r="S275" s="62"/>
      <c r="T275" s="62"/>
      <c r="U275" s="62"/>
      <c r="V275" s="88"/>
      <c r="X275" s="13"/>
      <c r="Y275" s="88"/>
      <c r="Z275" s="13"/>
      <c r="AA275" s="13"/>
    </row>
    <row r="276" spans="1:27" x14ac:dyDescent="0.2">
      <c r="A276" s="1"/>
      <c r="B276" s="99"/>
      <c r="Q276" s="61"/>
      <c r="R276" s="32"/>
      <c r="S276" s="62"/>
      <c r="T276" s="62"/>
      <c r="U276" s="62"/>
      <c r="V276" s="88"/>
      <c r="X276" s="13"/>
      <c r="Y276" s="88"/>
      <c r="Z276" s="13"/>
      <c r="AA276" s="13"/>
    </row>
    <row r="277" spans="1:27" x14ac:dyDescent="0.2">
      <c r="A277" s="1"/>
      <c r="B277" s="99"/>
      <c r="Q277" s="61"/>
      <c r="R277" s="32"/>
      <c r="S277" s="62"/>
      <c r="T277" s="62"/>
      <c r="U277" s="62"/>
      <c r="V277" s="88"/>
      <c r="X277" s="13"/>
      <c r="Y277" s="88"/>
      <c r="Z277" s="13"/>
      <c r="AA277" s="13"/>
    </row>
    <row r="278" spans="1:27" x14ac:dyDescent="0.2">
      <c r="A278" s="1"/>
      <c r="B278" s="99"/>
      <c r="Q278" s="61"/>
      <c r="R278" s="32"/>
      <c r="S278" s="62"/>
      <c r="T278" s="62"/>
      <c r="U278" s="62"/>
      <c r="V278" s="88"/>
      <c r="X278" s="13"/>
      <c r="Y278" s="88"/>
      <c r="Z278" s="13"/>
      <c r="AA278" s="13"/>
    </row>
    <row r="279" spans="1:27" x14ac:dyDescent="0.2">
      <c r="A279" s="1"/>
      <c r="B279" s="99"/>
      <c r="Q279" s="61"/>
      <c r="R279" s="32"/>
      <c r="S279" s="62"/>
      <c r="T279" s="62"/>
      <c r="U279" s="62"/>
      <c r="V279" s="88"/>
      <c r="X279" s="13"/>
      <c r="Y279" s="88"/>
      <c r="Z279" s="13"/>
      <c r="AA279" s="13"/>
    </row>
    <row r="280" spans="1:27" x14ac:dyDescent="0.2">
      <c r="A280" s="1"/>
      <c r="B280" s="99"/>
      <c r="Q280" s="61"/>
      <c r="R280" s="32"/>
      <c r="S280" s="62"/>
      <c r="T280" s="62"/>
      <c r="U280" s="62"/>
      <c r="V280" s="88"/>
      <c r="X280" s="13"/>
      <c r="Y280" s="88"/>
      <c r="Z280" s="13"/>
      <c r="AA280" s="13"/>
    </row>
    <row r="281" spans="1:27" x14ac:dyDescent="0.2">
      <c r="A281" s="1"/>
      <c r="B281" s="99"/>
      <c r="Q281" s="61"/>
      <c r="R281" s="32"/>
      <c r="S281" s="62"/>
      <c r="T281" s="62"/>
      <c r="U281" s="62"/>
      <c r="V281" s="88"/>
      <c r="X281" s="13"/>
      <c r="Y281" s="88"/>
      <c r="Z281" s="13"/>
      <c r="AA281" s="13"/>
    </row>
    <row r="282" spans="1:27" x14ac:dyDescent="0.2">
      <c r="A282" s="1"/>
      <c r="B282" s="99"/>
      <c r="Q282" s="61"/>
      <c r="R282" s="32"/>
      <c r="S282" s="62"/>
      <c r="T282" s="62"/>
      <c r="U282" s="62"/>
      <c r="V282" s="88"/>
      <c r="X282" s="13"/>
      <c r="Y282" s="88"/>
      <c r="Z282" s="13"/>
      <c r="AA282" s="13"/>
    </row>
    <row r="283" spans="1:27" x14ac:dyDescent="0.2">
      <c r="A283" s="1"/>
      <c r="Q283" s="61"/>
      <c r="R283" s="32"/>
      <c r="S283" s="62"/>
      <c r="T283" s="62"/>
      <c r="U283" s="62"/>
      <c r="V283" s="88"/>
      <c r="X283" s="13"/>
      <c r="Y283" s="88"/>
      <c r="Z283" s="13"/>
      <c r="AA283" s="13"/>
    </row>
    <row r="284" spans="1:27" x14ac:dyDescent="0.2">
      <c r="A284" s="1"/>
      <c r="Q284" s="61"/>
      <c r="R284" s="32"/>
      <c r="S284" s="62"/>
      <c r="T284" s="62"/>
      <c r="U284" s="62"/>
      <c r="V284" s="88"/>
      <c r="X284" s="13"/>
      <c r="Y284" s="88"/>
      <c r="Z284" s="13"/>
      <c r="AA284" s="13"/>
    </row>
    <row r="285" spans="1:27" x14ac:dyDescent="0.2">
      <c r="A285" s="1"/>
      <c r="B285" s="99"/>
      <c r="Q285" s="61"/>
      <c r="R285" s="32"/>
      <c r="S285" s="62"/>
      <c r="T285" s="62"/>
      <c r="U285" s="62"/>
      <c r="V285" s="88"/>
      <c r="X285" s="13"/>
      <c r="Y285" s="88"/>
      <c r="Z285" s="13"/>
      <c r="AA285" s="13"/>
    </row>
    <row r="286" spans="1:27" x14ac:dyDescent="0.2">
      <c r="A286" s="1"/>
      <c r="B286" s="99"/>
      <c r="Q286" s="61"/>
      <c r="R286" s="32"/>
      <c r="S286" s="62"/>
      <c r="T286" s="62"/>
      <c r="U286" s="62"/>
      <c r="V286" s="88"/>
      <c r="X286" s="13"/>
      <c r="Y286" s="88"/>
      <c r="Z286" s="13"/>
      <c r="AA286" s="13"/>
    </row>
    <row r="287" spans="1:27" x14ac:dyDescent="0.2">
      <c r="A287" s="1"/>
      <c r="B287" s="99"/>
      <c r="Q287" s="61"/>
      <c r="R287" s="32"/>
      <c r="S287" s="62"/>
      <c r="T287" s="62"/>
      <c r="U287" s="62"/>
      <c r="V287" s="88"/>
      <c r="X287" s="13"/>
      <c r="Y287" s="88"/>
      <c r="Z287" s="13"/>
      <c r="AA287" s="13"/>
    </row>
    <row r="288" spans="1:27" x14ac:dyDescent="0.2">
      <c r="A288" s="1"/>
      <c r="B288" s="99"/>
      <c r="Q288" s="61"/>
      <c r="R288" s="32"/>
      <c r="S288" s="62"/>
      <c r="T288" s="62"/>
      <c r="U288" s="62"/>
      <c r="V288" s="88"/>
      <c r="X288" s="13"/>
      <c r="Y288" s="88"/>
      <c r="Z288" s="13"/>
      <c r="AA288" s="13"/>
    </row>
    <row r="289" spans="1:27" x14ac:dyDescent="0.2">
      <c r="A289" s="1"/>
      <c r="B289" s="99"/>
      <c r="Q289" s="61"/>
      <c r="R289" s="32"/>
      <c r="S289" s="62"/>
      <c r="T289" s="62"/>
      <c r="U289" s="62"/>
      <c r="V289" s="88"/>
      <c r="X289" s="13"/>
      <c r="Y289" s="88"/>
      <c r="Z289" s="13"/>
      <c r="AA289" s="13"/>
    </row>
    <row r="290" spans="1:27" x14ac:dyDescent="0.2">
      <c r="A290" s="1"/>
      <c r="B290" s="99"/>
      <c r="Q290" s="61"/>
      <c r="R290" s="32"/>
      <c r="S290" s="62"/>
      <c r="T290" s="62"/>
      <c r="U290" s="62"/>
      <c r="V290" s="88"/>
      <c r="X290" s="13"/>
      <c r="Y290" s="88"/>
      <c r="Z290" s="13"/>
      <c r="AA290" s="13"/>
    </row>
    <row r="291" spans="1:27" x14ac:dyDescent="0.2">
      <c r="A291" s="1"/>
      <c r="B291" s="99"/>
      <c r="Q291" s="61"/>
      <c r="R291" s="32"/>
      <c r="S291" s="62"/>
      <c r="T291" s="62"/>
      <c r="U291" s="62"/>
      <c r="V291" s="88"/>
      <c r="X291" s="13"/>
      <c r="Y291" s="88"/>
      <c r="Z291" s="13"/>
      <c r="AA291" s="13"/>
    </row>
    <row r="292" spans="1:27" x14ac:dyDescent="0.2">
      <c r="A292" s="1"/>
      <c r="Q292" s="61"/>
      <c r="R292" s="32"/>
      <c r="S292" s="62"/>
      <c r="T292" s="62"/>
      <c r="U292" s="62"/>
      <c r="V292" s="88"/>
      <c r="X292" s="13"/>
      <c r="Y292" s="88"/>
      <c r="Z292" s="13"/>
      <c r="AA292" s="13"/>
    </row>
    <row r="293" spans="1:27" x14ac:dyDescent="0.2">
      <c r="A293" s="1"/>
      <c r="Q293" s="61"/>
      <c r="R293" s="32"/>
      <c r="S293" s="62"/>
      <c r="T293" s="62"/>
      <c r="U293" s="62"/>
      <c r="V293" s="88"/>
      <c r="X293" s="13"/>
      <c r="Y293" s="88"/>
      <c r="Z293" s="13"/>
      <c r="AA293" s="13"/>
    </row>
    <row r="294" spans="1:27" x14ac:dyDescent="0.2">
      <c r="A294" s="1"/>
      <c r="B294" s="99"/>
      <c r="Q294" s="61"/>
      <c r="R294" s="32"/>
      <c r="S294" s="62"/>
      <c r="T294" s="62"/>
      <c r="U294" s="62"/>
      <c r="V294" s="88"/>
      <c r="X294" s="13"/>
      <c r="Y294" s="88"/>
      <c r="Z294" s="13"/>
      <c r="AA294" s="13"/>
    </row>
    <row r="295" spans="1:27" x14ac:dyDescent="0.2">
      <c r="A295" s="1"/>
      <c r="B295" s="99"/>
      <c r="Q295" s="61"/>
      <c r="R295" s="32"/>
      <c r="S295" s="62"/>
      <c r="T295" s="62"/>
      <c r="U295" s="62"/>
      <c r="V295" s="88"/>
      <c r="X295" s="13"/>
      <c r="Y295" s="88"/>
      <c r="Z295" s="13"/>
      <c r="AA295" s="13"/>
    </row>
    <row r="296" spans="1:27" x14ac:dyDescent="0.2">
      <c r="A296" s="1"/>
      <c r="B296" s="99"/>
      <c r="Q296" s="61"/>
      <c r="R296" s="32"/>
      <c r="S296" s="62"/>
      <c r="T296" s="62"/>
      <c r="U296" s="62"/>
      <c r="V296" s="88"/>
      <c r="X296" s="13"/>
      <c r="Y296" s="88"/>
      <c r="Z296" s="13"/>
      <c r="AA296" s="13"/>
    </row>
    <row r="297" spans="1:27" x14ac:dyDescent="0.2">
      <c r="A297" s="1"/>
      <c r="B297" s="99"/>
      <c r="Q297" s="61"/>
      <c r="R297" s="32"/>
      <c r="S297" s="62"/>
      <c r="T297" s="62"/>
      <c r="U297" s="62"/>
      <c r="V297" s="88"/>
      <c r="X297" s="13"/>
      <c r="Y297" s="88"/>
      <c r="Z297" s="13"/>
      <c r="AA297" s="13"/>
    </row>
    <row r="298" spans="1:27" x14ac:dyDescent="0.2">
      <c r="A298" s="1"/>
      <c r="B298" s="99"/>
      <c r="Q298" s="61"/>
      <c r="R298" s="32"/>
      <c r="S298" s="62"/>
      <c r="T298" s="62"/>
      <c r="U298" s="62"/>
      <c r="V298" s="88"/>
      <c r="X298" s="13"/>
      <c r="Y298" s="88"/>
      <c r="Z298" s="13"/>
      <c r="AA298" s="13"/>
    </row>
    <row r="299" spans="1:27" x14ac:dyDescent="0.2">
      <c r="A299" s="1"/>
      <c r="B299" s="99"/>
      <c r="Q299" s="61"/>
      <c r="R299" s="32"/>
      <c r="S299" s="62"/>
      <c r="T299" s="62"/>
      <c r="U299" s="62"/>
      <c r="V299" s="88"/>
      <c r="X299" s="13"/>
      <c r="Y299" s="88"/>
      <c r="Z299" s="13"/>
      <c r="AA299" s="13"/>
    </row>
    <row r="300" spans="1:27" x14ac:dyDescent="0.2">
      <c r="A300" s="1"/>
      <c r="B300" s="99"/>
      <c r="Q300" s="61"/>
      <c r="R300" s="32"/>
      <c r="S300" s="62"/>
      <c r="T300" s="62"/>
      <c r="U300" s="62"/>
      <c r="V300" s="88"/>
      <c r="X300" s="13"/>
      <c r="Y300" s="88"/>
      <c r="Z300" s="13"/>
      <c r="AA300" s="13"/>
    </row>
    <row r="301" spans="1:27" x14ac:dyDescent="0.2">
      <c r="A301" s="1"/>
      <c r="B301" s="99"/>
      <c r="Q301" s="61"/>
      <c r="R301" s="32"/>
      <c r="S301" s="62"/>
      <c r="T301" s="62"/>
      <c r="U301" s="62"/>
      <c r="V301" s="88"/>
      <c r="X301" s="13"/>
      <c r="Y301" s="88"/>
      <c r="Z301" s="13"/>
      <c r="AA301" s="13"/>
    </row>
    <row r="302" spans="1:27" x14ac:dyDescent="0.2">
      <c r="A302" s="1"/>
      <c r="B302" s="99"/>
      <c r="Q302" s="61"/>
      <c r="R302" s="32"/>
      <c r="S302" s="62"/>
      <c r="T302" s="62"/>
      <c r="U302" s="62"/>
      <c r="V302" s="88"/>
      <c r="X302" s="13"/>
      <c r="Y302" s="88"/>
      <c r="Z302" s="13"/>
      <c r="AA302" s="13"/>
    </row>
    <row r="303" spans="1:27" x14ac:dyDescent="0.2">
      <c r="A303" s="1"/>
      <c r="B303" s="99"/>
      <c r="Q303" s="61"/>
      <c r="R303" s="32"/>
      <c r="S303" s="62"/>
      <c r="T303" s="62"/>
      <c r="U303" s="62"/>
      <c r="V303" s="88"/>
      <c r="X303" s="13"/>
      <c r="Y303" s="88"/>
      <c r="Z303" s="13"/>
      <c r="AA303" s="13"/>
    </row>
    <row r="304" spans="1:27" x14ac:dyDescent="0.2">
      <c r="A304" s="1"/>
      <c r="B304" s="99"/>
      <c r="Q304" s="61"/>
      <c r="R304" s="32"/>
      <c r="S304" s="62"/>
      <c r="T304" s="62"/>
      <c r="U304" s="62"/>
      <c r="V304" s="88"/>
      <c r="X304" s="13"/>
      <c r="Y304" s="88"/>
      <c r="Z304" s="13"/>
      <c r="AA304" s="13"/>
    </row>
    <row r="305" spans="1:27" x14ac:dyDescent="0.2">
      <c r="A305" s="1"/>
      <c r="Q305" s="61"/>
      <c r="R305" s="32"/>
      <c r="S305" s="62"/>
      <c r="T305" s="62"/>
      <c r="U305" s="62"/>
      <c r="V305" s="88"/>
      <c r="X305" s="13"/>
      <c r="Y305" s="88"/>
      <c r="Z305" s="13"/>
      <c r="AA305" s="13"/>
    </row>
    <row r="306" spans="1:27" x14ac:dyDescent="0.2">
      <c r="A306" s="1"/>
      <c r="Q306" s="61"/>
      <c r="R306" s="32"/>
      <c r="S306" s="62"/>
      <c r="T306" s="62"/>
      <c r="U306" s="62"/>
      <c r="V306" s="88"/>
      <c r="X306" s="13"/>
      <c r="Y306" s="88"/>
      <c r="Z306" s="13"/>
      <c r="AA306" s="13"/>
    </row>
    <row r="307" spans="1:27" x14ac:dyDescent="0.2">
      <c r="A307" s="1"/>
      <c r="B307" s="99"/>
      <c r="Q307" s="61"/>
      <c r="R307" s="32"/>
      <c r="S307" s="62"/>
      <c r="T307" s="62"/>
      <c r="U307" s="62"/>
      <c r="V307" s="88"/>
      <c r="X307" s="13"/>
      <c r="Y307" s="88"/>
      <c r="Z307" s="13"/>
      <c r="AA307" s="13"/>
    </row>
    <row r="308" spans="1:27" x14ac:dyDescent="0.2">
      <c r="A308" s="1"/>
      <c r="B308" s="99"/>
      <c r="S308" s="73"/>
      <c r="T308" s="58"/>
      <c r="U308" s="58"/>
      <c r="V308" s="88"/>
      <c r="X308" s="13"/>
      <c r="Y308" s="88"/>
      <c r="Z308" s="13"/>
      <c r="AA308" s="13"/>
    </row>
    <row r="309" spans="1:27" x14ac:dyDescent="0.2">
      <c r="A309" s="1"/>
      <c r="B309" s="99"/>
      <c r="S309" s="73"/>
      <c r="T309" s="58"/>
      <c r="U309" s="58"/>
      <c r="V309" s="88"/>
      <c r="X309" s="13"/>
      <c r="Y309" s="88"/>
      <c r="Z309" s="13"/>
      <c r="AA309" s="13"/>
    </row>
    <row r="310" spans="1:27" x14ac:dyDescent="0.2">
      <c r="A310" s="1"/>
      <c r="B310" s="99"/>
      <c r="S310" s="73"/>
      <c r="T310" s="58"/>
      <c r="U310" s="58"/>
      <c r="V310" s="88"/>
      <c r="X310" s="13"/>
      <c r="Y310" s="88"/>
      <c r="Z310" s="13"/>
      <c r="AA310" s="13"/>
    </row>
    <row r="311" spans="1:27" x14ac:dyDescent="0.2">
      <c r="A311" s="1"/>
      <c r="B311" s="99"/>
      <c r="S311" s="73"/>
      <c r="T311" s="58"/>
      <c r="U311" s="58"/>
      <c r="V311" s="88"/>
      <c r="X311" s="13"/>
      <c r="Y311" s="88"/>
      <c r="Z311" s="13"/>
      <c r="AA311" s="13"/>
    </row>
    <row r="312" spans="1:27" x14ac:dyDescent="0.2">
      <c r="A312" s="1"/>
      <c r="B312" s="99"/>
      <c r="S312" s="73"/>
      <c r="T312" s="58"/>
      <c r="U312" s="58"/>
      <c r="V312" s="88"/>
      <c r="X312" s="13"/>
      <c r="Y312" s="88"/>
      <c r="Z312" s="13"/>
      <c r="AA312" s="13"/>
    </row>
    <row r="313" spans="1:27" x14ac:dyDescent="0.2">
      <c r="A313" s="1"/>
      <c r="B313" s="99"/>
      <c r="S313" s="73"/>
      <c r="T313" s="58"/>
      <c r="U313" s="58"/>
      <c r="V313" s="88"/>
      <c r="X313" s="13"/>
      <c r="Y313" s="88"/>
      <c r="Z313" s="13"/>
      <c r="AA313" s="13"/>
    </row>
    <row r="314" spans="1:27" x14ac:dyDescent="0.2">
      <c r="A314" s="1"/>
      <c r="T314" s="13"/>
      <c r="U314" s="13"/>
      <c r="V314" s="88"/>
      <c r="X314" s="13"/>
      <c r="Y314" s="88"/>
      <c r="Z314" s="13"/>
      <c r="AA314" s="13"/>
    </row>
    <row r="315" spans="1:27" x14ac:dyDescent="0.2">
      <c r="A315" s="1"/>
      <c r="T315" s="13"/>
      <c r="U315" s="13"/>
      <c r="V315" s="88"/>
      <c r="X315" s="13"/>
      <c r="Y315" s="88"/>
      <c r="Z315" s="13"/>
      <c r="AA315" s="13"/>
    </row>
    <row r="316" spans="1:27" x14ac:dyDescent="0.2">
      <c r="A316" s="1"/>
      <c r="B316" s="99"/>
      <c r="T316" s="13"/>
      <c r="U316" s="13"/>
      <c r="V316" s="88"/>
      <c r="X316" s="13"/>
      <c r="Y316" s="88"/>
      <c r="Z316" s="13"/>
      <c r="AA316" s="13"/>
    </row>
    <row r="317" spans="1:27" x14ac:dyDescent="0.2">
      <c r="A317" s="1"/>
      <c r="B317" s="99"/>
      <c r="T317" s="13"/>
      <c r="U317" s="13"/>
      <c r="V317" s="88"/>
      <c r="X317" s="13"/>
      <c r="Y317" s="88"/>
      <c r="Z317" s="13"/>
      <c r="AA317" s="13"/>
    </row>
    <row r="318" spans="1:27" x14ac:dyDescent="0.2">
      <c r="A318" s="1"/>
      <c r="B318" s="99"/>
    </row>
    <row r="319" spans="1:27" x14ac:dyDescent="0.2">
      <c r="A319" s="1"/>
      <c r="B319" s="99"/>
    </row>
    <row r="320" spans="1:27" x14ac:dyDescent="0.2">
      <c r="A320" s="1"/>
      <c r="B320" s="99"/>
    </row>
    <row r="321" spans="1:24" x14ac:dyDescent="0.2">
      <c r="A321" s="1"/>
      <c r="B321" s="99"/>
    </row>
    <row r="322" spans="1:24" x14ac:dyDescent="0.2">
      <c r="A322" s="1"/>
      <c r="B322" s="99"/>
    </row>
    <row r="325" spans="1:24" x14ac:dyDescent="0.2">
      <c r="A325" s="1"/>
      <c r="B325" s="99"/>
    </row>
    <row r="326" spans="1:24" x14ac:dyDescent="0.2">
      <c r="A326" s="1"/>
      <c r="B326" s="99"/>
    </row>
    <row r="327" spans="1:24" x14ac:dyDescent="0.2">
      <c r="A327" s="1"/>
      <c r="B327" s="99"/>
      <c r="D327" s="1"/>
      <c r="E327" s="1"/>
      <c r="F327" s="1"/>
      <c r="G327" s="1"/>
      <c r="H327" s="1"/>
      <c r="I327" s="1"/>
      <c r="V327" s="1"/>
      <c r="W327" s="1"/>
      <c r="X327" s="1"/>
    </row>
    <row r="328" spans="1:24" x14ac:dyDescent="0.2">
      <c r="A328" s="1"/>
      <c r="B328" s="99"/>
      <c r="D328" s="1"/>
      <c r="E328" s="1"/>
      <c r="F328" s="1"/>
      <c r="G328" s="1"/>
      <c r="H328" s="1"/>
      <c r="I328" s="1"/>
      <c r="V328" s="1"/>
      <c r="W328" s="1"/>
      <c r="X328" s="1"/>
    </row>
    <row r="329" spans="1:24" x14ac:dyDescent="0.2">
      <c r="A329" s="1"/>
      <c r="B329" s="99"/>
      <c r="D329" s="1"/>
      <c r="E329" s="1"/>
      <c r="F329" s="1"/>
      <c r="G329" s="1"/>
      <c r="H329" s="1"/>
      <c r="I329" s="1"/>
      <c r="V329" s="1"/>
      <c r="W329" s="1"/>
      <c r="X329" s="1"/>
    </row>
    <row r="330" spans="1:24" x14ac:dyDescent="0.2">
      <c r="A330" s="1"/>
      <c r="B330" s="99"/>
      <c r="D330" s="1"/>
      <c r="E330" s="1"/>
      <c r="F330" s="1"/>
      <c r="G330" s="1"/>
      <c r="H330" s="1"/>
      <c r="I330" s="1"/>
      <c r="V330" s="1"/>
      <c r="W330" s="1"/>
      <c r="X330" s="1"/>
    </row>
    <row r="331" spans="1:24" x14ac:dyDescent="0.2">
      <c r="A331" s="1"/>
      <c r="B331" s="99"/>
      <c r="D331" s="1"/>
      <c r="E331" s="1"/>
      <c r="F331" s="1"/>
      <c r="G331" s="1"/>
      <c r="H331" s="1"/>
      <c r="I331" s="1"/>
      <c r="V331" s="1"/>
      <c r="W331" s="1"/>
      <c r="X331" s="1"/>
    </row>
    <row r="332" spans="1:24" x14ac:dyDescent="0.2">
      <c r="A332" s="1"/>
      <c r="B332" s="97"/>
      <c r="D332" s="1"/>
      <c r="E332" s="1"/>
      <c r="F332" s="1"/>
      <c r="G332" s="1"/>
      <c r="H332" s="1"/>
      <c r="I332" s="1"/>
      <c r="V332" s="1"/>
      <c r="W332" s="1"/>
      <c r="X332" s="1"/>
    </row>
    <row r="333" spans="1:24" x14ac:dyDescent="0.2">
      <c r="A333" s="1"/>
      <c r="B333" s="97"/>
      <c r="D333" s="1"/>
      <c r="E333" s="1"/>
      <c r="F333" s="1"/>
      <c r="G333" s="1"/>
      <c r="H333" s="1"/>
      <c r="I333" s="1"/>
      <c r="V333" s="1"/>
      <c r="W333" s="1"/>
      <c r="X333" s="1"/>
    </row>
    <row r="334" spans="1:24" x14ac:dyDescent="0.2">
      <c r="A334" s="1"/>
      <c r="B334" s="97"/>
      <c r="D334" s="1"/>
      <c r="E334" s="1"/>
      <c r="F334" s="1"/>
      <c r="G334" s="1"/>
      <c r="H334" s="1"/>
      <c r="I334" s="1"/>
      <c r="V334" s="1"/>
      <c r="W334" s="1"/>
      <c r="X334" s="1"/>
    </row>
    <row r="335" spans="1:24" x14ac:dyDescent="0.2">
      <c r="A335" s="1"/>
      <c r="B335" s="97"/>
      <c r="D335" s="1"/>
      <c r="E335" s="1"/>
      <c r="F335" s="1"/>
      <c r="G335" s="1"/>
      <c r="H335" s="1"/>
      <c r="I335" s="1"/>
      <c r="V335" s="1"/>
      <c r="W335" s="1"/>
      <c r="X335" s="1"/>
    </row>
    <row r="336" spans="1:24" x14ac:dyDescent="0.2">
      <c r="A336" s="1"/>
      <c r="B336" s="97"/>
      <c r="D336" s="1"/>
      <c r="E336" s="1"/>
      <c r="F336" s="1"/>
      <c r="G336" s="1"/>
      <c r="H336" s="1"/>
      <c r="I336" s="1"/>
      <c r="V336" s="1"/>
      <c r="W336" s="1"/>
      <c r="X336" s="1"/>
    </row>
    <row r="337" spans="1:24" x14ac:dyDescent="0.2">
      <c r="A337" s="1"/>
      <c r="B337" s="97"/>
      <c r="D337" s="1"/>
      <c r="E337" s="1"/>
      <c r="F337" s="1"/>
      <c r="G337" s="1"/>
      <c r="H337" s="1"/>
      <c r="I337" s="1"/>
      <c r="V337" s="1"/>
      <c r="W337" s="1"/>
      <c r="X337" s="1"/>
    </row>
    <row r="338" spans="1:24" x14ac:dyDescent="0.2">
      <c r="A338" s="1"/>
      <c r="B338" s="97"/>
      <c r="D338" s="1"/>
      <c r="E338" s="1"/>
      <c r="F338" s="1"/>
      <c r="G338" s="1"/>
      <c r="H338" s="1"/>
      <c r="I338" s="1"/>
      <c r="V338" s="1"/>
      <c r="W338" s="1"/>
      <c r="X338" s="1"/>
    </row>
    <row r="339" spans="1:24" x14ac:dyDescent="0.2">
      <c r="A339" s="1"/>
      <c r="B339" s="97"/>
      <c r="D339" s="1"/>
      <c r="E339" s="1"/>
      <c r="F339" s="1"/>
      <c r="G339" s="1"/>
      <c r="H339" s="1"/>
      <c r="I339" s="1"/>
      <c r="V339" s="1"/>
      <c r="W339" s="1"/>
      <c r="X339" s="1"/>
    </row>
    <row r="340" spans="1:24" x14ac:dyDescent="0.2">
      <c r="A340" s="1"/>
      <c r="B340" s="97"/>
      <c r="D340" s="1"/>
      <c r="E340" s="1"/>
      <c r="F340" s="1"/>
      <c r="G340" s="1"/>
      <c r="H340" s="1"/>
      <c r="I340" s="1"/>
      <c r="V340" s="1"/>
      <c r="W340" s="1"/>
      <c r="X340" s="1"/>
    </row>
    <row r="341" spans="1:24" x14ac:dyDescent="0.2">
      <c r="A341" s="1"/>
      <c r="B341" s="97"/>
      <c r="D341" s="1"/>
      <c r="E341" s="1"/>
      <c r="F341" s="1"/>
      <c r="G341" s="1"/>
      <c r="H341" s="1"/>
      <c r="I341" s="1"/>
      <c r="V341" s="1"/>
      <c r="W341" s="1"/>
      <c r="X341" s="1"/>
    </row>
    <row r="342" spans="1:24" x14ac:dyDescent="0.2">
      <c r="A342" s="1"/>
      <c r="B342" s="97"/>
      <c r="D342" s="1"/>
      <c r="E342" s="1"/>
      <c r="F342" s="1"/>
      <c r="G342" s="1"/>
      <c r="H342" s="1"/>
      <c r="I342" s="1"/>
      <c r="V342" s="1"/>
      <c r="W342" s="1"/>
      <c r="X342" s="1"/>
    </row>
    <row r="343" spans="1:24" x14ac:dyDescent="0.2">
      <c r="A343" s="1"/>
      <c r="B343" s="97"/>
      <c r="D343" s="1"/>
      <c r="E343" s="1"/>
      <c r="F343" s="1"/>
      <c r="G343" s="1"/>
      <c r="H343" s="1"/>
      <c r="I343" s="1"/>
      <c r="V343" s="1"/>
      <c r="W343" s="1"/>
      <c r="X343" s="1"/>
    </row>
    <row r="344" spans="1:24" x14ac:dyDescent="0.2">
      <c r="A344" s="1"/>
      <c r="B344" s="100"/>
      <c r="D344" s="1"/>
      <c r="E344" s="1"/>
      <c r="F344" s="1"/>
      <c r="G344" s="1"/>
      <c r="H344" s="1"/>
      <c r="I344" s="1"/>
      <c r="V344" s="1"/>
      <c r="W344" s="1"/>
      <c r="X344" s="1"/>
    </row>
    <row r="345" spans="1:24" ht="13.5" thickBot="1" x14ac:dyDescent="0.25">
      <c r="A345" s="1"/>
      <c r="B345" s="100"/>
      <c r="D345" s="1"/>
      <c r="E345" s="1"/>
      <c r="F345" s="1"/>
      <c r="G345" s="1"/>
      <c r="H345" s="1"/>
      <c r="I345" s="1"/>
      <c r="V345" s="1"/>
      <c r="W345" s="1"/>
      <c r="X345" s="1"/>
    </row>
    <row r="346" spans="1:24" ht="13.5" thickBot="1" x14ac:dyDescent="0.25">
      <c r="A346" s="1"/>
      <c r="B346" s="101"/>
      <c r="D346" s="1"/>
      <c r="E346" s="1"/>
      <c r="F346" s="1"/>
      <c r="G346" s="1"/>
      <c r="H346" s="1"/>
      <c r="I346" s="1"/>
      <c r="V346" s="1"/>
      <c r="W346" s="1"/>
      <c r="X346" s="1"/>
    </row>
    <row r="349" spans="1:24" x14ac:dyDescent="0.2">
      <c r="A349" s="1"/>
      <c r="B349" s="102"/>
      <c r="D349" s="1"/>
      <c r="E349" s="1"/>
      <c r="F349" s="1"/>
      <c r="G349" s="1"/>
      <c r="H349" s="1"/>
      <c r="I349" s="1"/>
      <c r="V349" s="1"/>
      <c r="W349" s="1"/>
      <c r="X349" s="1"/>
    </row>
    <row r="350" spans="1:24" x14ac:dyDescent="0.2">
      <c r="A350" s="1"/>
      <c r="B350" s="103"/>
      <c r="D350" s="1"/>
      <c r="E350" s="1"/>
      <c r="F350" s="1"/>
      <c r="G350" s="1"/>
      <c r="H350" s="1"/>
      <c r="I350" s="1"/>
      <c r="V350" s="1"/>
      <c r="W350" s="1"/>
      <c r="X350" s="1"/>
    </row>
    <row r="356" spans="1:24" x14ac:dyDescent="0.2">
      <c r="A356" s="1"/>
      <c r="B356" s="102"/>
      <c r="D356" s="1"/>
      <c r="E356" s="1"/>
      <c r="F356" s="1"/>
      <c r="G356" s="1"/>
      <c r="H356" s="1"/>
      <c r="I356" s="1"/>
      <c r="V356" s="1"/>
      <c r="W356" s="1"/>
      <c r="X356" s="1"/>
    </row>
    <row r="358" spans="1:24" x14ac:dyDescent="0.2">
      <c r="A358" s="1"/>
      <c r="B358" s="102"/>
      <c r="D358" s="1"/>
      <c r="E358" s="1"/>
      <c r="F358" s="1"/>
      <c r="G358" s="1"/>
      <c r="H358" s="1"/>
      <c r="I358" s="1"/>
      <c r="V358" s="1"/>
      <c r="W358" s="1"/>
      <c r="X358" s="1"/>
    </row>
    <row r="374" spans="1:24" x14ac:dyDescent="0.2">
      <c r="A374" s="1"/>
      <c r="B374" s="102"/>
      <c r="D374" s="1"/>
      <c r="E374" s="1"/>
      <c r="F374" s="1"/>
      <c r="G374" s="1"/>
      <c r="H374" s="1"/>
      <c r="I374" s="1"/>
      <c r="V374" s="1"/>
      <c r="W374" s="1"/>
      <c r="X374" s="1"/>
    </row>
    <row r="383" spans="1:24" x14ac:dyDescent="0.2">
      <c r="A383" s="1"/>
      <c r="B383" s="102"/>
      <c r="D383" s="1"/>
      <c r="E383" s="1"/>
      <c r="F383" s="1"/>
      <c r="G383" s="1"/>
      <c r="H383" s="1"/>
      <c r="I383" s="1"/>
      <c r="V383" s="1"/>
      <c r="W383" s="1"/>
      <c r="X383" s="1"/>
    </row>
    <row r="1219" spans="1:24" x14ac:dyDescent="0.2">
      <c r="A1219" s="1"/>
      <c r="B1219" s="1"/>
      <c r="D1219" s="1"/>
      <c r="E1219" s="94">
        <v>65535</v>
      </c>
      <c r="F1219" s="1"/>
      <c r="G1219" s="1"/>
      <c r="H1219" s="1"/>
      <c r="I1219" s="1"/>
      <c r="V1219" s="1"/>
      <c r="W1219" s="1"/>
      <c r="X1219" s="1"/>
    </row>
  </sheetData>
  <mergeCells count="10">
    <mergeCell ref="O8:P8"/>
    <mergeCell ref="Q8:Q9"/>
    <mergeCell ref="A1:M1"/>
    <mergeCell ref="A8:A9"/>
    <mergeCell ref="C8:C9"/>
    <mergeCell ref="D8:D9"/>
    <mergeCell ref="F8:G8"/>
    <mergeCell ref="K8:K9"/>
    <mergeCell ref="L8:L9"/>
    <mergeCell ref="M8:N8"/>
  </mergeCells>
  <pageMargins left="0.75" right="0.75" top="1" bottom="1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46" r:id="rId4" name="btnGenerate">
          <controlPr defaultSize="0" autoLine="0" r:id="rId5">
            <anchor moveWithCells="1" sizeWithCells="1">
              <from>
                <xdr:col>4</xdr:col>
                <xdr:colOff>628650</xdr:colOff>
                <xdr:row>2</xdr:row>
                <xdr:rowOff>57150</xdr:rowOff>
              </from>
              <to>
                <xdr:col>7</xdr:col>
                <xdr:colOff>495300</xdr:colOff>
                <xdr:row>3</xdr:row>
                <xdr:rowOff>200025</xdr:rowOff>
              </to>
            </anchor>
          </controlPr>
        </control>
      </mc:Choice>
      <mc:Fallback>
        <control shapeId="1046" r:id="rId4" name="btnGenera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4WS</vt:lpstr>
    </vt:vector>
  </TitlesOfParts>
  <Company>AGCO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AGCO User</cp:lastModifiedBy>
  <dcterms:created xsi:type="dcterms:W3CDTF">2016-04-20T13:52:04Z</dcterms:created>
  <dcterms:modified xsi:type="dcterms:W3CDTF">2020-10-26T13:33:16Z</dcterms:modified>
</cp:coreProperties>
</file>