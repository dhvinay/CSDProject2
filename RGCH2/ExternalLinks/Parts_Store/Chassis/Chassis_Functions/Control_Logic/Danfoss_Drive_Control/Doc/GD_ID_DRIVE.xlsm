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Dev\MyBranches\RG3_ShipDump\ExternalLinks\Parts_Store\Chassis\Chassis_Functions\Control_Logic\Danfoss_Drive_Control\Doc\"/>
    </mc:Choice>
  </mc:AlternateContent>
  <bookViews>
    <workbookView xWindow="11505" yWindow="-15" windowWidth="11550" windowHeight="11310"/>
  </bookViews>
  <sheets>
    <sheet name="DRIVE" sheetId="1" r:id="rId1"/>
  </sheets>
  <functionGroups builtInGroupCount="18"/>
  <externalReferences>
    <externalReference r:id="rId2"/>
    <externalReference r:id="rId3"/>
  </externalReferences>
  <definedNames>
    <definedName name="App._1">#REF!</definedName>
    <definedName name="App._11">#REF!</definedName>
    <definedName name="App._12">#REF!</definedName>
    <definedName name="App._13">#REF!</definedName>
    <definedName name="App._14">#REF!</definedName>
    <definedName name="App._15">#REF!</definedName>
    <definedName name="App._16">#REF!</definedName>
    <definedName name="App._17">#REF!</definedName>
    <definedName name="App._18">#REF!</definedName>
    <definedName name="App._19">#REF!</definedName>
    <definedName name="App._2">#REF!</definedName>
    <definedName name="App._20">#REF!</definedName>
    <definedName name="App._21">#REF!</definedName>
    <definedName name="App._22">#REF!</definedName>
    <definedName name="App._23">#REF!</definedName>
    <definedName name="App._24">#REF!</definedName>
    <definedName name="App._25">#REF!</definedName>
    <definedName name="App._26">#REF!</definedName>
    <definedName name="App._27">#REF!</definedName>
    <definedName name="App._28">#REF!</definedName>
    <definedName name="App._29">#REF!</definedName>
    <definedName name="App._30">#REF!</definedName>
    <definedName name="App._5">#REF!</definedName>
    <definedName name="App._7">#REF!</definedName>
    <definedName name="App._8">#REF!</definedName>
    <definedName name="EBT_Anmerkung_1">#REF!</definedName>
    <definedName name="EBT_Anmerkung_2">#REF!</definedName>
    <definedName name="EHL_ANMERKUNG_1">#REF!</definedName>
    <definedName name="EHL_ANMERKUNG_2">#REF!</definedName>
    <definedName name="EMM_ANMERKUNG_1">#REF!</definedName>
    <definedName name="KHR_ANMERKUNG_1">[1]GD_ID!$A$70:$F$81</definedName>
    <definedName name="KHR_ANMERKUNG_2">[1]GD_ID!$A$83:$F$87</definedName>
    <definedName name="KHR_ANMERKUNG_3">[1]GD_ID!$A$89:$G$100</definedName>
    <definedName name="KHR_ANMERKUNG_4">[1]GD_ID!$A$102:$F$116</definedName>
    <definedName name="Machine_List">'[2]Routing-Data RG3'!$P$23:$P$54</definedName>
    <definedName name="Machine_Select">'[2]Routing-Data RG3'!$P$30</definedName>
    <definedName name="MFA_Anmerkung_1">#REF!</definedName>
    <definedName name="MFA_Anmerkung_10">#REF!</definedName>
    <definedName name="MFA_Anmerkung_11">#REF!</definedName>
    <definedName name="MFA_Anmerkung_2">#REF!</definedName>
    <definedName name="MFA_Anmerkung_3">#REF!</definedName>
    <definedName name="MFA_Anmerkung_4">#REF!</definedName>
    <definedName name="MFA_Anmerkung_5">#REF!</definedName>
    <definedName name="MFA_Anmerkung_6">#REF!</definedName>
    <definedName name="MFA_Anmerkung_7">#REF!</definedName>
    <definedName name="MFA_Anmerkung_8">#REF!</definedName>
    <definedName name="MFA_Anmerkung_9">#REF!</definedName>
  </definedNames>
  <calcPr calcId="152511"/>
</workbook>
</file>

<file path=xl/calcChain.xml><?xml version="1.0" encoding="utf-8"?>
<calcChain xmlns="http://schemas.openxmlformats.org/spreadsheetml/2006/main">
  <c r="N324" i="1" l="1"/>
  <c r="M324" i="1"/>
  <c r="O324" i="1" s="1"/>
  <c r="P324" i="1" s="1"/>
  <c r="N323" i="1" l="1"/>
  <c r="M323" i="1"/>
  <c r="O323" i="1" s="1"/>
  <c r="P323" i="1" s="1"/>
  <c r="O322" i="1"/>
  <c r="P322" i="1" s="1"/>
  <c r="N322" i="1"/>
  <c r="M322" i="1"/>
  <c r="N321" i="1"/>
  <c r="M321" i="1"/>
  <c r="O321" i="1" s="1"/>
  <c r="P321" i="1" s="1"/>
  <c r="N320" i="1"/>
  <c r="M320" i="1"/>
  <c r="O320" i="1" s="1"/>
  <c r="P320" i="1" s="1"/>
  <c r="M13" i="1" l="1"/>
  <c r="N13" i="1"/>
  <c r="O13" i="1"/>
  <c r="P13" i="1"/>
  <c r="M14" i="1"/>
  <c r="N14" i="1"/>
  <c r="O14" i="1"/>
  <c r="P14" i="1"/>
  <c r="O22" i="1" l="1"/>
  <c r="P22" i="1"/>
  <c r="O23" i="1"/>
  <c r="P23" i="1"/>
  <c r="O28" i="1"/>
  <c r="P28" i="1"/>
  <c r="O30" i="1"/>
  <c r="P30" i="1"/>
  <c r="O33" i="1"/>
  <c r="P33" i="1"/>
  <c r="O35" i="1"/>
  <c r="P35" i="1"/>
  <c r="O39" i="1"/>
  <c r="P39" i="1"/>
  <c r="O40" i="1"/>
  <c r="P40" i="1"/>
  <c r="O41" i="1"/>
  <c r="P41" i="1"/>
  <c r="O42" i="1"/>
  <c r="P42" i="1"/>
  <c r="O44" i="1"/>
  <c r="P44" i="1"/>
  <c r="O45" i="1"/>
  <c r="P45" i="1"/>
  <c r="O46" i="1"/>
  <c r="P46" i="1"/>
  <c r="O52" i="1"/>
  <c r="P52" i="1"/>
  <c r="O53" i="1"/>
  <c r="P53" i="1"/>
  <c r="O54" i="1"/>
  <c r="P54" i="1"/>
  <c r="O58" i="1"/>
  <c r="P58" i="1"/>
  <c r="O60" i="1"/>
  <c r="P60" i="1"/>
  <c r="O62" i="1"/>
  <c r="P62" i="1"/>
  <c r="O63" i="1"/>
  <c r="P63" i="1"/>
  <c r="O65" i="1"/>
  <c r="P65" i="1"/>
  <c r="O68" i="1"/>
  <c r="P68" i="1"/>
  <c r="O70" i="1"/>
  <c r="P70" i="1"/>
  <c r="O71" i="1"/>
  <c r="P71" i="1"/>
  <c r="O72" i="1"/>
  <c r="P72" i="1"/>
  <c r="O75" i="1"/>
  <c r="P75" i="1"/>
  <c r="O79" i="1"/>
  <c r="P79" i="1"/>
  <c r="O91" i="1"/>
  <c r="P91" i="1"/>
  <c r="O92" i="1"/>
  <c r="P92" i="1"/>
  <c r="O95" i="1"/>
  <c r="P95" i="1"/>
  <c r="O96" i="1"/>
  <c r="P96" i="1"/>
  <c r="O105" i="1"/>
  <c r="P105" i="1"/>
  <c r="O107" i="1"/>
  <c r="P107" i="1"/>
  <c r="O109" i="1"/>
  <c r="P109" i="1"/>
  <c r="O111" i="1"/>
  <c r="P111" i="1"/>
  <c r="O113" i="1"/>
  <c r="P113" i="1"/>
  <c r="O114" i="1"/>
  <c r="P114" i="1"/>
  <c r="O115" i="1"/>
  <c r="P115" i="1"/>
  <c r="O116" i="1"/>
  <c r="P116" i="1"/>
  <c r="O117" i="1"/>
  <c r="P117" i="1"/>
  <c r="O118" i="1"/>
  <c r="P118" i="1"/>
  <c r="O125" i="1"/>
  <c r="P125" i="1"/>
  <c r="O127" i="1"/>
  <c r="P127" i="1"/>
  <c r="O128" i="1"/>
  <c r="P128" i="1"/>
  <c r="O129" i="1"/>
  <c r="P129" i="1"/>
  <c r="O131" i="1"/>
  <c r="P131" i="1"/>
  <c r="O132" i="1"/>
  <c r="P132" i="1"/>
  <c r="O133" i="1"/>
  <c r="P133" i="1"/>
  <c r="O135" i="1"/>
  <c r="P135" i="1"/>
  <c r="O136" i="1"/>
  <c r="P136" i="1"/>
  <c r="O137" i="1"/>
  <c r="P137" i="1"/>
  <c r="O139" i="1"/>
  <c r="P139" i="1"/>
  <c r="O140" i="1"/>
  <c r="P140" i="1"/>
  <c r="O141" i="1"/>
  <c r="P141" i="1"/>
  <c r="O143" i="1"/>
  <c r="P143" i="1"/>
  <c r="O144" i="1"/>
  <c r="P144" i="1"/>
  <c r="O146" i="1"/>
  <c r="P146" i="1"/>
  <c r="O147" i="1"/>
  <c r="P147" i="1"/>
  <c r="O149" i="1"/>
  <c r="P149" i="1"/>
  <c r="O150" i="1"/>
  <c r="P150" i="1"/>
  <c r="O153" i="1"/>
  <c r="P153" i="1"/>
  <c r="O159" i="1"/>
  <c r="P159" i="1"/>
  <c r="O161" i="1"/>
  <c r="P161" i="1"/>
  <c r="O163" i="1"/>
  <c r="P163" i="1"/>
  <c r="O164" i="1"/>
  <c r="P164" i="1"/>
  <c r="O165" i="1"/>
  <c r="P165" i="1"/>
  <c r="O166" i="1"/>
  <c r="P166" i="1"/>
  <c r="O167" i="1"/>
  <c r="P167" i="1"/>
  <c r="O168" i="1"/>
  <c r="P168" i="1"/>
  <c r="O169" i="1"/>
  <c r="P169" i="1"/>
  <c r="O170" i="1"/>
  <c r="P170" i="1"/>
  <c r="O171" i="1"/>
  <c r="P171" i="1"/>
  <c r="O172" i="1"/>
  <c r="P172" i="1"/>
  <c r="O173" i="1"/>
  <c r="P173" i="1"/>
  <c r="O174" i="1"/>
  <c r="P174" i="1"/>
  <c r="O175" i="1"/>
  <c r="P175" i="1"/>
  <c r="O176" i="1"/>
  <c r="P176" i="1"/>
  <c r="O177" i="1"/>
  <c r="P177" i="1"/>
  <c r="O178" i="1"/>
  <c r="P178" i="1"/>
  <c r="O179" i="1"/>
  <c r="P179" i="1"/>
  <c r="O213" i="1"/>
  <c r="P213" i="1"/>
  <c r="O214" i="1"/>
  <c r="P214" i="1"/>
  <c r="O215" i="1"/>
  <c r="P215" i="1"/>
  <c r="O216" i="1"/>
  <c r="P216" i="1" s="1"/>
  <c r="O217" i="1"/>
  <c r="P217" i="1" s="1"/>
  <c r="O218" i="1"/>
  <c r="P218" i="1"/>
  <c r="O219" i="1"/>
  <c r="P219" i="1" s="1"/>
  <c r="O220" i="1"/>
  <c r="P220" i="1" s="1"/>
  <c r="O221" i="1"/>
  <c r="P221" i="1" s="1"/>
  <c r="O222" i="1"/>
  <c r="P222" i="1" s="1"/>
  <c r="O223" i="1"/>
  <c r="P223" i="1" s="1"/>
  <c r="O224" i="1"/>
  <c r="P224" i="1" s="1"/>
  <c r="O225" i="1"/>
  <c r="P225" i="1"/>
  <c r="O229" i="1"/>
  <c r="P229" i="1"/>
  <c r="O230" i="1"/>
  <c r="P230" i="1"/>
  <c r="O231" i="1"/>
  <c r="P231" i="1"/>
  <c r="O232" i="1"/>
  <c r="P232" i="1"/>
  <c r="O233" i="1"/>
  <c r="P233" i="1"/>
  <c r="O235" i="1"/>
  <c r="P235" i="1"/>
  <c r="O236" i="1"/>
  <c r="P236" i="1"/>
  <c r="O237" i="1"/>
  <c r="P237" i="1"/>
  <c r="O238" i="1"/>
  <c r="P238" i="1"/>
  <c r="O239" i="1"/>
  <c r="P239" i="1"/>
  <c r="O240" i="1"/>
  <c r="P240" i="1"/>
  <c r="O245" i="1"/>
  <c r="P245" i="1"/>
  <c r="O247" i="1"/>
  <c r="P247" i="1"/>
  <c r="O248" i="1"/>
  <c r="P248" i="1"/>
  <c r="O249" i="1"/>
  <c r="P249" i="1"/>
  <c r="O250" i="1"/>
  <c r="P250" i="1"/>
  <c r="O251" i="1"/>
  <c r="P251" i="1"/>
  <c r="O252" i="1"/>
  <c r="P252" i="1"/>
  <c r="O254" i="1"/>
  <c r="P254" i="1"/>
  <c r="O255" i="1"/>
  <c r="P255" i="1"/>
  <c r="O256" i="1"/>
  <c r="P256" i="1"/>
  <c r="O257" i="1"/>
  <c r="P257" i="1"/>
  <c r="O258" i="1"/>
  <c r="P258" i="1"/>
  <c r="O260" i="1"/>
  <c r="P260" i="1"/>
  <c r="O262" i="1"/>
  <c r="P262" i="1"/>
  <c r="O263" i="1"/>
  <c r="P263" i="1"/>
  <c r="O264" i="1"/>
  <c r="P264" i="1"/>
  <c r="O265" i="1"/>
  <c r="P265" i="1"/>
  <c r="O267" i="1"/>
  <c r="P267" i="1"/>
  <c r="O268" i="1"/>
  <c r="P268" i="1"/>
  <c r="O269" i="1"/>
  <c r="P269" i="1"/>
  <c r="O271" i="1"/>
  <c r="P271" i="1"/>
  <c r="O273" i="1"/>
  <c r="P273" i="1"/>
  <c r="O274" i="1"/>
  <c r="P274" i="1"/>
  <c r="O275" i="1"/>
  <c r="P275" i="1"/>
  <c r="O276" i="1"/>
  <c r="P276" i="1"/>
  <c r="O277" i="1"/>
  <c r="P277" i="1"/>
  <c r="O278" i="1"/>
  <c r="P278" i="1"/>
  <c r="O280" i="1"/>
  <c r="P280" i="1"/>
  <c r="O281" i="1"/>
  <c r="P281" i="1"/>
  <c r="O282" i="1"/>
  <c r="P282" i="1"/>
  <c r="O283" i="1"/>
  <c r="P283" i="1"/>
  <c r="O284" i="1"/>
  <c r="P284" i="1"/>
  <c r="O286" i="1"/>
  <c r="P286" i="1"/>
  <c r="O311" i="1"/>
  <c r="P311" i="1"/>
  <c r="O313" i="1"/>
  <c r="P313" i="1"/>
  <c r="O314" i="1"/>
  <c r="P314" i="1"/>
  <c r="O315" i="1"/>
  <c r="P315" i="1"/>
  <c r="O316" i="1"/>
  <c r="P316" i="1"/>
  <c r="O317" i="1"/>
  <c r="P317" i="1"/>
  <c r="O325" i="1"/>
  <c r="P325" i="1"/>
  <c r="O327" i="1"/>
  <c r="P327" i="1"/>
  <c r="O328" i="1"/>
  <c r="P328" i="1" s="1"/>
  <c r="N326" i="1" l="1"/>
  <c r="M326" i="1"/>
  <c r="O326" i="1" s="1"/>
  <c r="P326" i="1" s="1"/>
  <c r="N325" i="1"/>
  <c r="M325" i="1"/>
  <c r="N319" i="1"/>
  <c r="M319" i="1"/>
  <c r="O319" i="1" s="1"/>
  <c r="P319" i="1" s="1"/>
  <c r="N317" i="1"/>
  <c r="M317" i="1"/>
  <c r="N316" i="1"/>
  <c r="M316" i="1"/>
  <c r="N315" i="1"/>
  <c r="M315" i="1"/>
  <c r="N314" i="1"/>
  <c r="M314" i="1"/>
  <c r="N313" i="1"/>
  <c r="M313" i="1"/>
  <c r="N312" i="1"/>
  <c r="M312" i="1"/>
  <c r="O312" i="1" s="1"/>
  <c r="P312" i="1" s="1"/>
  <c r="N311" i="1"/>
  <c r="M311" i="1"/>
  <c r="N310" i="1"/>
  <c r="M310" i="1"/>
  <c r="O310" i="1" s="1"/>
  <c r="P310" i="1" s="1"/>
  <c r="N309" i="1"/>
  <c r="M309" i="1"/>
  <c r="O309" i="1" s="1"/>
  <c r="P309" i="1" s="1"/>
  <c r="N308" i="1"/>
  <c r="M308" i="1"/>
  <c r="O308" i="1" s="1"/>
  <c r="P308" i="1" s="1"/>
  <c r="N307" i="1"/>
  <c r="M307" i="1"/>
  <c r="O307" i="1" s="1"/>
  <c r="P307" i="1" s="1"/>
  <c r="N306" i="1"/>
  <c r="M306" i="1"/>
  <c r="O306" i="1" s="1"/>
  <c r="P306" i="1" s="1"/>
  <c r="N305" i="1"/>
  <c r="M305" i="1"/>
  <c r="O305" i="1" s="1"/>
  <c r="P305" i="1" s="1"/>
  <c r="N304" i="1"/>
  <c r="M304" i="1"/>
  <c r="O304" i="1" s="1"/>
  <c r="P304" i="1" s="1"/>
  <c r="N303" i="1"/>
  <c r="M303" i="1"/>
  <c r="O303" i="1" s="1"/>
  <c r="P303" i="1" s="1"/>
  <c r="N302" i="1"/>
  <c r="M302" i="1"/>
  <c r="O302" i="1" s="1"/>
  <c r="P302" i="1" s="1"/>
  <c r="N301" i="1"/>
  <c r="M301" i="1"/>
  <c r="O301" i="1" s="1"/>
  <c r="P301" i="1" s="1"/>
  <c r="N300" i="1"/>
  <c r="M300" i="1"/>
  <c r="O300" i="1" s="1"/>
  <c r="P300" i="1" s="1"/>
  <c r="N299" i="1"/>
  <c r="M299" i="1"/>
  <c r="O299" i="1" s="1"/>
  <c r="P299" i="1" s="1"/>
  <c r="N298" i="1"/>
  <c r="M298" i="1"/>
  <c r="O298" i="1" s="1"/>
  <c r="P298" i="1" s="1"/>
  <c r="N297" i="1"/>
  <c r="M297" i="1"/>
  <c r="O297" i="1" s="1"/>
  <c r="P297" i="1" s="1"/>
  <c r="N296" i="1"/>
  <c r="M296" i="1"/>
  <c r="O296" i="1" s="1"/>
  <c r="P296" i="1" s="1"/>
  <c r="N295" i="1"/>
  <c r="M295" i="1"/>
  <c r="O295" i="1" s="1"/>
  <c r="P295" i="1" s="1"/>
  <c r="N294" i="1"/>
  <c r="M294" i="1"/>
  <c r="O294" i="1" s="1"/>
  <c r="P294" i="1" s="1"/>
  <c r="N293" i="1"/>
  <c r="M293" i="1"/>
  <c r="O293" i="1" s="1"/>
  <c r="P293" i="1" s="1"/>
  <c r="N292" i="1"/>
  <c r="M292" i="1"/>
  <c r="O292" i="1" s="1"/>
  <c r="P292" i="1" s="1"/>
  <c r="N291" i="1"/>
  <c r="M291" i="1"/>
  <c r="O291" i="1" s="1"/>
  <c r="P291" i="1" s="1"/>
  <c r="N290" i="1"/>
  <c r="M290" i="1"/>
  <c r="O290" i="1" s="1"/>
  <c r="P290" i="1" s="1"/>
  <c r="N289" i="1"/>
  <c r="M289" i="1"/>
  <c r="O289" i="1" s="1"/>
  <c r="P289" i="1" s="1"/>
  <c r="N288" i="1"/>
  <c r="M288" i="1"/>
  <c r="O288" i="1" s="1"/>
  <c r="P288" i="1" s="1"/>
  <c r="N287" i="1"/>
  <c r="M287" i="1"/>
  <c r="O287" i="1" s="1"/>
  <c r="P287" i="1" s="1"/>
  <c r="N286" i="1"/>
  <c r="M286" i="1"/>
  <c r="N285" i="1"/>
  <c r="M285" i="1"/>
  <c r="O285" i="1" s="1"/>
  <c r="P285" i="1" s="1"/>
  <c r="N284" i="1"/>
  <c r="M284" i="1"/>
  <c r="N283" i="1"/>
  <c r="M283" i="1"/>
  <c r="N282" i="1"/>
  <c r="M282" i="1"/>
  <c r="N281" i="1"/>
  <c r="M281" i="1"/>
  <c r="N280" i="1"/>
  <c r="M280" i="1"/>
  <c r="N279" i="1"/>
  <c r="M279" i="1"/>
  <c r="O279" i="1" s="1"/>
  <c r="P279" i="1" s="1"/>
  <c r="N278" i="1"/>
  <c r="M278" i="1"/>
  <c r="N277" i="1"/>
  <c r="M277" i="1"/>
  <c r="N276" i="1"/>
  <c r="M276" i="1"/>
  <c r="N275" i="1"/>
  <c r="M275" i="1"/>
  <c r="N274" i="1"/>
  <c r="M274" i="1"/>
  <c r="N273" i="1"/>
  <c r="M273" i="1"/>
  <c r="N272" i="1"/>
  <c r="M272" i="1"/>
  <c r="O272" i="1" s="1"/>
  <c r="P272" i="1" s="1"/>
  <c r="N271" i="1"/>
  <c r="M271" i="1"/>
  <c r="N270" i="1"/>
  <c r="M270" i="1"/>
  <c r="O270" i="1" s="1"/>
  <c r="P270" i="1" s="1"/>
  <c r="N269" i="1"/>
  <c r="M269" i="1"/>
  <c r="N268" i="1"/>
  <c r="M268" i="1"/>
  <c r="N267" i="1"/>
  <c r="M267" i="1"/>
  <c r="N266" i="1"/>
  <c r="M266" i="1"/>
  <c r="O266" i="1" s="1"/>
  <c r="P266" i="1" s="1"/>
  <c r="N265" i="1"/>
  <c r="M265" i="1"/>
  <c r="N264" i="1"/>
  <c r="M264" i="1"/>
  <c r="N263" i="1"/>
  <c r="M263" i="1"/>
  <c r="N262" i="1"/>
  <c r="M262" i="1"/>
  <c r="N261" i="1"/>
  <c r="M261" i="1"/>
  <c r="O261" i="1" s="1"/>
  <c r="P261" i="1" s="1"/>
  <c r="N260" i="1"/>
  <c r="M260" i="1"/>
  <c r="N259" i="1"/>
  <c r="M259" i="1"/>
  <c r="O259" i="1" s="1"/>
  <c r="P259" i="1" s="1"/>
  <c r="N258" i="1"/>
  <c r="M258" i="1"/>
  <c r="N257" i="1"/>
  <c r="M257" i="1"/>
  <c r="N256" i="1"/>
  <c r="M256" i="1"/>
  <c r="N255" i="1"/>
  <c r="M255" i="1"/>
  <c r="N254" i="1"/>
  <c r="M254" i="1"/>
  <c r="N253" i="1"/>
  <c r="M253" i="1"/>
  <c r="O253" i="1" s="1"/>
  <c r="P253" i="1" s="1"/>
  <c r="N252" i="1"/>
  <c r="M252" i="1"/>
  <c r="N251" i="1"/>
  <c r="M251" i="1"/>
  <c r="N250" i="1"/>
  <c r="M250" i="1"/>
  <c r="N249" i="1"/>
  <c r="M249" i="1"/>
  <c r="N248" i="1"/>
  <c r="M248" i="1"/>
  <c r="N247" i="1"/>
  <c r="M247" i="1"/>
  <c r="N246" i="1"/>
  <c r="M246" i="1"/>
  <c r="O246" i="1" s="1"/>
  <c r="P246" i="1" s="1"/>
  <c r="N245" i="1"/>
  <c r="M245" i="1"/>
  <c r="N244" i="1"/>
  <c r="M244" i="1"/>
  <c r="O244" i="1" s="1"/>
  <c r="P244" i="1" s="1"/>
  <c r="N243" i="1"/>
  <c r="M243" i="1"/>
  <c r="O243" i="1" s="1"/>
  <c r="P243" i="1" s="1"/>
  <c r="N242" i="1"/>
  <c r="M242" i="1"/>
  <c r="O242" i="1" s="1"/>
  <c r="P242" i="1" s="1"/>
  <c r="N241" i="1"/>
  <c r="M241" i="1"/>
  <c r="O241" i="1" s="1"/>
  <c r="P241" i="1" s="1"/>
  <c r="N240" i="1"/>
  <c r="M240" i="1"/>
  <c r="N239" i="1"/>
  <c r="M239" i="1"/>
  <c r="N238" i="1"/>
  <c r="M238" i="1"/>
  <c r="N237" i="1"/>
  <c r="M237" i="1"/>
  <c r="N236" i="1"/>
  <c r="M236" i="1"/>
  <c r="N235" i="1"/>
  <c r="M235" i="1"/>
  <c r="N234" i="1"/>
  <c r="M234" i="1"/>
  <c r="O234" i="1" s="1"/>
  <c r="P234" i="1" s="1"/>
  <c r="N233" i="1"/>
  <c r="M233" i="1"/>
  <c r="N232" i="1"/>
  <c r="M232" i="1"/>
  <c r="N231" i="1"/>
  <c r="M231" i="1"/>
  <c r="N230" i="1"/>
  <c r="M230" i="1"/>
  <c r="N229" i="1"/>
  <c r="M229" i="1"/>
  <c r="N228" i="1"/>
  <c r="M228" i="1"/>
  <c r="O228" i="1" s="1"/>
  <c r="P228" i="1" s="1"/>
  <c r="N227" i="1"/>
  <c r="M227" i="1"/>
  <c r="O227" i="1" s="1"/>
  <c r="P227" i="1" s="1"/>
  <c r="N226" i="1"/>
  <c r="M226" i="1"/>
  <c r="O226" i="1" s="1"/>
  <c r="P226" i="1" s="1"/>
  <c r="N212" i="1"/>
  <c r="M212" i="1"/>
  <c r="O212" i="1" s="1"/>
  <c r="P212" i="1" s="1"/>
  <c r="N211" i="1"/>
  <c r="M211" i="1"/>
  <c r="O211" i="1" s="1"/>
  <c r="P211" i="1" s="1"/>
  <c r="N210" i="1"/>
  <c r="M210" i="1"/>
  <c r="O210" i="1" s="1"/>
  <c r="P210" i="1" s="1"/>
  <c r="N209" i="1"/>
  <c r="M209" i="1"/>
  <c r="O209" i="1" s="1"/>
  <c r="P209" i="1" s="1"/>
  <c r="N208" i="1"/>
  <c r="M208" i="1"/>
  <c r="O208" i="1" s="1"/>
  <c r="P208" i="1" s="1"/>
  <c r="N207" i="1"/>
  <c r="M207" i="1"/>
  <c r="O207" i="1" s="1"/>
  <c r="P207" i="1" s="1"/>
  <c r="N206" i="1"/>
  <c r="M206" i="1"/>
  <c r="O206" i="1" s="1"/>
  <c r="P206" i="1" s="1"/>
  <c r="N205" i="1"/>
  <c r="M205" i="1"/>
  <c r="O205" i="1" s="1"/>
  <c r="P205" i="1" s="1"/>
  <c r="N204" i="1"/>
  <c r="M204" i="1"/>
  <c r="O204" i="1" s="1"/>
  <c r="P204" i="1" s="1"/>
  <c r="N203" i="1"/>
  <c r="M203" i="1"/>
  <c r="O203" i="1" s="1"/>
  <c r="P203" i="1" s="1"/>
  <c r="N202" i="1"/>
  <c r="M202" i="1"/>
  <c r="O202" i="1" s="1"/>
  <c r="P202" i="1" s="1"/>
  <c r="N201" i="1"/>
  <c r="M201" i="1"/>
  <c r="O201" i="1" s="1"/>
  <c r="P201" i="1" s="1"/>
  <c r="N200" i="1"/>
  <c r="M200" i="1"/>
  <c r="O200" i="1" s="1"/>
  <c r="P200" i="1" s="1"/>
  <c r="N199" i="1"/>
  <c r="M199" i="1"/>
  <c r="O199" i="1" s="1"/>
  <c r="P199" i="1" s="1"/>
  <c r="N198" i="1"/>
  <c r="M198" i="1"/>
  <c r="O198" i="1" s="1"/>
  <c r="P198" i="1" s="1"/>
  <c r="N197" i="1"/>
  <c r="M197" i="1"/>
  <c r="O197" i="1" s="1"/>
  <c r="P197" i="1" s="1"/>
  <c r="N196" i="1"/>
  <c r="M196" i="1"/>
  <c r="O196" i="1" s="1"/>
  <c r="P196" i="1" s="1"/>
  <c r="N195" i="1"/>
  <c r="M195" i="1"/>
  <c r="O195" i="1" s="1"/>
  <c r="P195" i="1" s="1"/>
  <c r="N194" i="1"/>
  <c r="M194" i="1"/>
  <c r="O194" i="1" s="1"/>
  <c r="P194" i="1" s="1"/>
  <c r="N193" i="1"/>
  <c r="M193" i="1"/>
  <c r="O193" i="1" s="1"/>
  <c r="P193" i="1" s="1"/>
  <c r="N192" i="1"/>
  <c r="M192" i="1"/>
  <c r="O192" i="1" s="1"/>
  <c r="P192" i="1" s="1"/>
  <c r="N191" i="1"/>
  <c r="M191" i="1"/>
  <c r="O191" i="1" s="1"/>
  <c r="P191" i="1" s="1"/>
  <c r="N190" i="1"/>
  <c r="M190" i="1"/>
  <c r="O190" i="1" s="1"/>
  <c r="P190" i="1" s="1"/>
  <c r="N189" i="1"/>
  <c r="M189" i="1"/>
  <c r="O189" i="1" s="1"/>
  <c r="P189" i="1" s="1"/>
  <c r="N188" i="1"/>
  <c r="M188" i="1"/>
  <c r="O188" i="1" s="1"/>
  <c r="P188" i="1" s="1"/>
  <c r="N187" i="1"/>
  <c r="M187" i="1"/>
  <c r="O187" i="1" s="1"/>
  <c r="P187" i="1" s="1"/>
  <c r="N186" i="1"/>
  <c r="M186" i="1"/>
  <c r="O186" i="1" s="1"/>
  <c r="P186" i="1" s="1"/>
  <c r="N185" i="1"/>
  <c r="M185" i="1"/>
  <c r="O185" i="1" s="1"/>
  <c r="P185" i="1" s="1"/>
  <c r="N184" i="1"/>
  <c r="M184" i="1"/>
  <c r="O184" i="1" s="1"/>
  <c r="P184" i="1" s="1"/>
  <c r="N183" i="1"/>
  <c r="M183" i="1"/>
  <c r="O183" i="1" s="1"/>
  <c r="P183" i="1" s="1"/>
  <c r="N182" i="1"/>
  <c r="M182" i="1"/>
  <c r="O182" i="1" s="1"/>
  <c r="P182" i="1" s="1"/>
  <c r="N181" i="1"/>
  <c r="M181" i="1"/>
  <c r="O181" i="1" s="1"/>
  <c r="P181" i="1" s="1"/>
  <c r="N180" i="1"/>
  <c r="M180" i="1"/>
  <c r="O180" i="1" s="1"/>
  <c r="P180" i="1" s="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O162" i="1" s="1"/>
  <c r="P162" i="1" s="1"/>
  <c r="N161" i="1"/>
  <c r="M161" i="1"/>
  <c r="N160" i="1"/>
  <c r="M160" i="1"/>
  <c r="O160" i="1" s="1"/>
  <c r="P160" i="1" s="1"/>
  <c r="N159" i="1"/>
  <c r="M159" i="1"/>
  <c r="N158" i="1"/>
  <c r="M158" i="1"/>
  <c r="O158" i="1" s="1"/>
  <c r="P158" i="1" s="1"/>
  <c r="N157" i="1"/>
  <c r="M157" i="1"/>
  <c r="O157" i="1" s="1"/>
  <c r="P157" i="1" s="1"/>
  <c r="N156" i="1"/>
  <c r="M156" i="1"/>
  <c r="O156" i="1" s="1"/>
  <c r="P156" i="1" s="1"/>
  <c r="N155" i="1"/>
  <c r="M155" i="1"/>
  <c r="O155" i="1" s="1"/>
  <c r="P155" i="1" s="1"/>
  <c r="N154" i="1"/>
  <c r="M154" i="1"/>
  <c r="O154" i="1" s="1"/>
  <c r="P154" i="1" s="1"/>
  <c r="N153" i="1"/>
  <c r="M153" i="1"/>
  <c r="N152" i="1"/>
  <c r="M152" i="1"/>
  <c r="O152" i="1" s="1"/>
  <c r="P152" i="1" s="1"/>
  <c r="N151" i="1"/>
  <c r="M151" i="1"/>
  <c r="O151" i="1" s="1"/>
  <c r="P151" i="1" s="1"/>
  <c r="N150" i="1"/>
  <c r="M150" i="1"/>
  <c r="N149" i="1"/>
  <c r="M149" i="1"/>
  <c r="N148" i="1"/>
  <c r="M148" i="1"/>
  <c r="O148" i="1" s="1"/>
  <c r="P148" i="1" s="1"/>
  <c r="N147" i="1"/>
  <c r="M147" i="1"/>
  <c r="N146" i="1"/>
  <c r="M146" i="1"/>
  <c r="N145" i="1"/>
  <c r="M145" i="1"/>
  <c r="O145" i="1" s="1"/>
  <c r="P145" i="1" s="1"/>
  <c r="N144" i="1"/>
  <c r="M144" i="1"/>
  <c r="N143" i="1"/>
  <c r="M143" i="1"/>
  <c r="N142" i="1"/>
  <c r="M142" i="1"/>
  <c r="O142" i="1" s="1"/>
  <c r="P142" i="1" s="1"/>
  <c r="N141" i="1"/>
  <c r="M141" i="1"/>
  <c r="N140" i="1"/>
  <c r="M140" i="1"/>
  <c r="N139" i="1"/>
  <c r="M139" i="1"/>
  <c r="N138" i="1"/>
  <c r="M138" i="1"/>
  <c r="O138" i="1" s="1"/>
  <c r="P138" i="1" s="1"/>
  <c r="N137" i="1"/>
  <c r="M137" i="1"/>
  <c r="N136" i="1"/>
  <c r="M136" i="1"/>
  <c r="N135" i="1"/>
  <c r="M135" i="1"/>
  <c r="N134" i="1"/>
  <c r="M134" i="1"/>
  <c r="O134" i="1" s="1"/>
  <c r="P134" i="1" s="1"/>
  <c r="N133" i="1"/>
  <c r="M133" i="1"/>
  <c r="N132" i="1"/>
  <c r="M132" i="1"/>
  <c r="N131" i="1"/>
  <c r="M131" i="1"/>
  <c r="N130" i="1"/>
  <c r="M130" i="1"/>
  <c r="O130" i="1" s="1"/>
  <c r="P130" i="1" s="1"/>
  <c r="N129" i="1"/>
  <c r="M129" i="1"/>
  <c r="N128" i="1"/>
  <c r="M128" i="1"/>
  <c r="N127" i="1"/>
  <c r="M127" i="1"/>
  <c r="N126" i="1"/>
  <c r="M126" i="1"/>
  <c r="O126" i="1" s="1"/>
  <c r="P126" i="1" s="1"/>
  <c r="N125" i="1"/>
  <c r="M125" i="1"/>
  <c r="N124" i="1"/>
  <c r="M124" i="1"/>
  <c r="O124" i="1" s="1"/>
  <c r="P124" i="1" s="1"/>
  <c r="N123" i="1"/>
  <c r="M123" i="1"/>
  <c r="O123" i="1" s="1"/>
  <c r="P123" i="1" s="1"/>
  <c r="N122" i="1"/>
  <c r="M122" i="1"/>
  <c r="O122" i="1" s="1"/>
  <c r="P122" i="1" s="1"/>
  <c r="N121" i="1"/>
  <c r="M121" i="1"/>
  <c r="O121" i="1" s="1"/>
  <c r="P121" i="1" s="1"/>
  <c r="N120" i="1"/>
  <c r="M120" i="1"/>
  <c r="O120" i="1" s="1"/>
  <c r="P120" i="1" s="1"/>
  <c r="N119" i="1"/>
  <c r="M119" i="1"/>
  <c r="O119" i="1" s="1"/>
  <c r="P119" i="1" s="1"/>
  <c r="N118" i="1"/>
  <c r="M118" i="1"/>
  <c r="N117" i="1"/>
  <c r="M117" i="1"/>
  <c r="N116" i="1"/>
  <c r="M116" i="1"/>
  <c r="N115" i="1"/>
  <c r="M115" i="1"/>
  <c r="N114" i="1"/>
  <c r="M114" i="1"/>
  <c r="N113" i="1"/>
  <c r="M113" i="1"/>
  <c r="N112" i="1"/>
  <c r="M112" i="1"/>
  <c r="O112" i="1" s="1"/>
  <c r="P112" i="1" s="1"/>
  <c r="N111" i="1"/>
  <c r="M111" i="1"/>
  <c r="N110" i="1"/>
  <c r="M110" i="1"/>
  <c r="O110" i="1" s="1"/>
  <c r="P110" i="1" s="1"/>
  <c r="N109" i="1"/>
  <c r="M109" i="1"/>
  <c r="N108" i="1"/>
  <c r="M108" i="1"/>
  <c r="O108" i="1" s="1"/>
  <c r="P108" i="1" s="1"/>
  <c r="N107" i="1"/>
  <c r="M107" i="1"/>
  <c r="N106" i="1"/>
  <c r="M106" i="1"/>
  <c r="O106" i="1" s="1"/>
  <c r="P106" i="1" s="1"/>
  <c r="N105" i="1"/>
  <c r="M105" i="1"/>
  <c r="N104" i="1"/>
  <c r="M104" i="1"/>
  <c r="O104" i="1" s="1"/>
  <c r="P104" i="1" s="1"/>
  <c r="N103" i="1"/>
  <c r="M103" i="1"/>
  <c r="O103" i="1" s="1"/>
  <c r="P103" i="1" s="1"/>
  <c r="N102" i="1"/>
  <c r="M102" i="1"/>
  <c r="O102" i="1" s="1"/>
  <c r="P102" i="1" s="1"/>
  <c r="N101" i="1"/>
  <c r="M101" i="1"/>
  <c r="O101" i="1" s="1"/>
  <c r="P101" i="1" s="1"/>
  <c r="N100" i="1"/>
  <c r="M100" i="1"/>
  <c r="O100" i="1" s="1"/>
  <c r="P100" i="1" s="1"/>
  <c r="N99" i="1"/>
  <c r="M99" i="1"/>
  <c r="O99" i="1" s="1"/>
  <c r="P99" i="1" s="1"/>
  <c r="N98" i="1"/>
  <c r="M98" i="1"/>
  <c r="O98" i="1" s="1"/>
  <c r="P98" i="1" s="1"/>
  <c r="N97" i="1"/>
  <c r="M97" i="1"/>
  <c r="O97" i="1" s="1"/>
  <c r="P97" i="1" s="1"/>
  <c r="N96" i="1"/>
  <c r="M96" i="1"/>
  <c r="N95" i="1"/>
  <c r="M95" i="1"/>
  <c r="N94" i="1"/>
  <c r="M94" i="1"/>
  <c r="O94" i="1" s="1"/>
  <c r="P94" i="1" s="1"/>
  <c r="N93" i="1"/>
  <c r="M93" i="1"/>
  <c r="O93" i="1" s="1"/>
  <c r="P93" i="1" s="1"/>
  <c r="N92" i="1"/>
  <c r="M92" i="1"/>
  <c r="N91" i="1"/>
  <c r="M91" i="1"/>
  <c r="N90" i="1"/>
  <c r="M90" i="1"/>
  <c r="O90" i="1" s="1"/>
  <c r="P90" i="1" s="1"/>
  <c r="N89" i="1"/>
  <c r="M89" i="1"/>
  <c r="O89" i="1" s="1"/>
  <c r="P89" i="1" s="1"/>
  <c r="N88" i="1"/>
  <c r="M88" i="1"/>
  <c r="O88" i="1" s="1"/>
  <c r="P88" i="1" s="1"/>
  <c r="N87" i="1"/>
  <c r="M87" i="1"/>
  <c r="O87" i="1" s="1"/>
  <c r="P87" i="1" s="1"/>
  <c r="N86" i="1"/>
  <c r="M86" i="1"/>
  <c r="O86" i="1" s="1"/>
  <c r="P86" i="1" s="1"/>
  <c r="N85" i="1"/>
  <c r="M85" i="1"/>
  <c r="O85" i="1" s="1"/>
  <c r="P85" i="1" s="1"/>
  <c r="N84" i="1"/>
  <c r="M84" i="1"/>
  <c r="O84" i="1" s="1"/>
  <c r="P84" i="1" s="1"/>
  <c r="N83" i="1"/>
  <c r="M83" i="1"/>
  <c r="O83" i="1" s="1"/>
  <c r="P83" i="1" s="1"/>
  <c r="N82" i="1"/>
  <c r="M82" i="1"/>
  <c r="O82" i="1" s="1"/>
  <c r="P82" i="1" s="1"/>
  <c r="N81" i="1"/>
  <c r="M81" i="1"/>
  <c r="O81" i="1" s="1"/>
  <c r="P81" i="1" s="1"/>
  <c r="N80" i="1"/>
  <c r="M80" i="1"/>
  <c r="O80" i="1" s="1"/>
  <c r="P80" i="1" s="1"/>
  <c r="N79" i="1"/>
  <c r="M79" i="1"/>
  <c r="N78" i="1"/>
  <c r="M78" i="1"/>
  <c r="O78" i="1" s="1"/>
  <c r="P78" i="1" s="1"/>
  <c r="N77" i="1"/>
  <c r="M77" i="1"/>
  <c r="O77" i="1" s="1"/>
  <c r="P77" i="1" s="1"/>
  <c r="N76" i="1"/>
  <c r="M76" i="1"/>
  <c r="O76" i="1" s="1"/>
  <c r="P76" i="1" s="1"/>
  <c r="N75" i="1"/>
  <c r="M75" i="1"/>
  <c r="N74" i="1"/>
  <c r="M74" i="1"/>
  <c r="O74" i="1" s="1"/>
  <c r="P74" i="1" s="1"/>
  <c r="N73" i="1"/>
  <c r="M73" i="1"/>
  <c r="O73" i="1" s="1"/>
  <c r="P73" i="1" s="1"/>
  <c r="N72" i="1"/>
  <c r="M72" i="1"/>
  <c r="N71" i="1"/>
  <c r="M71" i="1"/>
  <c r="N70" i="1"/>
  <c r="M70" i="1"/>
  <c r="N69" i="1"/>
  <c r="M69" i="1"/>
  <c r="O69" i="1" s="1"/>
  <c r="P69" i="1" s="1"/>
  <c r="N68" i="1"/>
  <c r="M68" i="1"/>
  <c r="N67" i="1"/>
  <c r="M67" i="1"/>
  <c r="O67" i="1" s="1"/>
  <c r="P67" i="1" s="1"/>
  <c r="N66" i="1"/>
  <c r="M66" i="1"/>
  <c r="O66" i="1" s="1"/>
  <c r="P66" i="1" s="1"/>
  <c r="N65" i="1"/>
  <c r="M65" i="1"/>
  <c r="N64" i="1"/>
  <c r="M64" i="1"/>
  <c r="O64" i="1" s="1"/>
  <c r="P64" i="1" s="1"/>
  <c r="N63" i="1"/>
  <c r="M63" i="1"/>
  <c r="N62" i="1"/>
  <c r="M62" i="1"/>
  <c r="N61" i="1"/>
  <c r="M61" i="1"/>
  <c r="O61" i="1" s="1"/>
  <c r="P61" i="1" s="1"/>
  <c r="N60" i="1"/>
  <c r="M60" i="1"/>
  <c r="N59" i="1"/>
  <c r="M59" i="1"/>
  <c r="O59" i="1" s="1"/>
  <c r="P59" i="1" s="1"/>
  <c r="N58" i="1"/>
  <c r="M58" i="1"/>
  <c r="N57" i="1"/>
  <c r="M57" i="1"/>
  <c r="O57" i="1" s="1"/>
  <c r="P57" i="1" s="1"/>
  <c r="N56" i="1"/>
  <c r="M56" i="1"/>
  <c r="O56" i="1" s="1"/>
  <c r="P56" i="1" s="1"/>
  <c r="N55" i="1"/>
  <c r="M55" i="1"/>
  <c r="O55" i="1" s="1"/>
  <c r="P55" i="1" s="1"/>
  <c r="N54" i="1"/>
  <c r="M54" i="1"/>
  <c r="N53" i="1"/>
  <c r="M53" i="1"/>
  <c r="N52" i="1"/>
  <c r="M52" i="1"/>
  <c r="N51" i="1"/>
  <c r="M51" i="1"/>
  <c r="O51" i="1" s="1"/>
  <c r="P51" i="1" s="1"/>
  <c r="N50" i="1"/>
  <c r="M50" i="1"/>
  <c r="O50" i="1" s="1"/>
  <c r="P50" i="1" s="1"/>
  <c r="N49" i="1"/>
  <c r="M49" i="1"/>
  <c r="O49" i="1" s="1"/>
  <c r="P49" i="1" s="1"/>
  <c r="N48" i="1"/>
  <c r="M48" i="1"/>
  <c r="O48" i="1" s="1"/>
  <c r="P48" i="1" s="1"/>
  <c r="N47" i="1"/>
  <c r="M47" i="1"/>
  <c r="O47" i="1" s="1"/>
  <c r="P47" i="1" s="1"/>
  <c r="N46" i="1"/>
  <c r="M46" i="1"/>
  <c r="N45" i="1"/>
  <c r="M45" i="1"/>
  <c r="N44" i="1"/>
  <c r="M44" i="1"/>
  <c r="N43" i="1"/>
  <c r="M43" i="1"/>
  <c r="O43" i="1" s="1"/>
  <c r="P43" i="1" s="1"/>
  <c r="N42" i="1"/>
  <c r="M42" i="1"/>
  <c r="N41" i="1"/>
  <c r="M41" i="1"/>
  <c r="N40" i="1"/>
  <c r="M40" i="1"/>
  <c r="N39" i="1"/>
  <c r="M39" i="1"/>
  <c r="N38" i="1"/>
  <c r="M38" i="1"/>
  <c r="O38" i="1" s="1"/>
  <c r="P38" i="1" s="1"/>
  <c r="N37" i="1"/>
  <c r="M37" i="1"/>
  <c r="O37" i="1" s="1"/>
  <c r="P37" i="1" s="1"/>
  <c r="N36" i="1"/>
  <c r="M36" i="1"/>
  <c r="O36" i="1" s="1"/>
  <c r="P36" i="1" s="1"/>
  <c r="N35" i="1"/>
  <c r="M35" i="1"/>
  <c r="N34" i="1"/>
  <c r="M34" i="1"/>
  <c r="O34" i="1" s="1"/>
  <c r="P34" i="1" s="1"/>
  <c r="N33" i="1"/>
  <c r="M33" i="1"/>
  <c r="N32" i="1"/>
  <c r="M32" i="1"/>
  <c r="O32" i="1" s="1"/>
  <c r="P32" i="1" s="1"/>
  <c r="N31" i="1"/>
  <c r="M31" i="1"/>
  <c r="O31" i="1" s="1"/>
  <c r="P31" i="1" s="1"/>
  <c r="N30" i="1"/>
  <c r="M30" i="1"/>
  <c r="N29" i="1"/>
  <c r="M29" i="1"/>
  <c r="O29" i="1" s="1"/>
  <c r="P29" i="1" s="1"/>
  <c r="N28" i="1"/>
  <c r="M28" i="1"/>
  <c r="N27" i="1"/>
  <c r="M27" i="1"/>
  <c r="O27" i="1" s="1"/>
  <c r="P27" i="1" s="1"/>
  <c r="N26" i="1"/>
  <c r="M26" i="1"/>
  <c r="O26" i="1" s="1"/>
  <c r="P26" i="1" s="1"/>
  <c r="N25" i="1"/>
  <c r="M25" i="1"/>
  <c r="O25" i="1" s="1"/>
  <c r="P25" i="1" s="1"/>
  <c r="N24" i="1"/>
  <c r="M24" i="1"/>
  <c r="O24" i="1" s="1"/>
  <c r="P24" i="1" s="1"/>
  <c r="N23" i="1"/>
  <c r="M23" i="1"/>
  <c r="N22" i="1"/>
  <c r="M22" i="1"/>
  <c r="N21" i="1"/>
  <c r="M21" i="1"/>
  <c r="O21" i="1" s="1"/>
  <c r="P21" i="1" s="1"/>
  <c r="N20" i="1"/>
  <c r="M20" i="1"/>
  <c r="O20" i="1" s="1"/>
  <c r="P20" i="1" s="1"/>
  <c r="N19" i="1"/>
  <c r="M19" i="1"/>
  <c r="O19" i="1" s="1"/>
  <c r="P19" i="1" s="1"/>
  <c r="N18" i="1"/>
  <c r="M18" i="1"/>
  <c r="O18" i="1" s="1"/>
  <c r="P18" i="1" s="1"/>
  <c r="N17" i="1"/>
  <c r="M17" i="1"/>
  <c r="O17" i="1" s="1"/>
  <c r="P17" i="1" s="1"/>
  <c r="N16" i="1"/>
  <c r="M16" i="1"/>
  <c r="O16" i="1" s="1"/>
  <c r="P16" i="1" s="1"/>
  <c r="N15" i="1"/>
  <c r="M15" i="1"/>
  <c r="O15" i="1" s="1"/>
  <c r="P15" i="1" s="1"/>
  <c r="N12" i="1"/>
  <c r="M12" i="1"/>
  <c r="O12" i="1" s="1"/>
  <c r="P12" i="1" s="1"/>
  <c r="AC11" i="1" l="1"/>
  <c r="P11" i="1"/>
  <c r="O11" i="1"/>
</calcChain>
</file>

<file path=xl/comments1.xml><?xml version="1.0" encoding="utf-8"?>
<comments xmlns="http://schemas.openxmlformats.org/spreadsheetml/2006/main">
  <authors>
    <author>AGCO</author>
    <author>Hodnefield, Eric</author>
    <author>Windows User</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C55" authorId="1" shapeId="0">
      <text>
        <r>
          <rPr>
            <b/>
            <sz val="9"/>
            <color indexed="81"/>
            <rFont val="Tahoma"/>
            <family val="2"/>
          </rPr>
          <t>Hodnefield, Eric:</t>
        </r>
        <r>
          <rPr>
            <sz val="9"/>
            <color indexed="81"/>
            <rFont val="Tahoma"/>
            <family val="2"/>
          </rPr>
          <t xml:space="preserve">
Must be sent cyclically or else value will change back to 0</t>
        </r>
      </text>
    </comment>
    <comment ref="C66" authorId="1" shapeId="0">
      <text>
        <r>
          <rPr>
            <b/>
            <sz val="9"/>
            <color indexed="81"/>
            <rFont val="Tahoma"/>
            <family val="2"/>
          </rPr>
          <t>Hodnefield, Eric:</t>
        </r>
        <r>
          <rPr>
            <sz val="9"/>
            <color indexed="81"/>
            <rFont val="Tahoma"/>
            <family val="2"/>
          </rPr>
          <t xml:space="preserve">
Must be sent cyclically or else value will change back to 0</t>
        </r>
      </text>
    </comment>
    <comment ref="F97" authorId="2" shapeId="0">
      <text>
        <r>
          <rPr>
            <b/>
            <sz val="9"/>
            <color indexed="81"/>
            <rFont val="Tahoma"/>
            <family val="2"/>
          </rPr>
          <t>Road Mode Range:
1000-1000;
Field Mode Range:
1000-1950</t>
        </r>
        <r>
          <rPr>
            <sz val="9"/>
            <color indexed="81"/>
            <rFont val="Tahoma"/>
            <family val="2"/>
          </rPr>
          <t xml:space="preserve">
</t>
        </r>
      </text>
    </comment>
    <comment ref="C130" authorId="1" shapeId="0">
      <text/>
    </comment>
    <comment ref="C145" authorId="1" shapeId="0">
      <text>
        <r>
          <rPr>
            <b/>
            <sz val="9"/>
            <color indexed="81"/>
            <rFont val="Tahoma"/>
            <family val="2"/>
          </rPr>
          <t>Hodnefield, Eric:</t>
        </r>
        <r>
          <rPr>
            <sz val="9"/>
            <color indexed="81"/>
            <rFont val="Tahoma"/>
            <family val="2"/>
          </rPr>
          <t xml:space="preserve">
Must be sent cyclically or else value will change back to 0.  This value will disappear off the dash when the value is 25.9 or greater.  The value won't reappear until its 25.19 or less.</t>
        </r>
      </text>
    </comment>
    <comment ref="A326" authorId="1" shapeId="0">
      <text>
        <r>
          <rPr>
            <b/>
            <sz val="9"/>
            <color indexed="81"/>
            <rFont val="Tahoma"/>
            <family val="2"/>
          </rPr>
          <t xml:space="preserve">AGCO:
</t>
        </r>
        <r>
          <rPr>
            <sz val="9"/>
            <color indexed="81"/>
            <rFont val="Tahoma"/>
            <family val="2"/>
          </rPr>
          <t xml:space="preserve">Enter 494 for error message signal. This holds good for all logical nodes
</t>
        </r>
      </text>
    </comment>
    <comment ref="A328" authorId="1" shapeId="0">
      <text>
        <r>
          <rPr>
            <b/>
            <sz val="9"/>
            <color indexed="81"/>
            <rFont val="Tahoma"/>
            <family val="2"/>
          </rPr>
          <t xml:space="preserve">AGCO:
</t>
        </r>
        <r>
          <rPr>
            <sz val="9"/>
            <color indexed="81"/>
            <rFont val="Tahoma"/>
            <family val="2"/>
          </rPr>
          <t>Make sure to enter 511 for life message. This holds good for all the logical nodes</t>
        </r>
      </text>
    </comment>
  </commentList>
</comments>
</file>

<file path=xl/sharedStrings.xml><?xml version="1.0" encoding="utf-8"?>
<sst xmlns="http://schemas.openxmlformats.org/spreadsheetml/2006/main" count="1191" uniqueCount="454">
  <si>
    <t>Drive Control</t>
  </si>
  <si>
    <t>Logical name:</t>
  </si>
  <si>
    <t>DRIVE</t>
  </si>
  <si>
    <t>Physical Node:</t>
  </si>
  <si>
    <t>Logical Node:</t>
  </si>
  <si>
    <t>Index
0 - 511</t>
  </si>
  <si>
    <t>Status</t>
  </si>
  <si>
    <t>Variable Name
Begin with GD_ID_XXX_</t>
  </si>
  <si>
    <t>Access
R, W, R/W</t>
  </si>
  <si>
    <t>Data - Min/Max</t>
  </si>
  <si>
    <t>Offset</t>
  </si>
  <si>
    <t>Scaling</t>
  </si>
  <si>
    <t>Unit</t>
  </si>
  <si>
    <t>Data
Dimension</t>
  </si>
  <si>
    <t>Description</t>
  </si>
  <si>
    <t>Subscriber Number</t>
  </si>
  <si>
    <t>Globaler Index</t>
  </si>
  <si>
    <t>NT01 Reference</t>
  </si>
  <si>
    <t>Used by EDT</t>
  </si>
  <si>
    <t>Nodes to Respond to Variable</t>
  </si>
  <si>
    <t>Nodes to Request Variable</t>
  </si>
  <si>
    <t>Nodes to Immediate Write Variable</t>
  </si>
  <si>
    <t>Value Table Name For 16 Bit Value</t>
  </si>
  <si>
    <t>Value Text Description</t>
  </si>
  <si>
    <t>Value</t>
  </si>
  <si>
    <t>Bit Table Name For 1 Bit Status</t>
  </si>
  <si>
    <t>Bit Value Description</t>
  </si>
  <si>
    <t>Bit Value</t>
  </si>
  <si>
    <t>(P/I/R)</t>
  </si>
  <si>
    <t>DB5 - Bit7</t>
  </si>
  <si>
    <t xml:space="preserve">MIN </t>
  </si>
  <si>
    <t>Max</t>
  </si>
  <si>
    <t>Factor</t>
  </si>
  <si>
    <t>Logical Node</t>
  </si>
  <si>
    <t>Phy Node</t>
  </si>
  <si>
    <t>Dec</t>
  </si>
  <si>
    <t>Hex</t>
  </si>
  <si>
    <t/>
  </si>
  <si>
    <t>GD_ID_DRIVE_BRAKE_PEDAL_POSITION_A</t>
  </si>
  <si>
    <t>---</t>
  </si>
  <si>
    <t>mV</t>
  </si>
  <si>
    <t>Sensor Brake Pedal Signal A</t>
  </si>
  <si>
    <t>GD_ID_DRIVE_BRAKE_PEDAL_POSITION_B</t>
  </si>
  <si>
    <t>Sensor Brake Pedal Signal B</t>
  </si>
  <si>
    <t>GD_ID_DRIVE_BRAKE_PEDAL_POSITION</t>
  </si>
  <si>
    <t>%</t>
  </si>
  <si>
    <t>Sensor Brake Pedal</t>
  </si>
  <si>
    <t>GD_ID_DRIVE_HYD_MOT_RPM_FR</t>
  </si>
  <si>
    <t>rpm</t>
  </si>
  <si>
    <t>Sensor RPM Hydro Motor Front Right</t>
  </si>
  <si>
    <t>GD_ID_DRIVE_HYD_MOT_RPM_RR</t>
  </si>
  <si>
    <t>Sensor RPM Hydro Motor Rear Right</t>
  </si>
  <si>
    <t>GD_ID_DRIVE_HYD_MOT_RPM_RL</t>
  </si>
  <si>
    <t>Sensor RPM Hydro Motor Rear Left</t>
  </si>
  <si>
    <t>GD_ID_DRIVE_HYD_MOT_RPM_FL</t>
  </si>
  <si>
    <t>Sensor RPM Hydro Motor Front Left</t>
  </si>
  <si>
    <t>GD_ID_DRIVE_FORWARD_SS_DEFAULT_SPEED</t>
  </si>
  <si>
    <t>km/h</t>
  </si>
  <si>
    <t>Shuttle Shift Forward Default Speed</t>
  </si>
  <si>
    <t>-g</t>
  </si>
  <si>
    <t>NT01</t>
  </si>
  <si>
    <t>GD_ID_DRIVE_REVERSE_SS_DEFAULT_SPEED</t>
  </si>
  <si>
    <t>Shuttle Shift Reverse Default Speed</t>
  </si>
  <si>
    <t>GD_ID_DRIVE_WHEEL_BASED_MACHINE_SPEED</t>
  </si>
  <si>
    <t xml:space="preserve">Machine Speed Calculated by Wheel Speeds </t>
  </si>
  <si>
    <t>GD_ID_DRIVE_DANFOSS_IN_SV_STATE_COMMANDED</t>
  </si>
  <si>
    <t>1/0</t>
  </si>
  <si>
    <t>SV State Commanded Into the Danfoss Module</t>
  </si>
  <si>
    <t>OFF</t>
  </si>
  <si>
    <t>XXXXXXXXXXXXXXXXXXXXX</t>
  </si>
  <si>
    <t>ON</t>
  </si>
  <si>
    <t>GD_ID_DRIVE_DANFOSS_OUT_SV_STATE_ACTUAL</t>
  </si>
  <si>
    <t>SV State Actual Out of the Danfoss Module</t>
  </si>
  <si>
    <t>GD_ID_DRIVE_DANFOSS_IN_SV_SPEED</t>
  </si>
  <si>
    <t>SV Speed Into the Danfoss Module</t>
  </si>
  <si>
    <t>GD_ID_DRIVE_DANFOSS_OUT_DRIVE_MODE_ACTUAL</t>
  </si>
  <si>
    <t>Actual Drive Mode Out of the Danfoss Module</t>
  </si>
  <si>
    <t>-gs</t>
  </si>
  <si>
    <t>Lever</t>
  </si>
  <si>
    <t>Pedal</t>
  </si>
  <si>
    <t>GD_ID_DRIVE_DANFOSS_IN_DRIVE_MODE_COMMANDED</t>
  </si>
  <si>
    <t>Commanded Drive Mode into Danfoss Module</t>
  </si>
  <si>
    <t>GD_ID_DRIVE_SV_1</t>
  </si>
  <si>
    <t>SV1 speed setting. Status High: unattainable setpoint</t>
  </si>
  <si>
    <t>GD_ID_DRIVE_SV_2</t>
  </si>
  <si>
    <t>SV2 speed setting. Status High: unattainable setpoint</t>
  </si>
  <si>
    <t>GD_ID_DRIVE_SV_STATE</t>
  </si>
  <si>
    <t xml:space="preserve">2,4: SV1,2 is active. 1,3 SV1,2 is selected. 0 not active. </t>
  </si>
  <si>
    <t>x</t>
  </si>
  <si>
    <t>SV 1 selected</t>
  </si>
  <si>
    <t>SV 1 active</t>
  </si>
  <si>
    <t>SV 2 selected</t>
  </si>
  <si>
    <t>SV 2 active</t>
  </si>
  <si>
    <t>GD_ID_DRIVE_MAX_ENGINE_DROP</t>
  </si>
  <si>
    <t>0.01</t>
  </si>
  <si>
    <t>Amount of engine droop before antistall reacts</t>
  </si>
  <si>
    <t>GD_ID_DRIVE_CALIB_STATE_BRAKE_PEDAL</t>
  </si>
  <si>
    <t>TRUE/FALSE</t>
  </si>
  <si>
    <t>Brake pedal calibrated</t>
  </si>
  <si>
    <t>GD_ID_DRIVE_PRESSURE_A</t>
  </si>
  <si>
    <t>bar</t>
  </si>
  <si>
    <t>Forward transmission drive pressure</t>
  </si>
  <si>
    <t>-gu</t>
  </si>
  <si>
    <t>GD_ID_DRIVE_PRESSURE_B</t>
  </si>
  <si>
    <t>Reverse transmission drive pressure</t>
  </si>
  <si>
    <t>GD_ID_DRIVE_CHARGE_PRESSURE</t>
  </si>
  <si>
    <t>Transmission charge pressure</t>
  </si>
  <si>
    <t>GD_ID_DRIVE_DASH_DISPLAYED_ENGINE_SPEED</t>
  </si>
  <si>
    <t>Value displayed on the dash's left segment display</t>
  </si>
  <si>
    <t>GD_ID_DRIVE_FRONT_STEER_ANGLE</t>
  </si>
  <si>
    <t>deg</t>
  </si>
  <si>
    <t xml:space="preserve">Angle of Front Wheels. Negative - left steer, Positive - right steer </t>
  </si>
  <si>
    <t>GD_ID_DRIVE_DANFOSS_OUT_PARKBRK_REQUEST</t>
  </si>
  <si>
    <t>Request for park brake to be applied out of Danfoss module</t>
  </si>
  <si>
    <t>Release</t>
  </si>
  <si>
    <t>Apply</t>
  </si>
  <si>
    <t>GD_ID_DRIVE_DANFOSS_OUT_CCO_VALVE_REQUEST</t>
  </si>
  <si>
    <t>Request for CCO Valve to be applied out of Danfoss Module</t>
  </si>
  <si>
    <t>GD_ID_DRIVE_CCO_VALVE_COMMAND</t>
  </si>
  <si>
    <t>Commanded signal out to CCO valve</t>
  </si>
  <si>
    <t>Low</t>
  </si>
  <si>
    <t>High</t>
  </si>
  <si>
    <t>GD_ID_DRIVE_TIRE_RCI</t>
  </si>
  <si>
    <t>RCI</t>
  </si>
  <si>
    <t>Rolling circumference index for tire size</t>
  </si>
  <si>
    <t>GD_ID_DRIVE_DASH_DISPLAYED_MACHINE_SPEED2</t>
  </si>
  <si>
    <t>Value displayed on the dash's right bottom segment display</t>
  </si>
  <si>
    <t>GD_ID_DRIVE_CARGO_OVER_WEIGHT</t>
  </si>
  <si>
    <t>psi</t>
  </si>
  <si>
    <t>Identifies whether cargo weight is high enough to derate max machine speed. Value bytes is the psi from the sensor.</t>
  </si>
  <si>
    <t>GD_ID_DRIVE_ROGATOR_MACHINE_CONFIGURATION</t>
  </si>
  <si>
    <t>Identifies the RoGator Model</t>
  </si>
  <si>
    <t>RG900</t>
  </si>
  <si>
    <t>RG1100</t>
  </si>
  <si>
    <t>RG1300</t>
  </si>
  <si>
    <t>RG1300 Rear Torque</t>
  </si>
  <si>
    <t>GD_ID_DRIVE_TIRE_ROLLING_CIRCUMFERENCE</t>
  </si>
  <si>
    <t>mm</t>
  </si>
  <si>
    <t>Rolling circumference of the wheels</t>
  </si>
  <si>
    <t>GD_ID_DRIVE_BRAKE_LIGHT_COMMAND</t>
  </si>
  <si>
    <t>Indicates whether brake light should be on according to machine deceleration</t>
  </si>
  <si>
    <t>GD_ID_DRIVE_TARGET_MACHINE_SPEED</t>
  </si>
  <si>
    <t>GD_ID_DRIVE_MAX_MACHINE_SPEED</t>
  </si>
  <si>
    <t>Maximum allowed machine speed based on state / machine configuration</t>
  </si>
  <si>
    <t>GD_ID_DRIVE_CALIB_BRAKE_PEDAL_START</t>
  </si>
  <si>
    <t>TRUE/n.a.</t>
  </si>
  <si>
    <t>Brake pedal calibration - Start command</t>
  </si>
  <si>
    <t>GD_ID_DRIVE_CALIB_BRAKE_PEDAL_ACTIVE</t>
  </si>
  <si>
    <t>ON/OFF</t>
  </si>
  <si>
    <t>Brake pedal calibration - Active report</t>
  </si>
  <si>
    <t>GD_ID_DRIVE_CALIB_BRAKE_PEDAL_DOWN</t>
  </si>
  <si>
    <t>Brake pedal calibration - Down command</t>
  </si>
  <si>
    <t>GD_ID_DRIVE_CALIB_BRAKE_PEDAL_DOWN_RET</t>
  </si>
  <si>
    <t>Brake pedal calibration - Down processed</t>
  </si>
  <si>
    <t>GD_ID_DRIVE_CALIB_BRAKE_PEDAL_UP</t>
  </si>
  <si>
    <t>Brake pedal calibration - Up command</t>
  </si>
  <si>
    <t>GD_ID_DRIVE_CALIB_BRAKE_PEDAL_UP_RET</t>
  </si>
  <si>
    <t>Brake pedal calibration - Up processed</t>
  </si>
  <si>
    <t>GD_ID_DRIVE_CALIB_BRAKE_PEDAL_ACCEPT</t>
  </si>
  <si>
    <t>Brake pedal calibration - Accept command</t>
  </si>
  <si>
    <t>GD_ID_DRIVE_CALIB_BRAKE_PEDAL_DECLINE</t>
  </si>
  <si>
    <t>Brake pedal calibration - Decline command</t>
  </si>
  <si>
    <t>GD_ID_DRIVE_CALIB_BRAKE_PEDAL_PROCESSED</t>
  </si>
  <si>
    <t>Brake pedal calibration - Accept/Decline processed</t>
  </si>
  <si>
    <t>GD_ID_DRIVE_CALIB_BRAKE_PEDAL_ERROR</t>
  </si>
  <si>
    <t>Brake pedal calibration - Error report</t>
  </si>
  <si>
    <t>GD_ID_DRIVE_FIELD_STREET_STATE</t>
  </si>
  <si>
    <t>Speed range mode</t>
  </si>
  <si>
    <t>Field</t>
  </si>
  <si>
    <t>Street</t>
  </si>
  <si>
    <t>Street Tank Limit</t>
  </si>
  <si>
    <t>GD_ID_DRIVE_DTM_ENALBED_IN_MANUAL</t>
  </si>
  <si>
    <t>1 to enable dtm setpoint while in manual engine speed mode</t>
  </si>
  <si>
    <t>GD_ID_DRIVE_STATE</t>
  </si>
  <si>
    <t>Drive state</t>
  </si>
  <si>
    <t>Neutral</t>
  </si>
  <si>
    <t>Forward</t>
  </si>
  <si>
    <t>Reverse</t>
  </si>
  <si>
    <t>GD_ID_DRIVE_DTM_MIN_RPM</t>
  </si>
  <si>
    <t>0.125</t>
  </si>
  <si>
    <t>Minimal engine RPM setting for PowerManagement</t>
  </si>
  <si>
    <t>GD_ID_DRIVE_DTM_MAX_RPM</t>
  </si>
  <si>
    <t>Maximal engine RPM setting for PowerManagement</t>
  </si>
  <si>
    <t>GD_ID_DRIVE_DRIVEPUMP_A_COMCURRENT</t>
  </si>
  <si>
    <t>mA</t>
  </si>
  <si>
    <t>Commanded current [mA] for coil A drive pump</t>
  </si>
  <si>
    <t>GD_ID_DRIVE_DRIVEPUMP_B_COMCURRENT</t>
  </si>
  <si>
    <t>Commanded current [mA] for coil B drive pump</t>
  </si>
  <si>
    <t>GD_ID_DRIVE_HYD_MOT_FR_COMCURRENT</t>
  </si>
  <si>
    <t>Desired rate [mA] for coil wheel motor front right</t>
  </si>
  <si>
    <t>GD_ID_DRIVE_HYD_MOT_RR_COMCURRENT</t>
  </si>
  <si>
    <t>Desired rate [mA] for coil wheel motor rear right</t>
  </si>
  <si>
    <t>GD_ID_DRIVE_HYD_MOT_RL_COMCURRENT</t>
  </si>
  <si>
    <t>Desired rate [mA] for coil wheel motor rear left</t>
  </si>
  <si>
    <t>GD_ID_DRIVE_HYD_MOT_FL_COMCURRENT</t>
  </si>
  <si>
    <t>Desired rate [mA] for coil wheel motor front left</t>
  </si>
  <si>
    <t>GD_ID_DRIVE_HYDRAULIC_OIl_TEMP</t>
  </si>
  <si>
    <t>C</t>
  </si>
  <si>
    <t>Hydraulic oil temperature</t>
  </si>
  <si>
    <t>GD_ID_DRIVE_FUEL_LEVEL</t>
  </si>
  <si>
    <t>Fuel level %</t>
  </si>
  <si>
    <t>GD_ID_DRIVE_PARKBRAKE_VALVE_SIGNALOUT</t>
  </si>
  <si>
    <t>GD_ID_DRIVE_OPERATION_MODE</t>
  </si>
  <si>
    <t>Identifies whether a limited mode is active</t>
  </si>
  <si>
    <t>Normal Operation</t>
  </si>
  <si>
    <t>Limited Mode 1</t>
  </si>
  <si>
    <t>Limited Mode 2</t>
  </si>
  <si>
    <t>Limited Mode 3</t>
  </si>
  <si>
    <t>Limited Mode 4</t>
  </si>
  <si>
    <t>Stop Mode 1</t>
  </si>
  <si>
    <t>Stop Mode 2</t>
  </si>
  <si>
    <t>GD_ID_DRIVE_DRIVEPUMP_A_FEEDBACK_CURRENT</t>
  </si>
  <si>
    <t>Feedback current [mA] for coil A drive pump</t>
  </si>
  <si>
    <t>GD_ID_DRIVE_DRIVEPUMP_B_FEEDBACK_CURRENT</t>
  </si>
  <si>
    <t>Feedback current [mA] for coil B drive pump</t>
  </si>
  <si>
    <t>GD_ID_DRIVE_HYD_MOT_FR_FEEDBACK_CURRENT</t>
  </si>
  <si>
    <t>Feedback current [mA] for coil wheel motor front right</t>
  </si>
  <si>
    <t>GD_ID_DRIVE_HYD_MOT_RR_FEEDBACK_CURRENT</t>
  </si>
  <si>
    <t>Feedback current [mA] for coil wheel motor rear right</t>
  </si>
  <si>
    <t>GD_ID_DRIVE_HYD_MOT_RL_FEEDBACK_CURRENT</t>
  </si>
  <si>
    <t>Feedback current [mA] for coil wheel motor rear left</t>
  </si>
  <si>
    <t>GD_ID_DRIVE_HYD_MOT_FL_FEEDBACK_CURRENT</t>
  </si>
  <si>
    <t>Feedback current [mA] for coil wheel motor front left</t>
  </si>
  <si>
    <t>GD_ID_DRIVE_DASH_DISPLAYED_PARK_BRAKE_LED</t>
  </si>
  <si>
    <t>Indicates the commanded state of the park brake LED on dash.  Value is directly linked to park brake pressure switch state (J1-36)</t>
  </si>
  <si>
    <t>GD_ID_DRIVE_CURRENT_GEAR</t>
  </si>
  <si>
    <t>gear</t>
  </si>
  <si>
    <t>Current Gear</t>
  </si>
  <si>
    <t>Park</t>
  </si>
  <si>
    <t>GD_ID_DRIVE_SELECTED_GEAR</t>
  </si>
  <si>
    <t>Selected Gear</t>
  </si>
  <si>
    <t>GD_ID_DRIVE_DRIVE_PEDAL_POSITION</t>
  </si>
  <si>
    <t>Drive Pedal Position</t>
  </si>
  <si>
    <t>GD_ID_DRIVE_DASH_DISPLAYED_MACHINE_SPEED1</t>
  </si>
  <si>
    <t>Value displayed on the dash's right upper segment display</t>
  </si>
  <si>
    <t>GD_ID_DRIVE_DTM_COMMANDED_RPM</t>
  </si>
  <si>
    <t>Commanded engine speed from power management</t>
  </si>
  <si>
    <t>GD_ID_DRIVE_DISPLAY_UNITS</t>
  </si>
  <si>
    <t>W</t>
  </si>
  <si>
    <t>enum</t>
  </si>
  <si>
    <t>0 = NT01 displays Metric units (kph), 1 = NT01 displays American units (mph)</t>
  </si>
  <si>
    <t>GD_ID_DRIVE_RESET_DEFAULT_PROFILES</t>
  </si>
  <si>
    <t>A 1 resets all profiles to default "3"</t>
  </si>
  <si>
    <t>Reset Profiles</t>
  </si>
  <si>
    <t>GD_ID_DRIVE_LEVER_ACCEL_PROFILE</t>
  </si>
  <si>
    <t>Enum</t>
  </si>
  <si>
    <t>Agressivness setting for acceleration profile for lever</t>
  </si>
  <si>
    <t>GD_ID_DRIVE_LEVER_DECEL_PROFILE</t>
  </si>
  <si>
    <t>Agressivness setting for decceleration profile for lever</t>
  </si>
  <si>
    <t>GD_ID_DRIVE_PEDAL_ACCEL_PROFILE</t>
  </si>
  <si>
    <t>Agressivness setting for acceleration profile for foot pedal</t>
  </si>
  <si>
    <t>GD_ID_DRIVE_PEDAL_DECEL_PROFILE</t>
  </si>
  <si>
    <t>Agressivness setting for decceleration profile for brake pedal</t>
  </si>
  <si>
    <t>GD_ID_DRIVE_SV_ACCELDECEL_PROFILE</t>
  </si>
  <si>
    <t>Agressivness setting for acceleration and deceleration profile for SV</t>
  </si>
  <si>
    <t>GD_ID_DRIVE_SHUTTLE_ACCELDECEL_PROFILE</t>
  </si>
  <si>
    <t>Agressivness setting for acceleration and deceleration profile for shuttle shift</t>
  </si>
  <si>
    <t>GD_ID_DRIVE_DANFOSS_IN_OUTFAULTS</t>
  </si>
  <si>
    <t>Collection of fault statuses into the Danfoss Module</t>
  </si>
  <si>
    <t>Bit 0 (0x0001): Pump forward coil open/short to GND</t>
  </si>
  <si>
    <t>Bit 1 (0x0002): Pump reverse coil open/short to GND</t>
  </si>
  <si>
    <t>Bit 2 (0x0004): Front left motor coil open/short to GND</t>
  </si>
  <si>
    <t>Bit 3 (0x0008): Front right motor coil open/short to GND</t>
  </si>
  <si>
    <t>Bit 4 (0x0010): Rear left motor coil open/short to GND</t>
  </si>
  <si>
    <t>Bit 5 (0x0020): Rear right motor coil open/short to GND</t>
  </si>
  <si>
    <t>Bit 6 (0x0040): CCO open/short to GND</t>
  </si>
  <si>
    <t>Bit 7 (0x0080): Park brake open/short to GND</t>
  </si>
  <si>
    <t>Bit 8 (0x0010): Pump forward coil short to battery</t>
  </si>
  <si>
    <t>Bit 9 (0x0020): Pump reverse coil short to battery</t>
  </si>
  <si>
    <t>Bit 10 (0x0040): Front left motor coil short to battery</t>
  </si>
  <si>
    <t>Bit 11 (0x0080): Front right motor coil short to battery</t>
  </si>
  <si>
    <t>Bit 12 (0x0100): Rear left motor coil short to battery</t>
  </si>
  <si>
    <t>Bit 13 (0x0200): Rear right motor coil short to battery</t>
  </si>
  <si>
    <t>Bit 14 (0x0400): CCO short to battery</t>
  </si>
  <si>
    <t>Bit 15 (0x0800): Park brake short to battery</t>
  </si>
  <si>
    <t>GD_ID_DRIVE_PEDAL_CAL_COMMAND</t>
  </si>
  <si>
    <t>GD_ID_DRIVE_PEDAL_CAL_STATE</t>
  </si>
  <si>
    <t>GD_ID_DRIVE_BRAKE_PEDAL_CAL_COMMAND</t>
  </si>
  <si>
    <t>Start</t>
  </si>
  <si>
    <t>Proceed From Step1</t>
  </si>
  <si>
    <t>Proceed From Step2</t>
  </si>
  <si>
    <t>Accept</t>
  </si>
  <si>
    <t xml:space="preserve">Abort </t>
  </si>
  <si>
    <t>Decline</t>
  </si>
  <si>
    <t>GD_ID_DRIVE_BRAKE_PEDAL_CAL_STATE</t>
  </si>
  <si>
    <t>Step1 - Push Pedal</t>
  </si>
  <si>
    <t>Step2 - Release Pedal</t>
  </si>
  <si>
    <t>Confirm</t>
  </si>
  <si>
    <t>Calibration Finished</t>
  </si>
  <si>
    <t>Error - Pedal Down</t>
  </si>
  <si>
    <t>Error - Pedal Up</t>
  </si>
  <si>
    <t>Calibration Error</t>
  </si>
  <si>
    <t>GD_ID_DRIVE_WAS_CAL_COMMAND</t>
  </si>
  <si>
    <t>GD_ID_DRIVE_WAS_CAL_STATE</t>
  </si>
  <si>
    <t>GD_ID_DRIVE_HYDRO_CAL_COMMAND</t>
  </si>
  <si>
    <t>GD_ID_DRIVE_HYDRO_CAL_STATE</t>
  </si>
  <si>
    <t>GD_ID_DRIVE_WHEEL_SPEED_CALIBRATION_COMMAND</t>
  </si>
  <si>
    <t>Proceed From Step3</t>
  </si>
  <si>
    <t>Accept-Proceed From Step4</t>
  </si>
  <si>
    <t>Decline-Proceed From Step4</t>
  </si>
  <si>
    <t>Abort</t>
  </si>
  <si>
    <t>GD_ID_DRIVE_WHEEL_SPEED_CALIBRATION_STATE</t>
  </si>
  <si>
    <t>Step1 - Begin Calib</t>
  </si>
  <si>
    <t>Step2 - Start Position</t>
  </si>
  <si>
    <t>Step3 - End Position</t>
  </si>
  <si>
    <t>Step4 - User AcceptOrDeny</t>
  </si>
  <si>
    <t>GD_ID_DRIVE_WHEEL_SPEED_CALIBRATION_USER_DISTANCE</t>
  </si>
  <si>
    <t>m</t>
  </si>
  <si>
    <t>GD_ID_DRIVE_RADAR_CALIBRATION_COMMAND</t>
  </si>
  <si>
    <t>GD_ID_DRIVE_RADAR_CALIBRATION_STATE</t>
  </si>
  <si>
    <t>GD_ID_DRIVE_RADAR_CALIBRATION_USER_DISTANCE</t>
  </si>
  <si>
    <t>GD_ID_DRIVE_COMBO_CALIBRATION_COMMAND</t>
  </si>
  <si>
    <t>GD_ID_DRIVE_COMBO_CALIBRATION_STATE</t>
  </si>
  <si>
    <t>GD_ID_DRIVE_COMBO_CALIBRATION_USER_DISTANCE</t>
  </si>
  <si>
    <t>GD_ID_DRIVE_DRIVEPUMP_A_START_CAL_CURRENT_STORED</t>
  </si>
  <si>
    <t>Pump A Solenoid Start Current Stored in EEPROM</t>
  </si>
  <si>
    <t>GD_ID_DRIVE_DRIVEPUMP_A_END_CAL_CURRENT_STORED</t>
  </si>
  <si>
    <t>Pump A Solenoid Ending Current Stored in EEPROM</t>
  </si>
  <si>
    <t>GD_ID_DRIVE_DRIVEPUMP_B_START_CAL_CURRENT_STORED</t>
  </si>
  <si>
    <t>Pump B Solenoid Start Current Stored in EEPROM</t>
  </si>
  <si>
    <t>GD_ID_DRIVE_DRIVEPUMP_B_END_CAL_CURRENT_STORED</t>
  </si>
  <si>
    <t>Pump B Solenoid Ending Current Stored in EEPROM</t>
  </si>
  <si>
    <t>GD_ID_DRIVE_MOTOR_FL_START_CAL_CURRENT_STORED</t>
  </si>
  <si>
    <t>Front Left Motor Solenoid Start Current Stored in EEPROM</t>
  </si>
  <si>
    <t>GD_ID_DRIVE_MOTOR_FL_END_CAL_CURRENT_STORED</t>
  </si>
  <si>
    <t>Front Left Motor Solenoid Ending Current Stored in EEPROM</t>
  </si>
  <si>
    <t>GD_ID_DRIVE_MOTOR_FR_START_CAL_CURRENT_STORED</t>
  </si>
  <si>
    <t>Front Right Motor Solenoid Start Current Stored in EEPROM</t>
  </si>
  <si>
    <t>GD_ID_DRIVE_MOTOR_FR_END_CAL_CURRENT_STORED</t>
  </si>
  <si>
    <t>Front Right Motor Solenoid Ending Current Stored in EEPROM</t>
  </si>
  <si>
    <t>GD_ID_DRIVE_MOTOR_RL_START_CAL_CURRENT_STORED</t>
  </si>
  <si>
    <t>Rear Left Motor Solenoid Start Current Stored in EEPROM</t>
  </si>
  <si>
    <t>GD_ID_DRIVE_MOTOR_RL_END_CAL_CURRENT_STORED</t>
  </si>
  <si>
    <t>Rear Left Motor Solenoid Ending Current Stored in EEPROM</t>
  </si>
  <si>
    <t>GD_ID_DRIVE_MOTOR_RR_START_CAL_CURRENT_STORED</t>
  </si>
  <si>
    <t>Rear Right Motor Solenoid Start Current Stored in EEPROM</t>
  </si>
  <si>
    <t>GD_ID_DRIVE_MOTOR_RR_END_CAL_CURRENT_STORED</t>
  </si>
  <si>
    <t>Rear Right Motor Solenoid Ending Current Stored in EEPROM</t>
  </si>
  <si>
    <t>GD_ID_DRIVE_DRIVEPUMP_A_START_CAL_CURRENT_NEW</t>
  </si>
  <si>
    <t>Pump A Solenoid Start Current NEW Value Not Yet in EEPROM</t>
  </si>
  <si>
    <t>GD_ID_DRIVE_DRIVEPUMP_A_END_CAL_CURRENT_NEW</t>
  </si>
  <si>
    <t>Pump A Solenoid Ending Current NEW Value Not Yet in EEPROM</t>
  </si>
  <si>
    <t>GD_ID_DRIVE_DRIVEPUMP_B_START_CAL_CURRENT_NEW</t>
  </si>
  <si>
    <t>Pump B Solenoid Start Current NEW Value Not Yet in EEPROM</t>
  </si>
  <si>
    <t>GD_ID_DRIVE_DRIVEPUMP_B_END_CAL_CURRENT_NEW</t>
  </si>
  <si>
    <t>Pump B Solenoid Ending Current NEW Value Not Yet in EEPROM</t>
  </si>
  <si>
    <t>GD_ID_DRIVE_MOTOR_FL_START_CAL_CURRENT_NEW</t>
  </si>
  <si>
    <t>Front Left Motor Solenoid Start NEW Value Not Yet in EEPROM</t>
  </si>
  <si>
    <t>GD_ID_DRIVE_MOTOR_FL_END_CAL_CURRENT_NEW</t>
  </si>
  <si>
    <t>Front Left Motor Solenoid Ending NEW Value Not Yet in EEPROM</t>
  </si>
  <si>
    <t>GD_ID_DRIVE_MOTOR_FR_START_CAL_CURRENT_NEW</t>
  </si>
  <si>
    <t>Front Right Motor Solenoid Start NEW Value Not Yet in EEPROM</t>
  </si>
  <si>
    <t>GD_ID_DRIVE_MOTOR_FR_END_CAL_CURRENT_NEW</t>
  </si>
  <si>
    <t>Front Right Motor Solenoid Ending NEW Value Not Yet in EEPROM</t>
  </si>
  <si>
    <t>GD_ID_DRIVE_MOTOR_RL_START_CAL_CURRENT_NEW</t>
  </si>
  <si>
    <t>Rear Left Motor Solenoid Start NEW Value Not Yet in EEPROM</t>
  </si>
  <si>
    <t>GD_ID_DRIVE_MOTOR_RL_END_CAL_CURRENT_NEW</t>
  </si>
  <si>
    <t>Rear Left Motor Solenoid Ending NEW Value Not Yet in EEPROM</t>
  </si>
  <si>
    <t>GD_ID_DRIVE_MOTOR_RR_START_CAL_CURRENT_NEW</t>
  </si>
  <si>
    <t>Rear Right Motor Solenoid Start NEW Value Not Yet in EEPROM</t>
  </si>
  <si>
    <t>GD_ID_DRIVE_MOTOR_RR_END_CAL_CURRENT_NEW</t>
  </si>
  <si>
    <t>Rear Right Motor Solenoid Ending NEW Value Not Yet in EEPROM</t>
  </si>
  <si>
    <t>GD_ID_DRIVE_DANFOSS_CAL_REQUEST</t>
  </si>
  <si>
    <t>Bitfield for calibration of pumps/motors</t>
  </si>
  <si>
    <t>Bit 0 (0x0001): Calibrate pumps</t>
  </si>
  <si>
    <t>Bit 1 (0x0002): Calibrate front left motor</t>
  </si>
  <si>
    <t>Bit 2 (0x0004): Calibrate front right motor</t>
  </si>
  <si>
    <t>Bit 3 (0x0008): Calibrate rear left motor</t>
  </si>
  <si>
    <t>Bit 4 (0x0010): Calibrate  rear right motor</t>
  </si>
  <si>
    <t>GD_ID_DRIVE_WHEEL_BASED_MACHINE_SPEED_KPH</t>
  </si>
  <si>
    <t>GD_ID_DRIVE_ERRORMANAGEMENT</t>
  </si>
  <si>
    <t>Error Code</t>
  </si>
  <si>
    <t>Return path for fault management (acknowledgment)</t>
  </si>
  <si>
    <t>GD_ID_DRIVE_LIFEMESSAGE</t>
  </si>
  <si>
    <t>ms</t>
  </si>
  <si>
    <t>mSec</t>
  </si>
  <si>
    <t>Lifemessage</t>
  </si>
  <si>
    <t>End</t>
  </si>
  <si>
    <t>Anl. 1:</t>
  </si>
  <si>
    <t>0 = OFF</t>
  </si>
  <si>
    <t>1 = ON</t>
  </si>
  <si>
    <t>2 = FLASHING</t>
  </si>
  <si>
    <t>R</t>
  </si>
  <si>
    <t>GD_ID_DRIVE_MAX_SV_SPEED</t>
  </si>
  <si>
    <t>Max speed that the user is allowed to enter via the Nt01</t>
  </si>
  <si>
    <t>Target machine speed</t>
  </si>
  <si>
    <t>GD_ID_DRIVE_EXPECTED_MACHINE_SPEED</t>
  </si>
  <si>
    <t>Software calculated expected machine speed</t>
  </si>
  <si>
    <t>GD_ID_ASC_RAMP_RL_DECTM</t>
  </si>
  <si>
    <t>R/W</t>
  </si>
  <si>
    <t>GD_ID_ASC_PID_FL_KIUP_ASC</t>
  </si>
  <si>
    <t>GD_ID_ASC_PID_FL_KIDOWN_ASC</t>
  </si>
  <si>
    <t>GD_ID_ASC_PID_FL_KPUP_ASC</t>
  </si>
  <si>
    <t>GD_ID_ASC_PID_FL_KPDOWN_ASC</t>
  </si>
  <si>
    <t>GD_ID_ASC_PID_FL_KDUP_ASC</t>
  </si>
  <si>
    <t>GD_ID_ASC_PID_FL_IRED</t>
  </si>
  <si>
    <t>GD_ID_ASC_INCHING_INCHMODE</t>
  </si>
  <si>
    <t>GD_ID_ASC_INCHING_TVOLINCH</t>
  </si>
  <si>
    <t>GD_ID_ASC_REFSPDDISABLE_ABS_MINREFSPD_MMSEC</t>
  </si>
  <si>
    <t>GD_ID_ASC_REFSPDDISABLE_ASC_MINREFSPD_MMSEC</t>
  </si>
  <si>
    <t>GD_ID_ASC_REFSPDDISABLE_ABS_DECRAMP60K</t>
  </si>
  <si>
    <t>GD_ID_ASC_FFPROFILES_REVBRAKINGFRONT_Y4_PTC2</t>
  </si>
  <si>
    <t>GD_ID_ASC_FFPROFILES_REVBRAKINGFRONT_Y5_PTC2</t>
  </si>
  <si>
    <t>GD_ID_ASC_FFPROFILES_REVBRAKINGFRONT_Y6_PTC2</t>
  </si>
  <si>
    <t>GD_ID_ASC_FFPROFILES_FWDBRAKINGREAR_Y5_PTC2_LD</t>
  </si>
  <si>
    <t>GD_ID_ASC_FFPROFILES_FWDBRAKINGREAR_Y5_PTC2</t>
  </si>
  <si>
    <t>GD_ID_ASC_FFPROFILES_FWDBRAKINGREAR_Y6_PTC2_LD</t>
  </si>
  <si>
    <t>GD_ID_ASC_FFPROFILES_FWDBRAKINGREAR_Y6_PTC2</t>
  </si>
  <si>
    <t>GD_ID_ASC_CORE_ASC_MINTOLERANCE_PCT2</t>
  </si>
  <si>
    <t>GD_ID_ASC_PID_RL_KDUP_ASC</t>
  </si>
  <si>
    <t>GD_ID_ASC_PID_RL_KPUP_ASC</t>
  </si>
  <si>
    <t>GD_ID_ASC_PID_RL_KPDN_ASC</t>
  </si>
  <si>
    <t>GD_ID_ASC_PID_RL_KIUP_ASC</t>
  </si>
  <si>
    <t>GD_ID_ASC_PID_RL_KIDN_ASC</t>
  </si>
  <si>
    <t>GD_ID_ASC_PID_RL_IRED</t>
  </si>
  <si>
    <t>GD_ID_BRK_Y5</t>
  </si>
  <si>
    <t>GD_ID_ENGADJLD_FILTERTM_MS</t>
  </si>
  <si>
    <t>GD_ID_ENGADJLD_Y4</t>
  </si>
  <si>
    <t>GD_ID_MV_I_INT_I_GAIN</t>
  </si>
  <si>
    <t>GD_ID_MISC_PR_PERACT_Y3</t>
  </si>
  <si>
    <t>GD_ID_MISC_PR_PERACT_Y4</t>
  </si>
  <si>
    <t>GD_ID_MISC_PR_PERACT_Y5</t>
  </si>
  <si>
    <t>GD_ID_ASC_Core_ABS_Ang_Y1_ptc2</t>
  </si>
  <si>
    <t>GD_ID_ASC_Core_ABS_Ang_Y2_ptc2</t>
  </si>
  <si>
    <t>GD_ID_ASC_Core_ABS_Ang_Y3_ptc2</t>
  </si>
  <si>
    <t>GD_ID_ASC_Core_ABS_Ang_Y4_ptc2</t>
  </si>
  <si>
    <t>GD_ID_ASC_Core_ABS_Ang_Y5_ptc2</t>
  </si>
  <si>
    <t>GD_ID_ASC_Core_ABS_MinTolerance_pct2</t>
  </si>
  <si>
    <t>GD_ID_ASC_Core_ASC_Ang_Y1_ptc2</t>
  </si>
  <si>
    <t>GD_ID_ASC_Core_ASC_Ang_Y2_ptc2</t>
  </si>
  <si>
    <t>GD_ID_ASC_Core_ASC_Ang_Y3_ptc2</t>
  </si>
  <si>
    <t>GD_ID_ASC_Core_ASC_Ang_Y4_ptc2</t>
  </si>
  <si>
    <t>GD_ID_ASC_Core_ASC_Ang_Y5_ptc2</t>
  </si>
  <si>
    <t>Proceed from Step 1</t>
  </si>
  <si>
    <t>Accept-Proceed From Step2</t>
  </si>
  <si>
    <t>Decline-Proceed From Step2</t>
  </si>
  <si>
    <t>Step1 - End Position</t>
  </si>
  <si>
    <t>Step2 - User AcceptOrDeny</t>
  </si>
  <si>
    <t>GD_ID_DRIVE_RADAR_SPEED</t>
  </si>
  <si>
    <t>kph</t>
  </si>
  <si>
    <t>Machine Speed based on radar sensor</t>
  </si>
  <si>
    <t>GD_ID_DRIVE_PARKBRAKE_COMMAND</t>
  </si>
  <si>
    <t>the commanded state of the park brake</t>
  </si>
  <si>
    <t>CCO Hydraulic enable for 4WS, Booms, TA, Ladder...</t>
  </si>
  <si>
    <t>To request the hydrualics be disabled</t>
  </si>
  <si>
    <t>GD_ID_DRIVE_HYDRAULICS_ENABLE</t>
  </si>
  <si>
    <t>GD_ID_DRIVE_REQUEST_HYD_ENABLE_OFF</t>
  </si>
  <si>
    <t>GD_ID_DRIVE_NORMALIZED_WHEEL_SPEED_FL</t>
  </si>
  <si>
    <t>GD_ID_DRIVE_NORMALIZED_WHEEL_SPEED_FR</t>
  </si>
  <si>
    <t>GD_ID_DRIVE_NORMALIZED_WHEEL_SPEED_RL</t>
  </si>
  <si>
    <t>GD_ID_DRIVE_NORMALIZED_WHEEL_SPEED_RR</t>
  </si>
  <si>
    <t>Machine Speed wheel speeds normalized by wheel angles</t>
  </si>
  <si>
    <t>GD_ID_DRIVE_AIRBAG_DEFLATE</t>
  </si>
  <si>
    <t>Value Is the current on the air release coil, and status is commanded to deflate or not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</si>
</sst>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quot;DM&quot;_-;\-* #,##0.00\ &quot;DM&quot;_-;_-* &quot;-&quot;??\ &quot;DM&quot;_-;_-@_-"/>
    <numFmt numFmtId="165" formatCode="_-* #,##0.00\ [$€]_-;\-* #,##0.00\ [$€]_-;_-* &quot;-&quot;??\ [$€]_-;_-@_-"/>
  </numFmts>
  <fonts count="39" x14ac:knownFonts="1">
    <font>
      <sz val="10"/>
      <name val="Arial"/>
    </font>
    <font>
      <sz val="11"/>
      <color theme="1"/>
      <name val="Calibri"/>
      <family val="2"/>
      <scheme val="minor"/>
    </font>
    <font>
      <sz val="11"/>
      <color theme="1"/>
      <name val="Calibri"/>
      <family val="2"/>
      <scheme val="minor"/>
    </font>
    <font>
      <sz val="10"/>
      <name val="Arial"/>
      <family val="2"/>
    </font>
    <font>
      <b/>
      <sz val="14"/>
      <name val="Arial"/>
      <family val="2"/>
    </font>
    <font>
      <sz val="14"/>
      <name val="Arial"/>
      <family val="2"/>
    </font>
    <font>
      <sz val="10"/>
      <name val="Arial"/>
      <family val="2"/>
      <charset val="204"/>
    </font>
    <font>
      <b/>
      <sz val="11"/>
      <name val="Arial"/>
      <family val="2"/>
    </font>
    <font>
      <b/>
      <sz val="10"/>
      <name val="Arial"/>
      <family val="2"/>
    </font>
    <font>
      <b/>
      <sz val="10"/>
      <name val="Arial"/>
      <family val="2"/>
    </font>
    <font>
      <b/>
      <sz val="10"/>
      <name val="Arial"/>
      <family val="2"/>
      <charset val="204"/>
    </font>
    <font>
      <sz val="10"/>
      <color indexed="8"/>
      <name val="Arial"/>
      <family val="2"/>
    </font>
    <font>
      <strike/>
      <sz val="10"/>
      <name val="Arial"/>
      <family val="2"/>
    </font>
    <font>
      <strike/>
      <sz val="10"/>
      <color indexed="8"/>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sz val="10"/>
      <color theme="1"/>
      <name val="Arial"/>
      <family val="2"/>
    </font>
    <font>
      <sz val="11"/>
      <color theme="1"/>
      <name val="Calibri"/>
      <family val="2"/>
      <charset val="204"/>
      <scheme val="minor"/>
    </font>
    <font>
      <sz val="11"/>
      <color indexed="20"/>
      <name val="Calibri"/>
      <family val="2"/>
    </font>
    <font>
      <b/>
      <i/>
      <sz val="16"/>
      <name val="Courier New"/>
      <family val="3"/>
    </font>
    <font>
      <b/>
      <sz val="15"/>
      <color indexed="56"/>
      <name val="Calibri"/>
      <family val="2"/>
    </font>
    <font>
      <b/>
      <sz val="13"/>
      <color indexed="56"/>
      <name val="Calibri"/>
      <family val="2"/>
    </font>
    <font>
      <b/>
      <sz val="11"/>
      <color indexed="56"/>
      <name val="Calibri"/>
      <family val="2"/>
    </font>
    <font>
      <b/>
      <sz val="18"/>
      <color indexed="56"/>
      <name val="Cambria"/>
      <family val="2"/>
    </font>
    <font>
      <sz val="11"/>
      <color indexed="52"/>
      <name val="Calibri"/>
      <family val="2"/>
    </font>
    <font>
      <sz val="11"/>
      <color indexed="10"/>
      <name val="Calibri"/>
      <family val="2"/>
    </font>
    <font>
      <b/>
      <sz val="11"/>
      <color indexed="9"/>
      <name val="Calibri"/>
      <family val="2"/>
    </font>
    <font>
      <sz val="10"/>
      <color rgb="FF000000"/>
      <name val="Arial"/>
      <family val="2"/>
    </font>
  </fonts>
  <fills count="25">
    <fill>
      <patternFill patternType="none"/>
    </fill>
    <fill>
      <patternFill patternType="gray125"/>
    </fill>
    <fill>
      <patternFill patternType="solid">
        <fgColor indexed="22"/>
        <bgColor indexed="64"/>
      </patternFill>
    </fill>
    <fill>
      <patternFill patternType="solid">
        <fgColor rgb="FFFFC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s>
  <borders count="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right style="thin">
        <color indexed="64"/>
      </right>
      <top/>
      <bottom/>
      <diagonal/>
    </border>
    <border>
      <left/>
      <right style="thin">
        <color indexed="8"/>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397">
    <xf numFmtId="0" fontId="0" fillId="0" borderId="0"/>
    <xf numFmtId="164" fontId="3" fillId="0" borderId="0" applyFont="0" applyFill="0" applyBorder="0" applyAlignment="0" applyProtection="0"/>
    <xf numFmtId="0" fontId="6" fillId="0" borderId="0"/>
    <xf numFmtId="0" fontId="3" fillId="0" borderId="0"/>
    <xf numFmtId="0" fontId="6" fillId="0" borderId="0"/>
    <xf numFmtId="0" fontId="3" fillId="0" borderId="0"/>
    <xf numFmtId="0" fontId="3" fillId="0" borderId="0"/>
    <xf numFmtId="0" fontId="3" fillId="0" borderId="0"/>
    <xf numFmtId="0" fontId="3" fillId="0" borderId="0"/>
    <xf numFmtId="0" fontId="18" fillId="4"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7"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9" fillId="14"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20"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21" borderId="0" applyNumberFormat="0" applyBorder="0" applyAlignment="0" applyProtection="0"/>
    <xf numFmtId="0" fontId="20" fillId="22" borderId="16" applyNumberFormat="0" applyAlignment="0" applyProtection="0"/>
    <xf numFmtId="0" fontId="21" fillId="22" borderId="17" applyNumberFormat="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2" fillId="9" borderId="17" applyNumberFormat="0" applyAlignment="0" applyProtection="0"/>
    <xf numFmtId="0" fontId="23" fillId="0" borderId="18" applyNumberFormat="0" applyFill="0" applyAlignment="0" applyProtection="0"/>
    <xf numFmtId="0" fontId="24" fillId="0" borderId="0" applyNumberFormat="0" applyFill="0" applyBorder="0" applyAlignment="0" applyProtection="0"/>
    <xf numFmtId="165" fontId="3" fillId="0" borderId="0" applyFont="0" applyFill="0" applyBorder="0" applyAlignment="0" applyProtection="0"/>
    <xf numFmtId="0" fontId="25" fillId="6" borderId="0" applyNumberFormat="0" applyBorder="0" applyAlignment="0" applyProtection="0"/>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 fillId="0" borderId="0"/>
    <xf numFmtId="0" fontId="3"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27"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8"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23" borderId="19" applyNumberFormat="0" applyFont="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9" fillId="5" borderId="0" applyNumberFormat="0" applyBorder="0" applyAlignment="0" applyProtection="0"/>
    <xf numFmtId="0" fontId="3" fillId="0" borderId="0"/>
    <xf numFmtId="0" fontId="3" fillId="0" borderId="0"/>
    <xf numFmtId="0" fontId="3" fillId="0" borderId="0"/>
    <xf numFmtId="0" fontId="30" fillId="0" borderId="0" applyNumberFormat="0" applyFill="0" applyBorder="0" applyProtection="0">
      <alignment horizontal="center"/>
    </xf>
    <xf numFmtId="0" fontId="31" fillId="0" borderId="20" applyNumberFormat="0" applyFill="0" applyAlignment="0" applyProtection="0"/>
    <xf numFmtId="0" fontId="32" fillId="0" borderId="21" applyNumberFormat="0" applyFill="0" applyAlignment="0" applyProtection="0"/>
    <xf numFmtId="0" fontId="33" fillId="0" borderId="22" applyNumberFormat="0" applyFill="0" applyAlignment="0" applyProtection="0"/>
    <xf numFmtId="0" fontId="33" fillId="0" borderId="0" applyNumberFormat="0" applyFill="0" applyBorder="0" applyAlignment="0" applyProtection="0"/>
    <xf numFmtId="0" fontId="30" fillId="0" borderId="0" applyNumberFormat="0" applyFill="0" applyBorder="0" applyProtection="0">
      <alignment horizontal="center"/>
    </xf>
    <xf numFmtId="0" fontId="34" fillId="0" borderId="0" applyNumberFormat="0" applyFill="0" applyBorder="0" applyAlignment="0" applyProtection="0"/>
    <xf numFmtId="0" fontId="35" fillId="0" borderId="23" applyNumberFormat="0" applyFill="0" applyAlignment="0" applyProtection="0"/>
    <xf numFmtId="0" fontId="36" fillId="0" borderId="0" applyNumberFormat="0" applyFill="0" applyBorder="0" applyAlignment="0" applyProtection="0"/>
    <xf numFmtId="0" fontId="37" fillId="24" borderId="24" applyNumberFormat="0" applyAlignment="0" applyProtection="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cellStyleXfs>
  <cellXfs count="231">
    <xf numFmtId="0" fontId="0" fillId="0" borderId="0" xfId="0"/>
    <xf numFmtId="0" fontId="0" fillId="0" borderId="1" xfId="0" applyBorder="1"/>
    <xf numFmtId="0" fontId="0" fillId="0" borderId="2" xfId="0" applyBorder="1"/>
    <xf numFmtId="0" fontId="0" fillId="0" borderId="3" xfId="0" applyBorder="1"/>
    <xf numFmtId="0" fontId="5" fillId="0" borderId="0" xfId="0" applyFont="1" applyFill="1" applyAlignment="1">
      <alignment horizontal="centerContinuous"/>
    </xf>
    <xf numFmtId="0" fontId="5" fillId="0" borderId="0" xfId="2" applyFont="1" applyFill="1" applyAlignment="1">
      <alignment horizontal="centerContinuous"/>
    </xf>
    <xf numFmtId="0" fontId="7" fillId="0" borderId="0" xfId="0" applyFont="1" applyAlignment="1">
      <alignment horizontal="center"/>
    </xf>
    <xf numFmtId="0" fontId="7" fillId="0" borderId="0" xfId="0" applyFont="1" applyFill="1" applyAlignment="1">
      <alignment horizontal="center"/>
    </xf>
    <xf numFmtId="0" fontId="3" fillId="0" borderId="0" xfId="0" applyFont="1" applyFill="1" applyAlignment="1">
      <alignment horizontal="centerContinuous"/>
    </xf>
    <xf numFmtId="0" fontId="0" fillId="0" borderId="0" xfId="0" applyFill="1" applyAlignment="1">
      <alignment horizontal="centerContinuous"/>
    </xf>
    <xf numFmtId="0" fontId="0" fillId="0" borderId="0" xfId="0" applyFill="1"/>
    <xf numFmtId="0" fontId="0" fillId="0" borderId="4" xfId="0" applyBorder="1"/>
    <xf numFmtId="0" fontId="0" fillId="0" borderId="0" xfId="0" applyBorder="1"/>
    <xf numFmtId="0" fontId="0" fillId="0" borderId="5" xfId="0" applyBorder="1"/>
    <xf numFmtId="0" fontId="5" fillId="0" borderId="0" xfId="0" applyFont="1" applyFill="1" applyAlignment="1">
      <alignment horizontal="center"/>
    </xf>
    <xf numFmtId="0" fontId="3" fillId="0" borderId="0" xfId="0" applyFont="1" applyFill="1" applyAlignment="1">
      <alignment horizontal="center"/>
    </xf>
    <xf numFmtId="0" fontId="8" fillId="0" borderId="0" xfId="0" applyFont="1" applyFill="1" applyAlignment="1">
      <alignment horizontal="centerContinuous"/>
    </xf>
    <xf numFmtId="0" fontId="8" fillId="0" borderId="0" xfId="0" applyFont="1" applyFill="1" applyAlignment="1">
      <alignment horizontal="center"/>
    </xf>
    <xf numFmtId="0" fontId="8" fillId="0" borderId="4" xfId="0" applyFont="1" applyFill="1" applyBorder="1" applyAlignment="1">
      <alignment horizontal="center"/>
    </xf>
    <xf numFmtId="0" fontId="8" fillId="0" borderId="0" xfId="0" applyFont="1" applyFill="1" applyBorder="1" applyAlignment="1">
      <alignment horizontal="centerContinuous"/>
    </xf>
    <xf numFmtId="0" fontId="8" fillId="0" borderId="5" xfId="0" applyFont="1" applyFill="1" applyBorder="1" applyAlignment="1">
      <alignment horizontal="center"/>
    </xf>
    <xf numFmtId="0" fontId="8" fillId="0" borderId="5" xfId="0" applyFont="1" applyFill="1" applyBorder="1" applyAlignment="1">
      <alignment horizontal="centerContinuous"/>
    </xf>
    <xf numFmtId="0" fontId="6" fillId="0" borderId="0" xfId="2" applyFill="1"/>
    <xf numFmtId="0" fontId="10" fillId="0" borderId="0" xfId="4" applyFont="1" applyBorder="1" applyAlignment="1">
      <alignment horizontal="center" vertical="top" wrapText="1"/>
    </xf>
    <xf numFmtId="0" fontId="9" fillId="0" borderId="0" xfId="3" applyFont="1" applyBorder="1" applyAlignment="1">
      <alignment horizontal="center" vertical="top"/>
    </xf>
    <xf numFmtId="0" fontId="9" fillId="0" borderId="0" xfId="3" applyFont="1" applyBorder="1" applyAlignment="1">
      <alignment horizontal="center" vertical="center" wrapText="1"/>
    </xf>
    <xf numFmtId="0" fontId="8" fillId="2" borderId="4" xfId="0" applyFont="1" applyFill="1" applyBorder="1" applyAlignment="1">
      <alignment horizontal="center" vertical="top" wrapText="1"/>
    </xf>
    <xf numFmtId="49" fontId="8" fillId="2" borderId="0" xfId="0" applyNumberFormat="1" applyFont="1" applyFill="1" applyBorder="1" applyAlignment="1">
      <alignment horizontal="center" vertical="top" wrapText="1"/>
    </xf>
    <xf numFmtId="0" fontId="8" fillId="2" borderId="5" xfId="0" applyFont="1" applyFill="1" applyBorder="1" applyAlignment="1">
      <alignment horizontal="center" vertical="center"/>
    </xf>
    <xf numFmtId="49" fontId="8" fillId="2" borderId="0" xfId="0" applyNumberFormat="1" applyFont="1" applyFill="1" applyBorder="1" applyAlignment="1">
      <alignment horizontal="center" vertical="center" wrapText="1"/>
    </xf>
    <xf numFmtId="49" fontId="8" fillId="2" borderId="5" xfId="0" applyNumberFormat="1" applyFont="1" applyFill="1" applyBorder="1" applyAlignment="1">
      <alignment horizontal="center" vertical="center"/>
    </xf>
    <xf numFmtId="0" fontId="10" fillId="0" borderId="0" xfId="4" applyFont="1" applyBorder="1" applyAlignment="1">
      <alignment horizontal="center" vertical="top"/>
    </xf>
    <xf numFmtId="0" fontId="3" fillId="0" borderId="0" xfId="3" applyFont="1" applyBorder="1" applyAlignment="1">
      <alignment horizontal="center" vertical="top"/>
    </xf>
    <xf numFmtId="0" fontId="8" fillId="0" borderId="0" xfId="3" applyFont="1" applyBorder="1" applyAlignment="1">
      <alignment horizontal="center" vertical="top"/>
    </xf>
    <xf numFmtId="0" fontId="3" fillId="0" borderId="4" xfId="3" applyBorder="1" applyAlignment="1">
      <alignment vertical="top"/>
    </xf>
    <xf numFmtId="0" fontId="3" fillId="0" borderId="0" xfId="3" applyBorder="1" applyAlignment="1">
      <alignment vertical="top"/>
    </xf>
    <xf numFmtId="0" fontId="3" fillId="0" borderId="5" xfId="3" applyBorder="1" applyAlignment="1">
      <alignment vertical="top"/>
    </xf>
    <xf numFmtId="0" fontId="0" fillId="0" borderId="0" xfId="0" applyBorder="1" applyAlignment="1">
      <alignment horizontal="left"/>
    </xf>
    <xf numFmtId="0" fontId="0" fillId="0" borderId="0" xfId="0" applyBorder="1" applyAlignment="1">
      <alignment horizontal="center"/>
    </xf>
    <xf numFmtId="0" fontId="0" fillId="0" borderId="5" xfId="0" applyBorder="1" applyAlignment="1">
      <alignment horizontal="left"/>
    </xf>
    <xf numFmtId="0" fontId="0" fillId="0" borderId="6" xfId="0" applyBorder="1"/>
    <xf numFmtId="0" fontId="6" fillId="0" borderId="6" xfId="2" applyFont="1" applyBorder="1" applyAlignment="1">
      <alignment wrapText="1"/>
    </xf>
    <xf numFmtId="0" fontId="0" fillId="0" borderId="6" xfId="0" applyBorder="1" applyAlignment="1">
      <alignment horizontal="center"/>
    </xf>
    <xf numFmtId="0" fontId="9" fillId="0" borderId="6" xfId="0" applyFont="1" applyBorder="1" applyAlignment="1">
      <alignment horizontal="center"/>
    </xf>
    <xf numFmtId="0" fontId="0" fillId="0" borderId="6" xfId="0" applyBorder="1" applyAlignment="1">
      <alignment wrapText="1"/>
    </xf>
    <xf numFmtId="0" fontId="9" fillId="0" borderId="6" xfId="0" applyFont="1" applyBorder="1"/>
    <xf numFmtId="0" fontId="3" fillId="0" borderId="7" xfId="0" applyFont="1" applyBorder="1" applyAlignment="1">
      <alignment horizontal="left" vertical="top"/>
    </xf>
    <xf numFmtId="0" fontId="3" fillId="0" borderId="6" xfId="0" applyFont="1" applyBorder="1" applyAlignment="1">
      <alignment horizontal="left" vertical="top"/>
    </xf>
    <xf numFmtId="0" fontId="3" fillId="0" borderId="8" xfId="0" applyFont="1" applyBorder="1" applyAlignment="1">
      <alignment horizontal="left" vertical="top"/>
    </xf>
    <xf numFmtId="0" fontId="0" fillId="0" borderId="6" xfId="0" applyBorder="1" applyAlignment="1">
      <alignment horizontal="left"/>
    </xf>
    <xf numFmtId="0" fontId="0" fillId="0" borderId="8" xfId="0" applyBorder="1" applyAlignment="1">
      <alignment horizontal="left"/>
    </xf>
    <xf numFmtId="0" fontId="3" fillId="0" borderId="9" xfId="5" applyBorder="1" applyAlignment="1">
      <alignment horizontal="center"/>
    </xf>
    <xf numFmtId="0" fontId="6" fillId="0" borderId="10" xfId="2" applyFont="1" applyBorder="1" applyAlignment="1">
      <alignment horizontal="center"/>
    </xf>
    <xf numFmtId="0" fontId="3" fillId="0" borderId="11" xfId="5" applyBorder="1"/>
    <xf numFmtId="0" fontId="3" fillId="0" borderId="11" xfId="5" applyFont="1" applyBorder="1" applyAlignment="1">
      <alignment horizontal="center"/>
    </xf>
    <xf numFmtId="0" fontId="3" fillId="0" borderId="9" xfId="5" quotePrefix="1" applyBorder="1" applyAlignment="1">
      <alignment horizontal="center"/>
    </xf>
    <xf numFmtId="0" fontId="3" fillId="0" borderId="11" xfId="5" quotePrefix="1" applyBorder="1" applyAlignment="1">
      <alignment horizontal="center" wrapText="1"/>
    </xf>
    <xf numFmtId="0" fontId="3" fillId="0" borderId="0" xfId="5" quotePrefix="1" applyBorder="1" applyAlignment="1">
      <alignment horizontal="center" wrapText="1"/>
    </xf>
    <xf numFmtId="0" fontId="3" fillId="0" borderId="11" xfId="5" applyFill="1" applyBorder="1" applyAlignment="1">
      <alignment horizontal="center"/>
    </xf>
    <xf numFmtId="0" fontId="3" fillId="0" borderId="9" xfId="5" applyBorder="1"/>
    <xf numFmtId="0" fontId="3" fillId="0" borderId="11" xfId="5" applyBorder="1" applyAlignment="1">
      <alignment horizontal="center"/>
    </xf>
    <xf numFmtId="0" fontId="3" fillId="0" borderId="12" xfId="0" applyFont="1" applyBorder="1" applyAlignment="1">
      <alignment horizontal="center"/>
    </xf>
    <xf numFmtId="0" fontId="3" fillId="0" borderId="11" xfId="0" applyFont="1" applyBorder="1" applyAlignment="1">
      <alignment horizontal="center"/>
    </xf>
    <xf numFmtId="49" fontId="0" fillId="0" borderId="11" xfId="0" applyNumberFormat="1" applyBorder="1" applyAlignment="1">
      <alignment horizontal="center"/>
    </xf>
    <xf numFmtId="0" fontId="0" fillId="0" borderId="12" xfId="0" applyBorder="1" applyAlignment="1">
      <alignment horizontal="center"/>
    </xf>
    <xf numFmtId="0" fontId="3" fillId="0" borderId="11" xfId="5" quotePrefix="1" applyFont="1" applyBorder="1" applyAlignment="1">
      <alignment horizontal="center"/>
    </xf>
    <xf numFmtId="0" fontId="3" fillId="0" borderId="11" xfId="5" applyBorder="1" applyAlignment="1">
      <alignment horizontal="center" wrapText="1"/>
    </xf>
    <xf numFmtId="0" fontId="3" fillId="0" borderId="0" xfId="5" applyBorder="1" applyAlignment="1">
      <alignment horizontal="center" wrapText="1"/>
    </xf>
    <xf numFmtId="0" fontId="3" fillId="0" borderId="9" xfId="5" applyBorder="1" applyAlignment="1">
      <alignment horizontal="center" wrapText="1"/>
    </xf>
    <xf numFmtId="0" fontId="0" fillId="0" borderId="5" xfId="0" applyBorder="1" applyAlignment="1">
      <alignment horizontal="center"/>
    </xf>
    <xf numFmtId="49" fontId="3" fillId="0" borderId="11" xfId="0" applyNumberFormat="1" applyFont="1" applyBorder="1" applyAlignment="1">
      <alignment horizontal="center"/>
    </xf>
    <xf numFmtId="0" fontId="3" fillId="0" borderId="5" xfId="0" applyFont="1" applyBorder="1" applyAlignment="1">
      <alignment horizontal="center"/>
    </xf>
    <xf numFmtId="0" fontId="3" fillId="0" borderId="0" xfId="5" quotePrefix="1" applyBorder="1" applyAlignment="1">
      <alignment horizontal="center"/>
    </xf>
    <xf numFmtId="0" fontId="0" fillId="0" borderId="9" xfId="0" applyBorder="1" applyAlignment="1">
      <alignment horizontal="center"/>
    </xf>
    <xf numFmtId="0" fontId="0" fillId="0" borderId="11" xfId="0" quotePrefix="1" applyBorder="1" applyAlignment="1">
      <alignment horizontal="center" wrapText="1"/>
    </xf>
    <xf numFmtId="0" fontId="0" fillId="0" borderId="0" xfId="0" quotePrefix="1" applyBorder="1" applyAlignment="1">
      <alignment horizontal="center" wrapText="1"/>
    </xf>
    <xf numFmtId="0" fontId="0" fillId="0" borderId="11" xfId="0" applyBorder="1" applyAlignment="1">
      <alignment horizontal="center"/>
    </xf>
    <xf numFmtId="0" fontId="0" fillId="0" borderId="11" xfId="0" applyBorder="1"/>
    <xf numFmtId="0" fontId="11" fillId="0" borderId="11" xfId="5" applyFont="1" applyBorder="1" applyAlignment="1">
      <alignment horizontal="center" wrapText="1"/>
    </xf>
    <xf numFmtId="0" fontId="3" fillId="0" borderId="0" xfId="0" applyFont="1" applyBorder="1"/>
    <xf numFmtId="0" fontId="3" fillId="0" borderId="0" xfId="5" applyBorder="1"/>
    <xf numFmtId="0" fontId="3" fillId="0" borderId="9" xfId="5" quotePrefix="1" applyBorder="1" applyAlignment="1">
      <alignment horizontal="center" wrapText="1"/>
    </xf>
    <xf numFmtId="0" fontId="0" fillId="0" borderId="9" xfId="0" applyBorder="1"/>
    <xf numFmtId="0" fontId="3" fillId="0" borderId="0" xfId="5" applyBorder="1" applyAlignment="1">
      <alignment horizontal="center"/>
    </xf>
    <xf numFmtId="0" fontId="3" fillId="0" borderId="5" xfId="5" applyBorder="1" applyAlignment="1">
      <alignment horizontal="center"/>
    </xf>
    <xf numFmtId="0" fontId="3" fillId="0" borderId="5" xfId="5" applyBorder="1"/>
    <xf numFmtId="0" fontId="0" fillId="0" borderId="9" xfId="0" applyFill="1" applyBorder="1" applyAlignment="1">
      <alignment horizontal="center"/>
    </xf>
    <xf numFmtId="0" fontId="6" fillId="0" borderId="10" xfId="2" applyFont="1" applyFill="1" applyBorder="1" applyAlignment="1">
      <alignment horizontal="center"/>
    </xf>
    <xf numFmtId="0" fontId="3" fillId="0" borderId="9" xfId="0" applyFont="1" applyFill="1" applyBorder="1"/>
    <xf numFmtId="0" fontId="3" fillId="0" borderId="11" xfId="0" quotePrefix="1" applyFont="1" applyFill="1" applyBorder="1" applyAlignment="1">
      <alignment horizontal="center"/>
    </xf>
    <xf numFmtId="0" fontId="0" fillId="0" borderId="11" xfId="0" applyFill="1" applyBorder="1" applyAlignment="1">
      <alignment horizontal="center" wrapText="1"/>
    </xf>
    <xf numFmtId="0" fontId="0" fillId="0" borderId="0" xfId="0" applyFill="1" applyBorder="1" applyAlignment="1">
      <alignment horizontal="center" wrapText="1"/>
    </xf>
    <xf numFmtId="0" fontId="11" fillId="0" borderId="11" xfId="0" applyFont="1" applyFill="1" applyBorder="1" applyAlignment="1">
      <alignment horizontal="center" wrapText="1"/>
    </xf>
    <xf numFmtId="0" fontId="0" fillId="0" borderId="11" xfId="0" applyFill="1" applyBorder="1"/>
    <xf numFmtId="0" fontId="0" fillId="0" borderId="11" xfId="0" applyFill="1" applyBorder="1" applyAlignment="1">
      <alignment horizontal="center"/>
    </xf>
    <xf numFmtId="49" fontId="3" fillId="0" borderId="11" xfId="0" applyNumberFormat="1" applyFont="1" applyFill="1" applyBorder="1" applyAlignment="1">
      <alignment horizontal="center"/>
    </xf>
    <xf numFmtId="0" fontId="0" fillId="0" borderId="12" xfId="0" applyFill="1" applyBorder="1" applyAlignment="1">
      <alignment horizontal="center"/>
    </xf>
    <xf numFmtId="0" fontId="3" fillId="0" borderId="0" xfId="5" applyFill="1" applyBorder="1" applyAlignment="1">
      <alignment horizontal="center"/>
    </xf>
    <xf numFmtId="0" fontId="3" fillId="0" borderId="5" xfId="5" applyFill="1" applyBorder="1" applyAlignment="1">
      <alignment horizontal="center"/>
    </xf>
    <xf numFmtId="0" fontId="3" fillId="0" borderId="0" xfId="0" applyFont="1" applyFill="1" applyBorder="1"/>
    <xf numFmtId="0" fontId="3" fillId="0" borderId="0" xfId="5" applyFill="1" applyBorder="1"/>
    <xf numFmtId="0" fontId="3" fillId="0" borderId="5" xfId="5" applyFill="1" applyBorder="1"/>
    <xf numFmtId="0" fontId="3" fillId="0" borderId="0" xfId="5" applyFont="1" applyFill="1" applyBorder="1"/>
    <xf numFmtId="0" fontId="0" fillId="0" borderId="0" xfId="0" applyFill="1" applyBorder="1"/>
    <xf numFmtId="0" fontId="0" fillId="0" borderId="5" xfId="0" applyFill="1" applyBorder="1"/>
    <xf numFmtId="0" fontId="3" fillId="0" borderId="11" xfId="0" quotePrefix="1" applyFont="1" applyBorder="1" applyAlignment="1">
      <alignment horizontal="center"/>
    </xf>
    <xf numFmtId="0" fontId="0" fillId="0" borderId="11" xfId="0" applyBorder="1" applyAlignment="1">
      <alignment horizontal="center" wrapText="1"/>
    </xf>
    <xf numFmtId="0" fontId="0" fillId="0" borderId="0" xfId="0" applyBorder="1" applyAlignment="1">
      <alignment horizontal="center" wrapText="1"/>
    </xf>
    <xf numFmtId="0" fontId="11" fillId="0" borderId="11" xfId="0" applyFont="1" applyBorder="1" applyAlignment="1">
      <alignment horizontal="center" wrapText="1"/>
    </xf>
    <xf numFmtId="0" fontId="3" fillId="0" borderId="0" xfId="5" applyFont="1" applyBorder="1"/>
    <xf numFmtId="0" fontId="3" fillId="0" borderId="0" xfId="5"/>
    <xf numFmtId="0" fontId="3" fillId="3" borderId="9" xfId="5" applyFill="1" applyBorder="1" applyAlignment="1">
      <alignment horizontal="center"/>
    </xf>
    <xf numFmtId="0" fontId="6" fillId="3" borderId="10" xfId="2" applyFont="1" applyFill="1" applyBorder="1" applyAlignment="1">
      <alignment horizontal="center"/>
    </xf>
    <xf numFmtId="0" fontId="3" fillId="3" borderId="9" xfId="5" applyFill="1" applyBorder="1"/>
    <xf numFmtId="0" fontId="3" fillId="3" borderId="11" xfId="5" applyFill="1" applyBorder="1" applyAlignment="1">
      <alignment horizontal="center"/>
    </xf>
    <xf numFmtId="0" fontId="3" fillId="3" borderId="9" xfId="5" quotePrefix="1" applyFill="1" applyBorder="1" applyAlignment="1">
      <alignment horizontal="center"/>
    </xf>
    <xf numFmtId="0" fontId="3" fillId="3" borderId="0" xfId="5" quotePrefix="1" applyFill="1" applyBorder="1" applyAlignment="1">
      <alignment horizontal="center"/>
    </xf>
    <xf numFmtId="0" fontId="11" fillId="3" borderId="11" xfId="5" applyFont="1" applyFill="1" applyBorder="1" applyAlignment="1">
      <alignment horizontal="center" wrapText="1"/>
    </xf>
    <xf numFmtId="0" fontId="3" fillId="3" borderId="11" xfId="5" applyFill="1" applyBorder="1"/>
    <xf numFmtId="49" fontId="0" fillId="3" borderId="11" xfId="0" applyNumberFormat="1"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0" fillId="3" borderId="0" xfId="0" applyFill="1" applyBorder="1"/>
    <xf numFmtId="0" fontId="0" fillId="3" borderId="5" xfId="0" applyFill="1" applyBorder="1"/>
    <xf numFmtId="0" fontId="0" fillId="3" borderId="0" xfId="0" applyFill="1"/>
    <xf numFmtId="0" fontId="3" fillId="0" borderId="11" xfId="5" quotePrefix="1" applyBorder="1" applyAlignment="1">
      <alignment horizontal="center"/>
    </xf>
    <xf numFmtId="0" fontId="3" fillId="0" borderId="11" xfId="0" applyFont="1" applyBorder="1"/>
    <xf numFmtId="0" fontId="3" fillId="0" borderId="11" xfId="5" quotePrefix="1" applyFill="1" applyBorder="1" applyAlignment="1">
      <alignment horizontal="center"/>
    </xf>
    <xf numFmtId="0" fontId="3" fillId="0" borderId="0" xfId="5" applyBorder="1" applyAlignment="1">
      <alignment horizontal="left"/>
    </xf>
    <xf numFmtId="0" fontId="3" fillId="0" borderId="0" xfId="5" applyAlignment="1">
      <alignment horizontal="left"/>
    </xf>
    <xf numFmtId="0" fontId="12" fillId="0" borderId="9" xfId="5" applyFont="1" applyBorder="1" applyAlignment="1">
      <alignment horizontal="center"/>
    </xf>
    <xf numFmtId="0" fontId="12" fillId="0" borderId="10" xfId="2" applyFont="1" applyBorder="1" applyAlignment="1">
      <alignment horizontal="center"/>
    </xf>
    <xf numFmtId="0" fontId="12" fillId="0" borderId="9" xfId="5" applyFont="1" applyBorder="1"/>
    <xf numFmtId="0" fontId="12" fillId="0" borderId="11" xfId="5" quotePrefix="1" applyFont="1" applyBorder="1" applyAlignment="1">
      <alignment horizontal="center"/>
    </xf>
    <xf numFmtId="0" fontId="12" fillId="0" borderId="11" xfId="5" quotePrefix="1" applyFont="1" applyBorder="1" applyAlignment="1">
      <alignment horizontal="center" wrapText="1"/>
    </xf>
    <xf numFmtId="0" fontId="12" fillId="0" borderId="0" xfId="5" quotePrefix="1" applyFont="1" applyBorder="1" applyAlignment="1">
      <alignment horizontal="center" wrapText="1"/>
    </xf>
    <xf numFmtId="0" fontId="13" fillId="0" borderId="11" xfId="5" applyFont="1" applyBorder="1" applyAlignment="1">
      <alignment horizontal="center" wrapText="1"/>
    </xf>
    <xf numFmtId="0" fontId="12" fillId="0" borderId="11" xfId="5" applyFont="1" applyBorder="1"/>
    <xf numFmtId="0" fontId="12" fillId="0" borderId="11" xfId="5" applyFont="1" applyBorder="1" applyAlignment="1">
      <alignment horizontal="center"/>
    </xf>
    <xf numFmtId="49" fontId="12" fillId="0" borderId="11" xfId="0" applyNumberFormat="1" applyFont="1" applyBorder="1" applyAlignment="1">
      <alignment horizontal="center"/>
    </xf>
    <xf numFmtId="0" fontId="12" fillId="0" borderId="0" xfId="0" applyFont="1" applyBorder="1" applyAlignment="1">
      <alignment horizontal="center"/>
    </xf>
    <xf numFmtId="0" fontId="12" fillId="0" borderId="5" xfId="0" applyFont="1" applyBorder="1" applyAlignment="1">
      <alignment horizontal="center"/>
    </xf>
    <xf numFmtId="0" fontId="12" fillId="0" borderId="0" xfId="0" applyFont="1" applyBorder="1"/>
    <xf numFmtId="0" fontId="12" fillId="0" borderId="5" xfId="0" applyFont="1" applyBorder="1"/>
    <xf numFmtId="0" fontId="12" fillId="0" borderId="0" xfId="0" applyFont="1"/>
    <xf numFmtId="0" fontId="11" fillId="0" borderId="0" xfId="5" applyFont="1" applyAlignment="1">
      <alignment horizontal="center" wrapText="1"/>
    </xf>
    <xf numFmtId="0" fontId="11" fillId="0" borderId="11" xfId="5" applyFont="1" applyBorder="1" applyAlignment="1">
      <alignment wrapText="1"/>
    </xf>
    <xf numFmtId="0" fontId="3" fillId="0" borderId="11" xfId="6" applyFont="1" applyBorder="1" applyAlignment="1">
      <alignment horizontal="center" vertical="top"/>
    </xf>
    <xf numFmtId="0" fontId="3" fillId="0" borderId="11" xfId="5" applyBorder="1" applyAlignment="1">
      <alignment wrapText="1"/>
    </xf>
    <xf numFmtId="0" fontId="3" fillId="0" borderId="9" xfId="0" applyFont="1" applyBorder="1"/>
    <xf numFmtId="0" fontId="0" fillId="0" borderId="11" xfId="0" applyFill="1" applyBorder="1" applyAlignment="1">
      <alignment horizontal="left"/>
    </xf>
    <xf numFmtId="0" fontId="0" fillId="0" borderId="11" xfId="0" quotePrefix="1" applyBorder="1" applyAlignment="1">
      <alignment horizontal="center"/>
    </xf>
    <xf numFmtId="0" fontId="0" fillId="0" borderId="9" xfId="0" applyBorder="1" applyAlignment="1">
      <alignment horizontal="center" wrapText="1"/>
    </xf>
    <xf numFmtId="0" fontId="11" fillId="0" borderId="11" xfId="0" applyFont="1" applyBorder="1" applyAlignment="1">
      <alignment wrapText="1"/>
    </xf>
    <xf numFmtId="0" fontId="3" fillId="0" borderId="9" xfId="5" applyBorder="1" applyAlignment="1">
      <alignment horizontal="left"/>
    </xf>
    <xf numFmtId="0" fontId="3" fillId="0" borderId="9" xfId="7" applyBorder="1" applyAlignment="1">
      <alignment horizontal="center"/>
    </xf>
    <xf numFmtId="17" fontId="3" fillId="0" borderId="11" xfId="7" quotePrefix="1" applyNumberFormat="1" applyFont="1" applyBorder="1" applyAlignment="1">
      <alignment horizontal="center"/>
    </xf>
    <xf numFmtId="0" fontId="3" fillId="0" borderId="11" xfId="7" applyBorder="1" applyAlignment="1">
      <alignment horizontal="center" wrapText="1"/>
    </xf>
    <xf numFmtId="0" fontId="3" fillId="0" borderId="0" xfId="7" applyBorder="1" applyAlignment="1">
      <alignment horizontal="center" wrapText="1"/>
    </xf>
    <xf numFmtId="0" fontId="3" fillId="0" borderId="11" xfId="7" applyFill="1" applyBorder="1" applyAlignment="1">
      <alignment horizontal="left"/>
    </xf>
    <xf numFmtId="0" fontId="3" fillId="0" borderId="11" xfId="7" applyBorder="1"/>
    <xf numFmtId="0" fontId="3" fillId="0" borderId="0" xfId="0" applyFont="1" applyAlignment="1">
      <alignment vertical="center"/>
    </xf>
    <xf numFmtId="0" fontId="3" fillId="0" borderId="0" xfId="0" applyFont="1"/>
    <xf numFmtId="0" fontId="8" fillId="0" borderId="5" xfId="0" applyFont="1" applyBorder="1" applyAlignment="1">
      <alignment horizontal="center"/>
    </xf>
    <xf numFmtId="0" fontId="0" fillId="0" borderId="0" xfId="0" applyAlignment="1">
      <alignment horizontal="center"/>
    </xf>
    <xf numFmtId="0" fontId="6" fillId="0" borderId="0" xfId="2" applyAlignment="1">
      <alignment horizontal="center"/>
    </xf>
    <xf numFmtId="0" fontId="0" fillId="0" borderId="0" xfId="0" applyAlignment="1">
      <alignment horizontal="left"/>
    </xf>
    <xf numFmtId="0" fontId="8" fillId="0" borderId="5" xfId="0" applyFont="1" applyBorder="1"/>
    <xf numFmtId="0" fontId="3" fillId="0" borderId="11" xfId="5" applyBorder="1" applyAlignment="1">
      <alignment horizontal="left"/>
    </xf>
    <xf numFmtId="0" fontId="3" fillId="0" borderId="9" xfId="6" applyFont="1" applyBorder="1" applyAlignment="1">
      <alignment horizontal="center" vertical="top"/>
    </xf>
    <xf numFmtId="0" fontId="3" fillId="0" borderId="11" xfId="5" applyFont="1" applyFill="1" applyBorder="1" applyAlignment="1">
      <alignment horizontal="center"/>
    </xf>
    <xf numFmtId="0" fontId="3" fillId="0" borderId="0" xfId="5" applyFont="1" applyFill="1" applyBorder="1" applyAlignment="1">
      <alignment horizontal="center"/>
    </xf>
    <xf numFmtId="0" fontId="3" fillId="0" borderId="11" xfId="5" applyFont="1" applyBorder="1"/>
    <xf numFmtId="0" fontId="3" fillId="0" borderId="11" xfId="6" applyFont="1" applyBorder="1" applyAlignment="1">
      <alignment horizontal="left" vertical="top"/>
    </xf>
    <xf numFmtId="0" fontId="3" fillId="0" borderId="9" xfId="6" applyFont="1" applyBorder="1" applyAlignment="1">
      <alignment vertical="top"/>
    </xf>
    <xf numFmtId="0" fontId="6" fillId="0" borderId="0" xfId="2" applyFont="1" applyBorder="1" applyAlignment="1">
      <alignment horizontal="center"/>
    </xf>
    <xf numFmtId="0" fontId="3" fillId="0" borderId="13" xfId="5" applyBorder="1"/>
    <xf numFmtId="0" fontId="3" fillId="0" borderId="14" xfId="5" applyBorder="1" applyAlignment="1">
      <alignment horizontal="center"/>
    </xf>
    <xf numFmtId="0" fontId="6" fillId="0" borderId="14" xfId="2" applyFont="1" applyBorder="1" applyAlignment="1">
      <alignment horizontal="center"/>
    </xf>
    <xf numFmtId="0" fontId="3" fillId="0" borderId="14" xfId="5" applyBorder="1"/>
    <xf numFmtId="0" fontId="3" fillId="0" borderId="14" xfId="3" applyFont="1" applyBorder="1" applyAlignment="1">
      <alignment horizontal="center" vertical="top"/>
    </xf>
    <xf numFmtId="0" fontId="3" fillId="0" borderId="14" xfId="3" quotePrefix="1" applyBorder="1" applyAlignment="1">
      <alignment horizontal="center" vertical="top"/>
    </xf>
    <xf numFmtId="0" fontId="3" fillId="0" borderId="14" xfId="8" applyBorder="1" applyAlignment="1">
      <alignment horizontal="center" vertical="top"/>
    </xf>
    <xf numFmtId="0" fontId="3" fillId="0" borderId="14" xfId="8" applyFont="1" applyBorder="1" applyAlignment="1">
      <alignment horizontal="center" vertical="top"/>
    </xf>
    <xf numFmtId="49" fontId="0" fillId="0" borderId="14" xfId="0" applyNumberFormat="1" applyBorder="1" applyAlignment="1">
      <alignment horizontal="center"/>
    </xf>
    <xf numFmtId="0" fontId="0" fillId="0" borderId="14" xfId="0" applyBorder="1" applyAlignment="1">
      <alignment horizontal="center"/>
    </xf>
    <xf numFmtId="0" fontId="3" fillId="0" borderId="0" xfId="5" applyAlignment="1">
      <alignment horizontal="center"/>
    </xf>
    <xf numFmtId="0" fontId="8" fillId="0" borderId="0" xfId="5" applyFont="1" applyAlignment="1">
      <alignment horizontal="center"/>
    </xf>
    <xf numFmtId="0" fontId="8" fillId="0" borderId="0" xfId="5" applyFont="1" applyAlignment="1">
      <alignment horizontal="left"/>
    </xf>
    <xf numFmtId="0" fontId="3" fillId="0" borderId="0" xfId="5" applyAlignment="1">
      <alignment wrapText="1"/>
    </xf>
    <xf numFmtId="0" fontId="6" fillId="0" borderId="0" xfId="2" applyBorder="1" applyAlignment="1">
      <alignment horizontal="center"/>
    </xf>
    <xf numFmtId="0" fontId="6" fillId="0" borderId="0" xfId="2" applyFont="1" applyAlignment="1">
      <alignment horizontal="center"/>
    </xf>
    <xf numFmtId="0" fontId="6" fillId="0" borderId="9" xfId="2" applyBorder="1" applyAlignment="1">
      <alignment horizontal="center"/>
    </xf>
    <xf numFmtId="0" fontId="6" fillId="0" borderId="15" xfId="2" applyBorder="1" applyAlignment="1">
      <alignment horizontal="center"/>
    </xf>
    <xf numFmtId="0" fontId="10" fillId="0" borderId="0" xfId="2" applyFont="1" applyAlignment="1">
      <alignment horizontal="center"/>
    </xf>
    <xf numFmtId="0" fontId="10" fillId="0" borderId="0" xfId="2" applyFont="1" applyAlignment="1">
      <alignment horizontal="left"/>
    </xf>
    <xf numFmtId="0" fontId="38" fillId="0" borderId="0" xfId="238" applyFont="1" applyAlignment="1"/>
    <xf numFmtId="0" fontId="3" fillId="0" borderId="9" xfId="238" applyFont="1" applyBorder="1" applyAlignment="1">
      <alignment horizontal="center"/>
    </xf>
    <xf numFmtId="0" fontId="3" fillId="0" borderId="11" xfId="238" quotePrefix="1" applyFont="1" applyBorder="1" applyAlignment="1">
      <alignment horizontal="center"/>
    </xf>
    <xf numFmtId="0" fontId="3" fillId="0" borderId="9" xfId="238" applyBorder="1" applyAlignment="1">
      <alignment horizontal="center"/>
    </xf>
    <xf numFmtId="0" fontId="3" fillId="0" borderId="11" xfId="238" applyBorder="1" applyAlignment="1">
      <alignment horizontal="center" wrapText="1"/>
    </xf>
    <xf numFmtId="0" fontId="3" fillId="0" borderId="0" xfId="238" applyBorder="1" applyAlignment="1">
      <alignment horizontal="center" wrapText="1"/>
    </xf>
    <xf numFmtId="0" fontId="3" fillId="0" borderId="11" xfId="238" applyFill="1" applyBorder="1" applyAlignment="1">
      <alignment horizontal="center"/>
    </xf>
    <xf numFmtId="0" fontId="3" fillId="0" borderId="11" xfId="238" applyBorder="1"/>
    <xf numFmtId="0" fontId="3" fillId="0" borderId="0" xfId="238" applyFont="1"/>
    <xf numFmtId="49" fontId="3" fillId="0" borderId="11" xfId="238" applyNumberFormat="1" applyFont="1" applyBorder="1" applyAlignment="1">
      <alignment horizontal="center"/>
    </xf>
    <xf numFmtId="0" fontId="3" fillId="0" borderId="0" xfId="238" applyBorder="1" applyAlignment="1">
      <alignment horizontal="center"/>
    </xf>
    <xf numFmtId="0" fontId="3" fillId="0" borderId="5" xfId="238" applyFont="1" applyBorder="1" applyAlignment="1">
      <alignment horizontal="center"/>
    </xf>
    <xf numFmtId="0" fontId="3" fillId="0" borderId="0" xfId="238" applyBorder="1"/>
    <xf numFmtId="0" fontId="3" fillId="0" borderId="0" xfId="238"/>
    <xf numFmtId="0" fontId="6" fillId="0" borderId="10" xfId="2" applyFont="1" applyBorder="1" applyAlignment="1">
      <alignment horizontal="center"/>
    </xf>
    <xf numFmtId="0" fontId="3" fillId="0" borderId="11" xfId="5" applyBorder="1" applyAlignment="1">
      <alignment horizontal="center"/>
    </xf>
    <xf numFmtId="0" fontId="3" fillId="0" borderId="9" xfId="5" applyBorder="1"/>
    <xf numFmtId="0" fontId="3" fillId="0" borderId="11" xfId="5" applyBorder="1"/>
    <xf numFmtId="0" fontId="3" fillId="0" borderId="9" xfId="5" applyBorder="1" applyAlignment="1">
      <alignment horizontal="center"/>
    </xf>
    <xf numFmtId="0" fontId="3" fillId="0" borderId="11" xfId="5" applyBorder="1" applyAlignment="1">
      <alignment horizontal="center" wrapText="1"/>
    </xf>
    <xf numFmtId="0" fontId="3" fillId="0" borderId="11" xfId="5" quotePrefix="1" applyBorder="1" applyAlignment="1">
      <alignment horizontal="center"/>
    </xf>
    <xf numFmtId="0" fontId="3" fillId="0" borderId="0" xfId="5" applyBorder="1" applyAlignment="1">
      <alignment horizontal="center" wrapText="1"/>
    </xf>
    <xf numFmtId="0" fontId="11" fillId="0" borderId="11" xfId="5" applyFont="1" applyBorder="1" applyAlignment="1">
      <alignment wrapText="1"/>
    </xf>
    <xf numFmtId="0" fontId="3" fillId="0" borderId="9" xfId="395" applyBorder="1" applyAlignment="1">
      <alignment horizontal="center"/>
    </xf>
    <xf numFmtId="0" fontId="38" fillId="0" borderId="0" xfId="0" applyFont="1"/>
    <xf numFmtId="0" fontId="3" fillId="0" borderId="11" xfId="396" applyFont="1" applyBorder="1" applyAlignment="1">
      <alignment horizontal="center" vertical="top"/>
    </xf>
    <xf numFmtId="0" fontId="3" fillId="0" borderId="11" xfId="395" applyBorder="1" applyAlignment="1">
      <alignment horizontal="center"/>
    </xf>
    <xf numFmtId="0" fontId="3" fillId="0" borderId="11" xfId="395" applyFont="1" applyBorder="1" applyAlignment="1">
      <alignment horizontal="center"/>
    </xf>
    <xf numFmtId="0" fontId="9" fillId="0" borderId="0" xfId="3" applyFont="1" applyBorder="1" applyAlignment="1">
      <alignment horizontal="center" vertical="top"/>
    </xf>
    <xf numFmtId="164" fontId="4" fillId="0" borderId="0" xfId="1" applyFont="1" applyAlignment="1">
      <alignment horizontal="center"/>
    </xf>
    <xf numFmtId="164" fontId="3" fillId="0" borderId="0" xfId="1" applyAlignment="1">
      <alignment horizontal="center"/>
    </xf>
    <xf numFmtId="0" fontId="9" fillId="0" borderId="0" xfId="3" applyFont="1" applyBorder="1" applyAlignment="1">
      <alignment horizontal="center" vertical="top" wrapText="1"/>
    </xf>
    <xf numFmtId="0" fontId="8" fillId="0" borderId="0" xfId="3" applyFont="1" applyBorder="1" applyAlignment="1">
      <alignment vertical="top" wrapText="1"/>
    </xf>
    <xf numFmtId="0" fontId="8" fillId="0" borderId="0" xfId="3" applyFont="1" applyBorder="1" applyAlignment="1">
      <alignment vertical="top"/>
    </xf>
    <xf numFmtId="0" fontId="9" fillId="0" borderId="0" xfId="3" applyFont="1" applyBorder="1" applyAlignment="1">
      <alignment vertical="top"/>
    </xf>
  </cellXfs>
  <cellStyles count="397">
    <cellStyle name="20% - Akzent1" xfId="9"/>
    <cellStyle name="20% - Akzent2" xfId="10"/>
    <cellStyle name="20% - Akzent3" xfId="11"/>
    <cellStyle name="20% - Akzent4" xfId="12"/>
    <cellStyle name="20% - Akzent5" xfId="13"/>
    <cellStyle name="20% - Akzent6" xfId="14"/>
    <cellStyle name="40% - Akzent1" xfId="15"/>
    <cellStyle name="40% - Akzent2" xfId="16"/>
    <cellStyle name="40% - Akzent3" xfId="17"/>
    <cellStyle name="40% - Akzent4" xfId="18"/>
    <cellStyle name="40% - Akzent5" xfId="19"/>
    <cellStyle name="40% - Akzent6" xfId="20"/>
    <cellStyle name="60% - Akzent1" xfId="21"/>
    <cellStyle name="60% - Akzent2" xfId="22"/>
    <cellStyle name="60% - Akzent3" xfId="23"/>
    <cellStyle name="60% - Akzent4" xfId="24"/>
    <cellStyle name="60% - Akzent5" xfId="25"/>
    <cellStyle name="60% - Akzent6" xfId="26"/>
    <cellStyle name="Akzent1" xfId="27"/>
    <cellStyle name="Akzent2" xfId="28"/>
    <cellStyle name="Akzent3" xfId="29"/>
    <cellStyle name="Akzent4" xfId="30"/>
    <cellStyle name="Akzent5" xfId="31"/>
    <cellStyle name="Akzent6" xfId="32"/>
    <cellStyle name="Ausgabe" xfId="33"/>
    <cellStyle name="Berechnung" xfId="34"/>
    <cellStyle name="Currency" xfId="1" builtinId="4"/>
    <cellStyle name="Currency 2" xfId="35"/>
    <cellStyle name="Currency 3" xfId="36"/>
    <cellStyle name="Currency 4" xfId="37"/>
    <cellStyle name="Currency 5" xfId="38"/>
    <cellStyle name="Currency 6" xfId="39"/>
    <cellStyle name="Currency 7" xfId="40"/>
    <cellStyle name="Eingabe" xfId="41"/>
    <cellStyle name="Ergebnis" xfId="42"/>
    <cellStyle name="Erklärender Text" xfId="43"/>
    <cellStyle name="Euro" xfId="44"/>
    <cellStyle name="Gut" xfId="45"/>
    <cellStyle name="Hyperlink 2" xfId="46"/>
    <cellStyle name="Hyperlink 3" xfId="47"/>
    <cellStyle name="Hyperlink 3 2" xfId="48"/>
    <cellStyle name="Hyperlink 3 3" xfId="49"/>
    <cellStyle name="Hyperlink 3 4" xfId="50"/>
    <cellStyle name="Normal" xfId="0" builtinId="0"/>
    <cellStyle name="Normal 10" xfId="51"/>
    <cellStyle name="Normal 10 2" xfId="52"/>
    <cellStyle name="Normal 10 2 2" xfId="53"/>
    <cellStyle name="Normal 10 2 2 2" xfId="54"/>
    <cellStyle name="Normal 10 2 2 2 2" xfId="55"/>
    <cellStyle name="Normal 10 2 2 2 2 2" xfId="56"/>
    <cellStyle name="Normal 10 2 2 2 2 2 2" xfId="244"/>
    <cellStyle name="Normal 10 2 2 2 2 3" xfId="243"/>
    <cellStyle name="Normal 10 2 2 2 3" xfId="57"/>
    <cellStyle name="Normal 10 2 2 2 3 2" xfId="245"/>
    <cellStyle name="Normal 10 2 2 2 4" xfId="242"/>
    <cellStyle name="Normal 10 2 2 3" xfId="58"/>
    <cellStyle name="Normal 10 2 2 3 2" xfId="59"/>
    <cellStyle name="Normal 10 2 2 3 2 2" xfId="247"/>
    <cellStyle name="Normal 10 2 2 3 3" xfId="246"/>
    <cellStyle name="Normal 10 2 2 4" xfId="60"/>
    <cellStyle name="Normal 10 2 2 4 2" xfId="61"/>
    <cellStyle name="Normal 10 2 2 4 2 2" xfId="249"/>
    <cellStyle name="Normal 10 2 2 4 3" xfId="248"/>
    <cellStyle name="Normal 10 2 2 5" xfId="62"/>
    <cellStyle name="Normal 10 2 2 5 2" xfId="250"/>
    <cellStyle name="Normal 10 2 2 6" xfId="241"/>
    <cellStyle name="Normal 10 2 3" xfId="63"/>
    <cellStyle name="Normal 10 2 3 2" xfId="64"/>
    <cellStyle name="Normal 10 2 3 2 2" xfId="65"/>
    <cellStyle name="Normal 10 2 3 2 2 2" xfId="253"/>
    <cellStyle name="Normal 10 2 3 2 3" xfId="252"/>
    <cellStyle name="Normal 10 2 3 3" xfId="66"/>
    <cellStyle name="Normal 10 2 3 3 2" xfId="254"/>
    <cellStyle name="Normal 10 2 3 4" xfId="251"/>
    <cellStyle name="Normal 10 2 4" xfId="67"/>
    <cellStyle name="Normal 10 2 4 2" xfId="68"/>
    <cellStyle name="Normal 10 2 4 2 2" xfId="256"/>
    <cellStyle name="Normal 10 2 4 3" xfId="255"/>
    <cellStyle name="Normal 10 2 5" xfId="69"/>
    <cellStyle name="Normal 10 2 5 2" xfId="70"/>
    <cellStyle name="Normal 10 2 5 2 2" xfId="258"/>
    <cellStyle name="Normal 10 2 5 3" xfId="257"/>
    <cellStyle name="Normal 10 2 6" xfId="71"/>
    <cellStyle name="Normal 10 2 6 2" xfId="259"/>
    <cellStyle name="Normal 10 2 7" xfId="240"/>
    <cellStyle name="Normal 10 3" xfId="72"/>
    <cellStyle name="Normal 10 3 2" xfId="73"/>
    <cellStyle name="Normal 10 3 2 2" xfId="74"/>
    <cellStyle name="Normal 10 3 2 2 2" xfId="75"/>
    <cellStyle name="Normal 10 3 2 2 2 2" xfId="263"/>
    <cellStyle name="Normal 10 3 2 2 3" xfId="262"/>
    <cellStyle name="Normal 10 3 2 3" xfId="76"/>
    <cellStyle name="Normal 10 3 2 3 2" xfId="264"/>
    <cellStyle name="Normal 10 3 2 4" xfId="261"/>
    <cellStyle name="Normal 10 3 3" xfId="77"/>
    <cellStyle name="Normal 10 3 3 2" xfId="78"/>
    <cellStyle name="Normal 10 3 3 2 2" xfId="266"/>
    <cellStyle name="Normal 10 3 3 3" xfId="265"/>
    <cellStyle name="Normal 10 3 4" xfId="79"/>
    <cellStyle name="Normal 10 3 4 2" xfId="80"/>
    <cellStyle name="Normal 10 3 4 2 2" xfId="268"/>
    <cellStyle name="Normal 10 3 4 3" xfId="267"/>
    <cellStyle name="Normal 10 3 5" xfId="81"/>
    <cellStyle name="Normal 10 3 5 2" xfId="269"/>
    <cellStyle name="Normal 10 3 6" xfId="260"/>
    <cellStyle name="Normal 10 4" xfId="82"/>
    <cellStyle name="Normal 10 4 2" xfId="83"/>
    <cellStyle name="Normal 10 4 2 2" xfId="84"/>
    <cellStyle name="Normal 10 4 2 2 2" xfId="272"/>
    <cellStyle name="Normal 10 4 2 3" xfId="271"/>
    <cellStyle name="Normal 10 4 3" xfId="85"/>
    <cellStyle name="Normal 10 4 3 2" xfId="273"/>
    <cellStyle name="Normal 10 4 4" xfId="270"/>
    <cellStyle name="Normal 10 5" xfId="86"/>
    <cellStyle name="Normal 10 5 2" xfId="87"/>
    <cellStyle name="Normal 10 5 2 2" xfId="275"/>
    <cellStyle name="Normal 10 5 3" xfId="274"/>
    <cellStyle name="Normal 10 6" xfId="88"/>
    <cellStyle name="Normal 10 6 2" xfId="89"/>
    <cellStyle name="Normal 10 6 2 2" xfId="277"/>
    <cellStyle name="Normal 10 6 3" xfId="276"/>
    <cellStyle name="Normal 10 7" xfId="90"/>
    <cellStyle name="Normal 10 7 2" xfId="278"/>
    <cellStyle name="Normal 10 8" xfId="239"/>
    <cellStyle name="Normal 11" xfId="7"/>
    <cellStyle name="Normal 11 2" xfId="91"/>
    <cellStyle name="Normal 12" xfId="238"/>
    <cellStyle name="Normal 12 2" xfId="279"/>
    <cellStyle name="Normal 12 3" xfId="280"/>
    <cellStyle name="Normal 2" xfId="2"/>
    <cellStyle name="Normal 2 2" xfId="92"/>
    <cellStyle name="Normal 2 2 2" xfId="5"/>
    <cellStyle name="Normal 2 2 2 2" xfId="93"/>
    <cellStyle name="Normal 2 2 2 3 5" xfId="395"/>
    <cellStyle name="Normal 2 3" xfId="94"/>
    <cellStyle name="Normal 2 3 2" xfId="95"/>
    <cellStyle name="Normal 2 3 2 2" xfId="96"/>
    <cellStyle name="Normal 2 3 2 2 2" xfId="282"/>
    <cellStyle name="Normal 2 3 2 3" xfId="281"/>
    <cellStyle name="Normal 2 3 3" xfId="97"/>
    <cellStyle name="Normal 2 3 3 2" xfId="98"/>
    <cellStyle name="Normal 2 3 3 2 2" xfId="284"/>
    <cellStyle name="Normal 2 3 3 3" xfId="283"/>
    <cellStyle name="Normal 2 3 4" xfId="99"/>
    <cellStyle name="Normal 2 3 4 2" xfId="285"/>
    <cellStyle name="Normal 2 3 5" xfId="100"/>
    <cellStyle name="Normal 2 3 5 2" xfId="286"/>
    <cellStyle name="Normal 3" xfId="101"/>
    <cellStyle name="Normal 3 10" xfId="287"/>
    <cellStyle name="Normal 3 2" xfId="102"/>
    <cellStyle name="Normal 3 2 2" xfId="103"/>
    <cellStyle name="Normal 3 2 2 2" xfId="104"/>
    <cellStyle name="Normal 3 2 2 2 2" xfId="105"/>
    <cellStyle name="Normal 3 2 2 2 2 2" xfId="106"/>
    <cellStyle name="Normal 3 2 2 2 2 2 2" xfId="292"/>
    <cellStyle name="Normal 3 2 2 2 2 3" xfId="291"/>
    <cellStyle name="Normal 3 2 2 2 3" xfId="107"/>
    <cellStyle name="Normal 3 2 2 2 3 2" xfId="293"/>
    <cellStyle name="Normal 3 2 2 2 4" xfId="290"/>
    <cellStyle name="Normal 3 2 2 3" xfId="108"/>
    <cellStyle name="Normal 3 2 2 3 2" xfId="109"/>
    <cellStyle name="Normal 3 2 2 3 2 2" xfId="295"/>
    <cellStyle name="Normal 3 2 2 3 3" xfId="294"/>
    <cellStyle name="Normal 3 2 2 4" xfId="110"/>
    <cellStyle name="Normal 3 2 2 4 2" xfId="111"/>
    <cellStyle name="Normal 3 2 2 4 2 2" xfId="297"/>
    <cellStyle name="Normal 3 2 2 4 3" xfId="296"/>
    <cellStyle name="Normal 3 2 2 5" xfId="112"/>
    <cellStyle name="Normal 3 2 2 5 2" xfId="298"/>
    <cellStyle name="Normal 3 2 2 6" xfId="289"/>
    <cellStyle name="Normal 3 2 3" xfId="113"/>
    <cellStyle name="Normal 3 2 3 2" xfId="114"/>
    <cellStyle name="Normal 3 2 3 2 2" xfId="115"/>
    <cellStyle name="Normal 3 2 3 2 2 2" xfId="301"/>
    <cellStyle name="Normal 3 2 3 2 3" xfId="300"/>
    <cellStyle name="Normal 3 2 3 3" xfId="116"/>
    <cellStyle name="Normal 3 2 3 3 2" xfId="302"/>
    <cellStyle name="Normal 3 2 3 4" xfId="299"/>
    <cellStyle name="Normal 3 2 4" xfId="117"/>
    <cellStyle name="Normal 3 2 4 2" xfId="118"/>
    <cellStyle name="Normal 3 2 4 2 2" xfId="304"/>
    <cellStyle name="Normal 3 2 4 3" xfId="303"/>
    <cellStyle name="Normal 3 2 5" xfId="119"/>
    <cellStyle name="Normal 3 2 5 2" xfId="120"/>
    <cellStyle name="Normal 3 2 5 2 2" xfId="306"/>
    <cellStyle name="Normal 3 2 5 3" xfId="305"/>
    <cellStyle name="Normal 3 2 6" xfId="121"/>
    <cellStyle name="Normal 3 2 6 2" xfId="307"/>
    <cellStyle name="Normal 3 2 7" xfId="288"/>
    <cellStyle name="Normal 3 3" xfId="122"/>
    <cellStyle name="Normal 3 3 2" xfId="123"/>
    <cellStyle name="Normal 3 3 2 2" xfId="124"/>
    <cellStyle name="Normal 3 3 2 2 2" xfId="125"/>
    <cellStyle name="Normal 3 3 2 2 2 2" xfId="311"/>
    <cellStyle name="Normal 3 3 2 2 3" xfId="310"/>
    <cellStyle name="Normal 3 3 2 3" xfId="126"/>
    <cellStyle name="Normal 3 3 2 3 2" xfId="312"/>
    <cellStyle name="Normal 3 3 2 4" xfId="309"/>
    <cellStyle name="Normal 3 3 3" xfId="127"/>
    <cellStyle name="Normal 3 3 3 2" xfId="128"/>
    <cellStyle name="Normal 3 3 3 2 2" xfId="314"/>
    <cellStyle name="Normal 3 3 3 3" xfId="313"/>
    <cellStyle name="Normal 3 3 4" xfId="129"/>
    <cellStyle name="Normal 3 3 4 2" xfId="130"/>
    <cellStyle name="Normal 3 3 4 2 2" xfId="316"/>
    <cellStyle name="Normal 3 3 4 3" xfId="315"/>
    <cellStyle name="Normal 3 3 5" xfId="131"/>
    <cellStyle name="Normal 3 3 5 2" xfId="317"/>
    <cellStyle name="Normal 3 3 6" xfId="308"/>
    <cellStyle name="Normal 3 4" xfId="132"/>
    <cellStyle name="Normal 3 4 2" xfId="133"/>
    <cellStyle name="Normal 3 4 2 2" xfId="134"/>
    <cellStyle name="Normal 3 4 2 2 2" xfId="135"/>
    <cellStyle name="Normal 3 4 2 2 2 2" xfId="321"/>
    <cellStyle name="Normal 3 4 2 2 3" xfId="320"/>
    <cellStyle name="Normal 3 4 2 3" xfId="136"/>
    <cellStyle name="Normal 3 4 2 3 2" xfId="322"/>
    <cellStyle name="Normal 3 4 2 4" xfId="319"/>
    <cellStyle name="Normal 3 4 3" xfId="137"/>
    <cellStyle name="Normal 3 4 3 2" xfId="138"/>
    <cellStyle name="Normal 3 4 3 2 2" xfId="324"/>
    <cellStyle name="Normal 3 4 3 3" xfId="323"/>
    <cellStyle name="Normal 3 4 4" xfId="139"/>
    <cellStyle name="Normal 3 4 4 2" xfId="140"/>
    <cellStyle name="Normal 3 4 4 2 2" xfId="326"/>
    <cellStyle name="Normal 3 4 4 3" xfId="325"/>
    <cellStyle name="Normal 3 4 5" xfId="141"/>
    <cellStyle name="Normal 3 4 5 2" xfId="327"/>
    <cellStyle name="Normal 3 4 6" xfId="142"/>
    <cellStyle name="Normal 3 4 7" xfId="318"/>
    <cellStyle name="Normal 3 5" xfId="143"/>
    <cellStyle name="Normal 3 5 2" xfId="144"/>
    <cellStyle name="Normal 3 5 2 2" xfId="145"/>
    <cellStyle name="Normal 3 5 2 2 2" xfId="146"/>
    <cellStyle name="Normal 3 5 2 2 2 2" xfId="331"/>
    <cellStyle name="Normal 3 5 2 2 3" xfId="330"/>
    <cellStyle name="Normal 3 5 2 3" xfId="147"/>
    <cellStyle name="Normal 3 5 2 3 2" xfId="332"/>
    <cellStyle name="Normal 3 5 2 4" xfId="329"/>
    <cellStyle name="Normal 3 5 3" xfId="148"/>
    <cellStyle name="Normal 3 5 3 2" xfId="149"/>
    <cellStyle name="Normal 3 5 3 2 2" xfId="334"/>
    <cellStyle name="Normal 3 5 3 3" xfId="333"/>
    <cellStyle name="Normal 3 5 4" xfId="150"/>
    <cellStyle name="Normal 3 5 4 2" xfId="151"/>
    <cellStyle name="Normal 3 5 4 2 2" xfId="336"/>
    <cellStyle name="Normal 3 5 4 3" xfId="335"/>
    <cellStyle name="Normal 3 5 5" xfId="152"/>
    <cellStyle name="Normal 3 5 5 2" xfId="337"/>
    <cellStyle name="Normal 3 5 6" xfId="328"/>
    <cellStyle name="Normal 3 6" xfId="153"/>
    <cellStyle name="Normal 3 6 2" xfId="154"/>
    <cellStyle name="Normal 3 6 2 2" xfId="155"/>
    <cellStyle name="Normal 3 6 2 2 2" xfId="340"/>
    <cellStyle name="Normal 3 6 2 3" xfId="339"/>
    <cellStyle name="Normal 3 6 3" xfId="156"/>
    <cellStyle name="Normal 3 6 3 2" xfId="341"/>
    <cellStyle name="Normal 3 6 4" xfId="338"/>
    <cellStyle name="Normal 3 7" xfId="157"/>
    <cellStyle name="Normal 3 7 2" xfId="158"/>
    <cellStyle name="Normal 3 7 2 2" xfId="343"/>
    <cellStyle name="Normal 3 7 3" xfId="342"/>
    <cellStyle name="Normal 3 8" xfId="159"/>
    <cellStyle name="Normal 3 8 2" xfId="160"/>
    <cellStyle name="Normal 3 8 2 2" xfId="345"/>
    <cellStyle name="Normal 3 8 3" xfId="344"/>
    <cellStyle name="Normal 3 9" xfId="161"/>
    <cellStyle name="Normal 3 9 2" xfId="346"/>
    <cellStyle name="Normal 4" xfId="162"/>
    <cellStyle name="Normal 4 2" xfId="163"/>
    <cellStyle name="Normal 5" xfId="164"/>
    <cellStyle name="Normal 5 2" xfId="165"/>
    <cellStyle name="Normal 5 2 2" xfId="166"/>
    <cellStyle name="Normal 5 2 2 2" xfId="167"/>
    <cellStyle name="Normal 5 2 2 2 2" xfId="168"/>
    <cellStyle name="Normal 5 2 2 2 2 2" xfId="350"/>
    <cellStyle name="Normal 5 2 2 2 3" xfId="349"/>
    <cellStyle name="Normal 5 2 2 3" xfId="169"/>
    <cellStyle name="Normal 5 2 2 3 2" xfId="170"/>
    <cellStyle name="Normal 5 2 2 3 2 2" xfId="352"/>
    <cellStyle name="Normal 5 2 2 3 3" xfId="351"/>
    <cellStyle name="Normal 5 2 2 4" xfId="171"/>
    <cellStyle name="Normal 5 2 2 4 2" xfId="353"/>
    <cellStyle name="Normal 5 2 2 5" xfId="348"/>
    <cellStyle name="Normal 5 2 3" xfId="172"/>
    <cellStyle name="Normal 5 2 3 2" xfId="173"/>
    <cellStyle name="Normal 5 2 3 2 2" xfId="355"/>
    <cellStyle name="Normal 5 2 3 3" xfId="354"/>
    <cellStyle name="Normal 5 2 4" xfId="174"/>
    <cellStyle name="Normal 5 2 4 2" xfId="175"/>
    <cellStyle name="Normal 5 2 4 2 2" xfId="357"/>
    <cellStyle name="Normal 5 2 4 3" xfId="356"/>
    <cellStyle name="Normal 5 2 5" xfId="176"/>
    <cellStyle name="Normal 5 2 5 2" xfId="358"/>
    <cellStyle name="Normal 5 2 6" xfId="347"/>
    <cellStyle name="Normal 5 3" xfId="177"/>
    <cellStyle name="Normal 5 3 2" xfId="178"/>
    <cellStyle name="Normal 5 3 2 2" xfId="179"/>
    <cellStyle name="Normal 5 3 2 2 2" xfId="361"/>
    <cellStyle name="Normal 5 3 2 3" xfId="360"/>
    <cellStyle name="Normal 5 3 3" xfId="180"/>
    <cellStyle name="Normal 5 3 3 2" xfId="181"/>
    <cellStyle name="Normal 5 3 3 2 2" xfId="363"/>
    <cellStyle name="Normal 5 3 3 3" xfId="362"/>
    <cellStyle name="Normal 5 3 4" xfId="182"/>
    <cellStyle name="Normal 5 3 4 2" xfId="364"/>
    <cellStyle name="Normal 5 3 5" xfId="359"/>
    <cellStyle name="Normal 5 4" xfId="183"/>
    <cellStyle name="Normal 5 4 2" xfId="184"/>
    <cellStyle name="Normal 5 4 2 2" xfId="366"/>
    <cellStyle name="Normal 5 4 3" xfId="365"/>
    <cellStyle name="Normal 5 5" xfId="185"/>
    <cellStyle name="Normal 5 5 2" xfId="186"/>
    <cellStyle name="Normal 5 5 2 2" xfId="368"/>
    <cellStyle name="Normal 5 5 3" xfId="367"/>
    <cellStyle name="Normal 5 6" xfId="187"/>
    <cellStyle name="Normal 5 6 2" xfId="369"/>
    <cellStyle name="Normal 5 7" xfId="188"/>
    <cellStyle name="Normal 5 7 2" xfId="370"/>
    <cellStyle name="Normal 6" xfId="189"/>
    <cellStyle name="Normal 6 2" xfId="190"/>
    <cellStyle name="Normal 7" xfId="191"/>
    <cellStyle name="Normal 7 2" xfId="192"/>
    <cellStyle name="Normal 7 2 2" xfId="193"/>
    <cellStyle name="Normal 7 2 2 2" xfId="194"/>
    <cellStyle name="Normal 7 2 2 2 2" xfId="373"/>
    <cellStyle name="Normal 7 2 2 3" xfId="372"/>
    <cellStyle name="Normal 7 2 3" xfId="195"/>
    <cellStyle name="Normal 7 2 3 2" xfId="196"/>
    <cellStyle name="Normal 7 2 3 2 2" xfId="375"/>
    <cellStyle name="Normal 7 2 3 3" xfId="374"/>
    <cellStyle name="Normal 7 2 4" xfId="197"/>
    <cellStyle name="Normal 7 2 4 2" xfId="376"/>
    <cellStyle name="Normal 7 2 5" xfId="371"/>
    <cellStyle name="Normal 7 3" xfId="198"/>
    <cellStyle name="Normal 7 3 2" xfId="199"/>
    <cellStyle name="Normal 7 3 2 2" xfId="378"/>
    <cellStyle name="Normal 7 3 3" xfId="377"/>
    <cellStyle name="Normal 7 4" xfId="200"/>
    <cellStyle name="Normal 7 4 2" xfId="201"/>
    <cellStyle name="Normal 7 4 2 2" xfId="380"/>
    <cellStyle name="Normal 7 4 3" xfId="379"/>
    <cellStyle name="Normal 7 5" xfId="202"/>
    <cellStyle name="Normal 7 5 2" xfId="381"/>
    <cellStyle name="Normal 7 6" xfId="203"/>
    <cellStyle name="Normal 7 6 2" xfId="382"/>
    <cellStyle name="Normal 8" xfId="204"/>
    <cellStyle name="Normal 8 2" xfId="205"/>
    <cellStyle name="Normal 9" xfId="206"/>
    <cellStyle name="Normal 9 2" xfId="207"/>
    <cellStyle name="Normal 9 2 2" xfId="208"/>
    <cellStyle name="Normal 9 2 2 2" xfId="209"/>
    <cellStyle name="Normal 9 2 2 2 2" xfId="385"/>
    <cellStyle name="Normal 9 2 2 3" xfId="384"/>
    <cellStyle name="Normal 9 2 3" xfId="210"/>
    <cellStyle name="Normal 9 2 3 2" xfId="211"/>
    <cellStyle name="Normal 9 2 3 2 2" xfId="387"/>
    <cellStyle name="Normal 9 2 3 3" xfId="386"/>
    <cellStyle name="Normal 9 2 4" xfId="212"/>
    <cellStyle name="Normal 9 2 4 2" xfId="388"/>
    <cellStyle name="Normal 9 2 5" xfId="383"/>
    <cellStyle name="Normal 9 3" xfId="213"/>
    <cellStyle name="Normal 9 3 2" xfId="214"/>
    <cellStyle name="Normal 9 3 2 2" xfId="390"/>
    <cellStyle name="Normal 9 3 3" xfId="389"/>
    <cellStyle name="Normal 9 4" xfId="215"/>
    <cellStyle name="Normal 9 4 2" xfId="216"/>
    <cellStyle name="Normal 9 4 2 2" xfId="392"/>
    <cellStyle name="Normal 9 4 3" xfId="391"/>
    <cellStyle name="Normal 9 5" xfId="217"/>
    <cellStyle name="Normal 9 5 2" xfId="393"/>
    <cellStyle name="Normal 9 6" xfId="218"/>
    <cellStyle name="Normal 9 6 2" xfId="394"/>
    <cellStyle name="Notiz" xfId="219"/>
    <cellStyle name="Percent 2" xfId="220"/>
    <cellStyle name="Percent 2 2" xfId="221"/>
    <cellStyle name="Percent 2 2 2" xfId="222"/>
    <cellStyle name="Percent 2 3" xfId="223"/>
    <cellStyle name="Schlecht" xfId="224"/>
    <cellStyle name="Standard 2" xfId="225"/>
    <cellStyle name="Standard 2 2" xfId="226"/>
    <cellStyle name="Standard_EBT" xfId="227"/>
    <cellStyle name="Standard_khr_GD_Routing_RG600" xfId="8"/>
    <cellStyle name="Standard_mfaERR" xfId="3"/>
    <cellStyle name="Standard_mfaERR 2" xfId="4"/>
    <cellStyle name="Standard_Variable_XT" xfId="6"/>
    <cellStyle name="Standard_Variable_XT 2" xfId="396"/>
    <cellStyle name="Überschrift" xfId="228"/>
    <cellStyle name="Überschrift 1" xfId="229"/>
    <cellStyle name="Überschrift 2" xfId="230"/>
    <cellStyle name="Überschrift 3" xfId="231"/>
    <cellStyle name="Überschrift 4" xfId="232"/>
    <cellStyle name="Überschrift 5" xfId="233"/>
    <cellStyle name="Überschrift_AWB" xfId="234"/>
    <cellStyle name="Verknüpfte Zelle" xfId="235"/>
    <cellStyle name="Warnender Text" xfId="236"/>
    <cellStyle name="Zelle überprüfen" xfId="23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523875</xdr:colOff>
          <xdr:row>2</xdr:row>
          <xdr:rowOff>66675</xdr:rowOff>
        </xdr:from>
        <xdr:to>
          <xdr:col>7</xdr:col>
          <xdr:colOff>381000</xdr:colOff>
          <xdr:row>3</xdr:row>
          <xdr:rowOff>209550</xdr:rowOff>
        </xdr:to>
        <xdr:sp macro="" textlink="">
          <xdr:nvSpPr>
            <xdr:cNvPr id="1038" name="btnGenerat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odsrvfil001\home1\PROJEKTE\DOC\KHR\kh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v/Jax_Doc/AED/Rogator/RG3/Software/GD/GD_Routing_RG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sheetName val="EEPR_ADR"/>
      <sheetName val="GD_ID"/>
      <sheetName val="CALIB"/>
      <sheetName val="ERROR_CODE"/>
      <sheetName val="DIAG_MSG"/>
    </sheetNames>
    <sheetDataSet>
      <sheetData sheetId="0"/>
      <sheetData sheetId="1"/>
      <sheetData sheetId="2">
        <row r="70">
          <cell r="A70" t="str">
            <v>zu 1)</v>
          </cell>
          <cell r="B70" t="str">
            <v>Betriebsstatus</v>
          </cell>
          <cell r="D70" t="str">
            <v>DB5 - Bit7</v>
          </cell>
          <cell r="E70" t="str">
            <v>DB6 / DB7</v>
          </cell>
          <cell r="F70" t="str">
            <v>Bedeutung</v>
          </cell>
        </row>
        <row r="71">
          <cell r="D71" t="str">
            <v>---</v>
          </cell>
          <cell r="E71" t="str">
            <v>Bit 15</v>
          </cell>
          <cell r="F71" t="str">
            <v>Betätigung über Hecktaster</v>
          </cell>
        </row>
        <row r="72">
          <cell r="D72" t="str">
            <v>---</v>
          </cell>
          <cell r="E72" t="str">
            <v>Bit 14</v>
          </cell>
          <cell r="F72" t="str">
            <v>Starre Ackerschiene</v>
          </cell>
        </row>
        <row r="73">
          <cell r="D73" t="str">
            <v>---</v>
          </cell>
          <cell r="E73" t="str">
            <v>Bit 13</v>
          </cell>
          <cell r="F73" t="str">
            <v>Tastbetrieb/Automatik</v>
          </cell>
        </row>
        <row r="74">
          <cell r="D74" t="str">
            <v>---</v>
          </cell>
          <cell r="E74" t="str">
            <v>Bit 12</v>
          </cell>
          <cell r="F74" t="str">
            <v>Schnelleinzug</v>
          </cell>
        </row>
        <row r="75">
          <cell r="D75" t="str">
            <v>---</v>
          </cell>
          <cell r="E75" t="str">
            <v>Bit 11</v>
          </cell>
          <cell r="F75" t="str">
            <v>---</v>
          </cell>
        </row>
        <row r="76">
          <cell r="D76" t="str">
            <v>---</v>
          </cell>
          <cell r="E76" t="str">
            <v>Bit 10</v>
          </cell>
          <cell r="F76" t="str">
            <v>Entriegelungsstatus</v>
          </cell>
        </row>
        <row r="77">
          <cell r="D77" t="str">
            <v>---</v>
          </cell>
          <cell r="E77" t="str">
            <v>Bit 9/8</v>
          </cell>
          <cell r="F77" t="str">
            <v>Stellung Aushubhebel</v>
          </cell>
        </row>
        <row r="78">
          <cell r="D78" t="str">
            <v>---</v>
          </cell>
          <cell r="E78" t="str">
            <v>Bit 7</v>
          </cell>
          <cell r="F78" t="str">
            <v>Schwingungstilgung</v>
          </cell>
        </row>
        <row r="79">
          <cell r="D79" t="str">
            <v>---</v>
          </cell>
          <cell r="E79" t="str">
            <v>Bit 6/5</v>
          </cell>
          <cell r="F79" t="str">
            <v>Betriebsart</v>
          </cell>
        </row>
        <row r="80">
          <cell r="D80" t="str">
            <v>---</v>
          </cell>
          <cell r="E80" t="str">
            <v>Bit 4/3</v>
          </cell>
          <cell r="F80" t="str">
            <v>Funktionsstatus</v>
          </cell>
        </row>
        <row r="81">
          <cell r="D81" t="str">
            <v>---</v>
          </cell>
          <cell r="E81" t="str">
            <v>Bit 2/1/0</v>
          </cell>
          <cell r="F81" t="str">
            <v>Ventilstatus</v>
          </cell>
        </row>
        <row r="83">
          <cell r="A83" t="str">
            <v>zu 2)</v>
          </cell>
          <cell r="B83" t="str">
            <v>Stellung Aushubhebel</v>
          </cell>
          <cell r="D83" t="str">
            <v>DB5 - Bit7</v>
          </cell>
          <cell r="E83" t="str">
            <v>DB6 / DB7</v>
          </cell>
          <cell r="F83" t="str">
            <v>Bedeutung</v>
          </cell>
        </row>
        <row r="84">
          <cell r="D84" t="str">
            <v>---</v>
          </cell>
          <cell r="E84">
            <v>0</v>
          </cell>
          <cell r="F84" t="str">
            <v>STOP</v>
          </cell>
        </row>
        <row r="85">
          <cell r="D85" t="str">
            <v>---</v>
          </cell>
          <cell r="E85">
            <v>1</v>
          </cell>
          <cell r="F85" t="str">
            <v>Heben (UP)</v>
          </cell>
        </row>
        <row r="86">
          <cell r="D86" t="str">
            <v>---</v>
          </cell>
          <cell r="E86">
            <v>2</v>
          </cell>
          <cell r="F86" t="str">
            <v>Senken (DOWN)</v>
          </cell>
        </row>
        <row r="87">
          <cell r="D87" t="str">
            <v>---</v>
          </cell>
          <cell r="E87">
            <v>3</v>
          </cell>
          <cell r="F87" t="str">
            <v>Schnelleinzug (FASTDOWN)</v>
          </cell>
        </row>
        <row r="89">
          <cell r="A89" t="str">
            <v>zu 3)</v>
          </cell>
          <cell r="B89" t="str">
            <v>Aktivierung der Automatik</v>
          </cell>
          <cell r="D89" t="str">
            <v>DB5 - Bit7</v>
          </cell>
          <cell r="E89" t="str">
            <v>DB6</v>
          </cell>
          <cell r="F89" t="str">
            <v>Stellung des Schalters Tauschfunktion</v>
          </cell>
        </row>
        <row r="90">
          <cell r="D90" t="str">
            <v>---</v>
          </cell>
          <cell r="E90" t="str">
            <v>0x00</v>
          </cell>
          <cell r="F90" t="str">
            <v>Normalstellung</v>
          </cell>
        </row>
        <row r="91">
          <cell r="D91" t="str">
            <v>---</v>
          </cell>
          <cell r="E91" t="str">
            <v>0x01</v>
          </cell>
          <cell r="F91" t="str">
            <v>Tauschfunktion 1</v>
          </cell>
        </row>
        <row r="92">
          <cell r="D92" t="str">
            <v>---</v>
          </cell>
          <cell r="E92" t="str">
            <v>0x02</v>
          </cell>
          <cell r="F92" t="str">
            <v>Tauschfunktion 2</v>
          </cell>
        </row>
        <row r="93">
          <cell r="D93" t="str">
            <v>---</v>
          </cell>
          <cell r="E93" t="str">
            <v>0x03</v>
          </cell>
          <cell r="F93" t="str">
            <v>Tauschfunktion 3</v>
          </cell>
        </row>
        <row r="95">
          <cell r="D95" t="str">
            <v>DB5 - Bit7</v>
          </cell>
          <cell r="E95" t="str">
            <v>DB7</v>
          </cell>
          <cell r="F95" t="str">
            <v>Tasten auf denen die Heckkraftheberautomatik liegt</v>
          </cell>
        </row>
        <row r="96">
          <cell r="D96">
            <v>0</v>
          </cell>
          <cell r="E96" t="str">
            <v>0x00</v>
          </cell>
          <cell r="F96" t="str">
            <v>keine Tasten für Heckkraftheberautomatik</v>
          </cell>
        </row>
        <row r="97">
          <cell r="D97">
            <v>1</v>
          </cell>
          <cell r="E97" t="str">
            <v>0x01</v>
          </cell>
          <cell r="F97" t="str">
            <v>Ventiltasten rechts</v>
          </cell>
        </row>
        <row r="98">
          <cell r="D98">
            <v>1</v>
          </cell>
          <cell r="E98" t="str">
            <v>0x02</v>
          </cell>
          <cell r="F98" t="str">
            <v>Tasten "Kleblatt" senkrecht</v>
          </cell>
        </row>
        <row r="99">
          <cell r="D99">
            <v>1</v>
          </cell>
          <cell r="E99" t="str">
            <v>0x04</v>
          </cell>
          <cell r="F99" t="str">
            <v>Tasten "Kleblatt" waagrecht</v>
          </cell>
        </row>
        <row r="100">
          <cell r="D100">
            <v>1</v>
          </cell>
          <cell r="E100" t="str">
            <v>0x08</v>
          </cell>
          <cell r="F100" t="str">
            <v>Ventiltasten links</v>
          </cell>
        </row>
        <row r="102">
          <cell r="A102" t="str">
            <v>zu 4)</v>
          </cell>
          <cell r="B102" t="str">
            <v>Subzustand</v>
          </cell>
          <cell r="D102" t="str">
            <v>DB5 - Bit7</v>
          </cell>
          <cell r="E102" t="str">
            <v>DB6</v>
          </cell>
          <cell r="F102" t="str">
            <v>Bedeutung</v>
          </cell>
        </row>
        <row r="103">
          <cell r="D103" t="str">
            <v>---</v>
          </cell>
          <cell r="E103" t="str">
            <v>0x00</v>
          </cell>
          <cell r="F103" t="str">
            <v xml:space="preserve">DEAKTIV       </v>
          </cell>
        </row>
        <row r="104">
          <cell r="D104" t="str">
            <v>---</v>
          </cell>
          <cell r="E104" t="str">
            <v>0x01</v>
          </cell>
          <cell r="F104" t="str">
            <v xml:space="preserve">TI_INIT       </v>
          </cell>
        </row>
        <row r="105">
          <cell r="D105" t="str">
            <v>---</v>
          </cell>
          <cell r="E105" t="str">
            <v>0x02</v>
          </cell>
          <cell r="F105" t="str">
            <v>RECORD_STANDBY</v>
          </cell>
        </row>
        <row r="106">
          <cell r="D106" t="str">
            <v>---</v>
          </cell>
          <cell r="E106" t="str">
            <v>0x03</v>
          </cell>
          <cell r="F106" t="str">
            <v xml:space="preserve">RECORD_AKTIV  </v>
          </cell>
        </row>
        <row r="107">
          <cell r="D107" t="str">
            <v>---</v>
          </cell>
          <cell r="E107" t="str">
            <v>0x04</v>
          </cell>
          <cell r="F107" t="str">
            <v xml:space="preserve">PLAY_STANDBY  </v>
          </cell>
        </row>
        <row r="108">
          <cell r="D108" t="str">
            <v>---</v>
          </cell>
          <cell r="E108" t="str">
            <v>0x05</v>
          </cell>
          <cell r="F108" t="str">
            <v xml:space="preserve">PLAY_AKTIV    </v>
          </cell>
        </row>
        <row r="109">
          <cell r="D109" t="str">
            <v>---</v>
          </cell>
          <cell r="E109" t="str">
            <v>0x06</v>
          </cell>
          <cell r="F109" t="str">
            <v xml:space="preserve">CONFIG        </v>
          </cell>
        </row>
        <row r="110">
          <cell r="D110" t="str">
            <v>---</v>
          </cell>
          <cell r="E110" t="str">
            <v>0x07</v>
          </cell>
          <cell r="F110" t="str">
            <v xml:space="preserve">EDIT          </v>
          </cell>
        </row>
        <row r="111">
          <cell r="D111" t="str">
            <v>---</v>
          </cell>
          <cell r="E111" t="str">
            <v>0x08</v>
          </cell>
          <cell r="F111" t="str">
            <v xml:space="preserve">DATAXCHANGE   </v>
          </cell>
        </row>
        <row r="112">
          <cell r="D112" t="str">
            <v>---</v>
          </cell>
          <cell r="E112" t="str">
            <v>0xF0</v>
          </cell>
          <cell r="F112" t="str">
            <v xml:space="preserve">SAFESTATE     </v>
          </cell>
        </row>
        <row r="113">
          <cell r="D113" t="str">
            <v>---</v>
          </cell>
          <cell r="E113" t="str">
            <v>0xFF</v>
          </cell>
          <cell r="F113" t="str">
            <v>NO_SUBSTATEWXL</v>
          </cell>
        </row>
        <row r="115">
          <cell r="D115" t="str">
            <v>---</v>
          </cell>
          <cell r="E115" t="str">
            <v>DB7</v>
          </cell>
          <cell r="F115" t="str">
            <v>Bedeutung</v>
          </cell>
        </row>
        <row r="116">
          <cell r="D116" t="str">
            <v>---</v>
          </cell>
          <cell r="E116" t="str">
            <v>0x??</v>
          </cell>
          <cell r="F116" t="str">
            <v>Teilnehmernummer</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Readme"/>
      <sheetName val="Rules"/>
      <sheetName val="EXT Domain Areas"/>
      <sheetName val="Routing-Data RG3"/>
      <sheetName val="NT01"/>
      <sheetName val="CEAG"/>
      <sheetName val="MFA"/>
      <sheetName val="DRIVE"/>
      <sheetName val="EFC"/>
      <sheetName val="TELEMETRY"/>
      <sheetName val="ZE"/>
      <sheetName val="INFO"/>
      <sheetName val="WBZ"/>
      <sheetName val="SBL"/>
      <sheetName val="SCT"/>
      <sheetName val="TA"/>
      <sheetName val="RG3"/>
      <sheetName val="EMM"/>
      <sheetName val="ES"/>
      <sheetName val="LCP"/>
      <sheetName val="4WS"/>
      <sheetName val="DASH"/>
      <sheetName val="DIAGNOSE"/>
      <sheetName val="template"/>
      <sheetName val="Sheet2"/>
      <sheetName val="GD_Routing_RG3"/>
      <sheetName val="GDBridge"/>
      <sheetName val="PICTO"/>
      <sheetName val="TI"/>
      <sheetName val="DPG"/>
      <sheetName val="GW"/>
    </sheetNames>
    <sheetDataSet>
      <sheetData sheetId="0"/>
      <sheetData sheetId="1"/>
      <sheetData sheetId="2"/>
      <sheetData sheetId="3"/>
      <sheetData sheetId="4">
        <row r="6">
          <cell r="B6" t="str">
            <v>DASH</v>
          </cell>
        </row>
        <row r="23">
          <cell r="P23" t="str">
            <v>Select Machine Variant</v>
          </cell>
        </row>
        <row r="29">
          <cell r="P29" t="str">
            <v>Generate Data for:</v>
          </cell>
        </row>
        <row r="30">
          <cell r="P30" t="str">
            <v>RG3</v>
          </cell>
        </row>
        <row r="32">
          <cell r="P32" t="str">
            <v>Generate Source Code</v>
          </cell>
        </row>
        <row r="34">
          <cell r="P34" t="str">
            <v>EXT File Name:</v>
          </cell>
        </row>
        <row r="35">
          <cell r="P35" t="str">
            <v>NT01 XML File Name:</v>
          </cell>
        </row>
        <row r="36">
          <cell r="P36" t="str">
            <v>EDT XML File Name:</v>
          </cell>
        </row>
        <row r="37">
          <cell r="P37" t="str">
            <v>GD DBC File Name:</v>
          </cell>
        </row>
        <row r="38">
          <cell r="P38" t="str">
            <v>Simplified GD DBC File Name:</v>
          </cell>
        </row>
        <row r="53">
          <cell r="P53" t="str">
            <v>Machine Variants</v>
          </cell>
        </row>
        <row r="54">
          <cell r="P54" t="str">
            <v>RG3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dimension ref="A1:AC546"/>
  <sheetViews>
    <sheetView tabSelected="1" zoomScale="85" zoomScaleNormal="85" workbookViewId="0">
      <pane xSplit="3" ySplit="10" topLeftCell="D11" activePane="bottomRight" state="frozen"/>
      <selection pane="topRight" activeCell="C1" sqref="C1"/>
      <selection pane="bottomLeft" activeCell="A11" sqref="A11"/>
      <selection pane="bottomRight" activeCell="L21" sqref="L21"/>
    </sheetView>
  </sheetViews>
  <sheetFormatPr defaultColWidth="11.42578125" defaultRowHeight="12.75" x14ac:dyDescent="0.2"/>
  <cols>
    <col min="1" max="1" width="8.28515625" style="164" customWidth="1"/>
    <col min="2" max="2" width="8.28515625" style="165" customWidth="1"/>
    <col min="3" max="3" width="58" bestFit="1" customWidth="1"/>
    <col min="4" max="4" width="9.5703125" style="164" bestFit="1" customWidth="1"/>
    <col min="5" max="8" width="9.42578125" style="164" customWidth="1"/>
    <col min="9" max="9" width="9.42578125" style="166" customWidth="1"/>
    <col min="10" max="10" width="16.5703125" bestFit="1" customWidth="1"/>
    <col min="11" max="11" width="9.85546875" bestFit="1" customWidth="1"/>
    <col min="12" max="12" width="64.85546875" customWidth="1"/>
    <col min="13" max="13" width="12" customWidth="1"/>
    <col min="14" max="16" width="11.42578125" customWidth="1"/>
    <col min="17" max="17" width="16.140625" customWidth="1"/>
    <col min="18" max="18" width="12.42578125" bestFit="1" customWidth="1"/>
    <col min="19" max="21" width="12.42578125" customWidth="1"/>
    <col min="22" max="22" width="54.42578125" style="11" customWidth="1"/>
    <col min="23" max="23" width="26.7109375" style="12" customWidth="1"/>
    <col min="24" max="24" width="11.42578125" style="13" customWidth="1"/>
    <col min="25" max="25" width="57.140625" style="12" customWidth="1"/>
    <col min="26" max="26" width="25" style="12" customWidth="1"/>
    <col min="27" max="27" width="11.42578125" style="13" customWidth="1"/>
  </cols>
  <sheetData>
    <row r="1" spans="1:29" ht="18" x14ac:dyDescent="0.25">
      <c r="A1" s="225" t="s">
        <v>0</v>
      </c>
      <c r="B1" s="225"/>
      <c r="C1" s="226"/>
      <c r="D1" s="226"/>
      <c r="E1" s="226"/>
      <c r="F1" s="226"/>
      <c r="G1" s="226"/>
      <c r="H1" s="226"/>
      <c r="I1" s="226"/>
      <c r="J1" s="226"/>
      <c r="K1" s="226"/>
      <c r="L1" s="226"/>
      <c r="M1" s="226"/>
      <c r="V1" s="1"/>
      <c r="W1" s="2"/>
      <c r="X1" s="3"/>
      <c r="Y1" s="2"/>
      <c r="Z1" s="2"/>
      <c r="AA1" s="3"/>
    </row>
    <row r="3" spans="1:29" ht="18" x14ac:dyDescent="0.25">
      <c r="A3" s="4"/>
      <c r="B3" s="5"/>
      <c r="C3" s="6" t="s">
        <v>1</v>
      </c>
      <c r="D3" s="7" t="s">
        <v>2</v>
      </c>
      <c r="E3" s="4"/>
      <c r="F3" s="4"/>
      <c r="G3" s="8"/>
      <c r="H3" s="8"/>
      <c r="I3" s="4"/>
      <c r="J3" s="9"/>
      <c r="K3" s="9"/>
      <c r="L3" s="9"/>
      <c r="M3" s="10"/>
    </row>
    <row r="4" spans="1:29" ht="18" x14ac:dyDescent="0.25">
      <c r="A4" s="4"/>
      <c r="B4" s="5"/>
      <c r="C4" s="7" t="s">
        <v>3</v>
      </c>
      <c r="D4" s="7">
        <v>5</v>
      </c>
      <c r="E4" s="14"/>
      <c r="F4" s="14"/>
      <c r="G4" s="15"/>
      <c r="H4" s="15"/>
      <c r="I4" s="14"/>
      <c r="J4" s="9"/>
      <c r="K4" s="9"/>
      <c r="L4" s="9"/>
      <c r="M4" s="10"/>
    </row>
    <row r="5" spans="1:29" ht="18" x14ac:dyDescent="0.25">
      <c r="A5" s="4"/>
      <c r="B5" s="5"/>
      <c r="C5" s="7" t="s">
        <v>4</v>
      </c>
      <c r="D5" s="7">
        <v>4</v>
      </c>
      <c r="E5" s="4"/>
      <c r="F5" s="4"/>
      <c r="G5" s="8"/>
      <c r="H5" s="8"/>
      <c r="I5" s="4"/>
      <c r="J5" s="9"/>
      <c r="K5" s="9"/>
      <c r="L5" s="9"/>
      <c r="M5" s="10"/>
    </row>
    <row r="6" spans="1:29" x14ac:dyDescent="0.2">
      <c r="A6" s="16">
        <v>1</v>
      </c>
      <c r="B6" s="17">
        <v>2</v>
      </c>
      <c r="C6" s="16">
        <v>3</v>
      </c>
      <c r="D6" s="17">
        <v>4</v>
      </c>
      <c r="E6" s="16">
        <v>5</v>
      </c>
      <c r="F6" s="17">
        <v>6</v>
      </c>
      <c r="G6" s="16">
        <v>7</v>
      </c>
      <c r="H6" s="17">
        <v>8</v>
      </c>
      <c r="I6" s="16">
        <v>9</v>
      </c>
      <c r="J6" s="17">
        <v>10</v>
      </c>
      <c r="K6" s="16">
        <v>11</v>
      </c>
      <c r="L6" s="17">
        <v>12</v>
      </c>
      <c r="M6" s="16">
        <v>13</v>
      </c>
      <c r="N6" s="17">
        <v>14</v>
      </c>
      <c r="O6" s="16">
        <v>15</v>
      </c>
      <c r="P6" s="17">
        <v>16</v>
      </c>
      <c r="Q6" s="16">
        <v>17</v>
      </c>
      <c r="R6" s="17">
        <v>18</v>
      </c>
      <c r="S6" s="16">
        <v>19</v>
      </c>
      <c r="T6" s="17">
        <v>20</v>
      </c>
      <c r="U6" s="16">
        <v>21</v>
      </c>
      <c r="V6" s="18">
        <v>22</v>
      </c>
      <c r="W6" s="19">
        <v>23</v>
      </c>
      <c r="X6" s="20">
        <v>24</v>
      </c>
      <c r="Y6" s="16">
        <v>25</v>
      </c>
      <c r="Z6" s="17">
        <v>26</v>
      </c>
      <c r="AA6" s="21">
        <v>27</v>
      </c>
    </row>
    <row r="7" spans="1:29" x14ac:dyDescent="0.2">
      <c r="A7" s="10"/>
      <c r="B7" s="22"/>
      <c r="C7" s="10"/>
      <c r="D7" s="15"/>
      <c r="E7" s="15"/>
      <c r="F7" s="15"/>
      <c r="G7" s="15"/>
      <c r="H7" s="15"/>
      <c r="I7" s="10"/>
      <c r="J7" s="10"/>
      <c r="K7" s="10"/>
      <c r="L7" s="10"/>
      <c r="M7" s="10"/>
    </row>
    <row r="8" spans="1:29" s="12" customFormat="1" ht="51" x14ac:dyDescent="0.2">
      <c r="A8" s="227" t="s">
        <v>5</v>
      </c>
      <c r="B8" s="23" t="s">
        <v>6</v>
      </c>
      <c r="C8" s="228" t="s">
        <v>7</v>
      </c>
      <c r="D8" s="227" t="s">
        <v>8</v>
      </c>
      <c r="E8" s="24" t="s">
        <v>6</v>
      </c>
      <c r="F8" s="224" t="s">
        <v>9</v>
      </c>
      <c r="G8" s="224"/>
      <c r="H8" s="24" t="s">
        <v>10</v>
      </c>
      <c r="I8" s="24" t="s">
        <v>11</v>
      </c>
      <c r="J8" s="24" t="s">
        <v>12</v>
      </c>
      <c r="K8" s="227" t="s">
        <v>13</v>
      </c>
      <c r="L8" s="230" t="s">
        <v>14</v>
      </c>
      <c r="M8" s="224" t="s">
        <v>15</v>
      </c>
      <c r="N8" s="224"/>
      <c r="O8" s="224" t="s">
        <v>16</v>
      </c>
      <c r="P8" s="224"/>
      <c r="Q8" s="224" t="s">
        <v>17</v>
      </c>
      <c r="R8" s="24" t="s">
        <v>18</v>
      </c>
      <c r="S8" s="25" t="s">
        <v>19</v>
      </c>
      <c r="T8" s="25" t="s">
        <v>20</v>
      </c>
      <c r="U8" s="25" t="s">
        <v>21</v>
      </c>
      <c r="V8" s="26" t="s">
        <v>22</v>
      </c>
      <c r="W8" s="27" t="s">
        <v>23</v>
      </c>
      <c r="X8" s="28" t="s">
        <v>24</v>
      </c>
      <c r="Y8" s="29" t="s">
        <v>25</v>
      </c>
      <c r="Z8" s="29" t="s">
        <v>26</v>
      </c>
      <c r="AA8" s="30" t="s">
        <v>27</v>
      </c>
    </row>
    <row r="9" spans="1:29" s="12" customFormat="1" x14ac:dyDescent="0.2">
      <c r="A9" s="224"/>
      <c r="B9" s="31" t="s">
        <v>28</v>
      </c>
      <c r="C9" s="229"/>
      <c r="D9" s="224"/>
      <c r="E9" s="32" t="s">
        <v>29</v>
      </c>
      <c r="F9" s="32" t="s">
        <v>30</v>
      </c>
      <c r="G9" s="32" t="s">
        <v>31</v>
      </c>
      <c r="H9" s="32"/>
      <c r="I9" s="33" t="s">
        <v>32</v>
      </c>
      <c r="J9" s="32"/>
      <c r="K9" s="224"/>
      <c r="L9" s="230"/>
      <c r="M9" s="32" t="s">
        <v>33</v>
      </c>
      <c r="N9" s="32" t="s">
        <v>34</v>
      </c>
      <c r="O9" s="32" t="s">
        <v>35</v>
      </c>
      <c r="P9" s="32" t="s">
        <v>36</v>
      </c>
      <c r="Q9" s="224"/>
      <c r="R9" s="24"/>
      <c r="S9" s="24"/>
      <c r="T9" s="24"/>
      <c r="U9" s="24"/>
      <c r="V9" s="34"/>
      <c r="W9" s="35"/>
      <c r="X9" s="36"/>
      <c r="Y9" s="37"/>
      <c r="Z9" s="38"/>
      <c r="AA9" s="39"/>
    </row>
    <row r="10" spans="1:29" s="40" customFormat="1" ht="13.5" thickBot="1" x14ac:dyDescent="0.25">
      <c r="B10" s="41"/>
      <c r="D10" s="42"/>
      <c r="E10" s="42"/>
      <c r="F10" s="43"/>
      <c r="G10" s="43"/>
      <c r="H10" s="43"/>
      <c r="I10" s="42"/>
      <c r="J10" s="44"/>
      <c r="K10" s="45"/>
      <c r="L10" s="45"/>
      <c r="V10" s="46"/>
      <c r="W10" s="47"/>
      <c r="X10" s="48"/>
      <c r="Y10" s="49"/>
      <c r="Z10" s="42"/>
      <c r="AA10" s="50"/>
    </row>
    <row r="11" spans="1:29" s="12" customFormat="1" ht="13.5" thickTop="1" x14ac:dyDescent="0.2">
      <c r="A11" s="51"/>
      <c r="B11" s="52"/>
      <c r="C11" s="53" t="s">
        <v>37</v>
      </c>
      <c r="D11" s="51"/>
      <c r="E11" s="54"/>
      <c r="F11" s="55"/>
      <c r="G11" s="56"/>
      <c r="H11" s="57"/>
      <c r="I11" s="58"/>
      <c r="J11" s="59"/>
      <c r="K11" s="60"/>
      <c r="L11" s="59"/>
      <c r="M11" s="54"/>
      <c r="N11" s="54"/>
      <c r="O11" s="61" t="str">
        <f>IF(A11&lt;&gt;"",M11*2^9+A11,"")</f>
        <v/>
      </c>
      <c r="P11" s="62" t="str">
        <f>IF(A11&lt;&gt;"","0x" &amp;DEC2HEX( O11,4),"")</f>
        <v/>
      </c>
      <c r="Q11" s="63"/>
      <c r="R11" s="64"/>
      <c r="S11" s="38"/>
      <c r="T11" s="38"/>
      <c r="U11" s="38"/>
      <c r="V11" s="11"/>
      <c r="X11" s="13"/>
      <c r="Y11"/>
      <c r="Z11"/>
      <c r="AA11" s="13"/>
      <c r="AC11" s="12" t="str">
        <f>PROPER(C11)</f>
        <v/>
      </c>
    </row>
    <row r="12" spans="1:29" s="12" customFormat="1" x14ac:dyDescent="0.2">
      <c r="A12" s="51"/>
      <c r="B12" s="52"/>
      <c r="C12" s="53"/>
      <c r="D12" s="51"/>
      <c r="E12" s="65"/>
      <c r="F12" s="55"/>
      <c r="G12" s="56"/>
      <c r="H12" s="57"/>
      <c r="I12" s="58"/>
      <c r="J12" s="59"/>
      <c r="K12" s="60"/>
      <c r="L12" s="59"/>
      <c r="M12" s="54">
        <f>$D$5</f>
        <v>4</v>
      </c>
      <c r="N12" s="54">
        <f>$D$4</f>
        <v>5</v>
      </c>
      <c r="O12" s="61" t="str">
        <f t="shared" ref="O12:O77" si="0">IF(A12&lt;&gt;"",M12*2^9+A12,"")</f>
        <v/>
      </c>
      <c r="P12" s="62" t="str">
        <f t="shared" ref="P12:P77" si="1">IF(A12&lt;&gt;"","0x" &amp;DEC2HEX( O12,4),"")</f>
        <v/>
      </c>
      <c r="Q12" s="63"/>
      <c r="R12" s="64"/>
      <c r="S12" s="38"/>
      <c r="T12" s="38"/>
      <c r="U12" s="38"/>
      <c r="V12" s="11"/>
      <c r="X12" s="13"/>
      <c r="Y12"/>
      <c r="Z12"/>
      <c r="AA12" s="13"/>
    </row>
    <row r="13" spans="1:29" s="12" customFormat="1" x14ac:dyDescent="0.2">
      <c r="A13" s="214">
        <v>2</v>
      </c>
      <c r="B13" s="210"/>
      <c r="C13" s="213" t="s">
        <v>445</v>
      </c>
      <c r="D13" s="214" t="s">
        <v>382</v>
      </c>
      <c r="E13" s="65" t="s">
        <v>66</v>
      </c>
      <c r="F13" s="55">
        <v>0</v>
      </c>
      <c r="G13" s="56">
        <v>0</v>
      </c>
      <c r="H13" s="57">
        <v>0</v>
      </c>
      <c r="I13" s="58">
        <v>1</v>
      </c>
      <c r="J13" s="212"/>
      <c r="K13" s="211"/>
      <c r="L13" s="212" t="s">
        <v>443</v>
      </c>
      <c r="M13" s="54">
        <f t="shared" ref="M13:M14" si="2">$D$5</f>
        <v>4</v>
      </c>
      <c r="N13" s="54">
        <f t="shared" ref="N13:N14" si="3">$D$4</f>
        <v>5</v>
      </c>
      <c r="O13" s="61">
        <f t="shared" ref="O13:O14" si="4">IF(A13&lt;&gt;"",M13*2^9+A13,"")</f>
        <v>2050</v>
      </c>
      <c r="P13" s="62" t="str">
        <f t="shared" ref="P13:P14" si="5">IF(A13&lt;&gt;"","0x" &amp;DEC2HEX( O13,4),"")</f>
        <v>0x0802</v>
      </c>
      <c r="Q13" s="63"/>
      <c r="R13" s="64"/>
      <c r="S13" s="38"/>
      <c r="T13" s="38"/>
      <c r="U13" s="38"/>
      <c r="V13" s="11"/>
      <c r="X13" s="13"/>
      <c r="Y13"/>
      <c r="Z13"/>
      <c r="AA13" s="13"/>
    </row>
    <row r="14" spans="1:29" s="12" customFormat="1" x14ac:dyDescent="0.2">
      <c r="A14" s="214">
        <v>3</v>
      </c>
      <c r="B14" s="210"/>
      <c r="C14" s="213" t="s">
        <v>446</v>
      </c>
      <c r="D14" s="214" t="s">
        <v>238</v>
      </c>
      <c r="E14" s="65" t="s">
        <v>66</v>
      </c>
      <c r="F14" s="55">
        <v>0</v>
      </c>
      <c r="G14" s="56">
        <v>0</v>
      </c>
      <c r="H14" s="57">
        <v>0</v>
      </c>
      <c r="I14" s="58">
        <v>1</v>
      </c>
      <c r="J14" s="212"/>
      <c r="K14" s="211"/>
      <c r="L14" s="212" t="s">
        <v>444</v>
      </c>
      <c r="M14" s="54">
        <f t="shared" si="2"/>
        <v>4</v>
      </c>
      <c r="N14" s="54">
        <f t="shared" si="3"/>
        <v>5</v>
      </c>
      <c r="O14" s="61">
        <f t="shared" si="4"/>
        <v>2051</v>
      </c>
      <c r="P14" s="62" t="str">
        <f t="shared" si="5"/>
        <v>0x0803</v>
      </c>
      <c r="Q14" s="63"/>
      <c r="R14" s="64"/>
      <c r="S14" s="38"/>
      <c r="T14" s="38"/>
      <c r="U14" s="38"/>
      <c r="V14" s="11"/>
      <c r="X14" s="13"/>
      <c r="Y14"/>
      <c r="Z14"/>
      <c r="AA14" s="13"/>
    </row>
    <row r="15" spans="1:29" x14ac:dyDescent="0.2">
      <c r="A15" s="51">
        <v>4</v>
      </c>
      <c r="B15" s="52"/>
      <c r="C15" s="53" t="s">
        <v>38</v>
      </c>
      <c r="D15" s="51"/>
      <c r="E15" s="65" t="s">
        <v>39</v>
      </c>
      <c r="F15" s="51">
        <v>0</v>
      </c>
      <c r="G15" s="66">
        <v>100</v>
      </c>
      <c r="H15" s="67">
        <v>0</v>
      </c>
      <c r="I15" s="58">
        <v>1</v>
      </c>
      <c r="J15" s="59" t="s">
        <v>40</v>
      </c>
      <c r="K15" s="60"/>
      <c r="L15" s="59" t="s">
        <v>41</v>
      </c>
      <c r="M15" s="54">
        <f>$D$5</f>
        <v>4</v>
      </c>
      <c r="N15" s="54">
        <f>$D$4</f>
        <v>5</v>
      </c>
      <c r="O15" s="61">
        <f t="shared" si="0"/>
        <v>2052</v>
      </c>
      <c r="P15" s="62" t="str">
        <f t="shared" si="1"/>
        <v>0x0804</v>
      </c>
      <c r="Q15" s="63"/>
      <c r="R15" s="64"/>
      <c r="S15" s="38"/>
      <c r="T15" s="38"/>
      <c r="U15" s="38"/>
      <c r="Y15"/>
      <c r="Z15"/>
      <c r="AC15" s="12"/>
    </row>
    <row r="16" spans="1:29" x14ac:dyDescent="0.2">
      <c r="A16" s="51">
        <v>5</v>
      </c>
      <c r="B16" s="52"/>
      <c r="C16" s="53" t="s">
        <v>42</v>
      </c>
      <c r="D16" s="51"/>
      <c r="E16" s="65" t="s">
        <v>39</v>
      </c>
      <c r="F16" s="51">
        <v>0</v>
      </c>
      <c r="G16" s="66">
        <v>100</v>
      </c>
      <c r="H16" s="67">
        <v>0</v>
      </c>
      <c r="I16" s="58">
        <v>1</v>
      </c>
      <c r="J16" s="59" t="s">
        <v>40</v>
      </c>
      <c r="K16" s="60"/>
      <c r="L16" s="59" t="s">
        <v>43</v>
      </c>
      <c r="M16" s="54">
        <f t="shared" ref="M16:M80" si="6">$D$5</f>
        <v>4</v>
      </c>
      <c r="N16" s="54">
        <f t="shared" ref="N16:N80" si="7">$D$4</f>
        <v>5</v>
      </c>
      <c r="O16" s="61">
        <f t="shared" si="0"/>
        <v>2053</v>
      </c>
      <c r="P16" s="62" t="str">
        <f t="shared" si="1"/>
        <v>0x0805</v>
      </c>
      <c r="Q16" s="63"/>
      <c r="R16" s="64"/>
      <c r="S16" s="38"/>
      <c r="T16" s="38"/>
      <c r="U16" s="38"/>
      <c r="Y16"/>
      <c r="Z16"/>
      <c r="AC16" s="12"/>
    </row>
    <row r="17" spans="1:29" x14ac:dyDescent="0.2">
      <c r="A17" s="51">
        <v>6</v>
      </c>
      <c r="B17" s="52"/>
      <c r="C17" s="53" t="s">
        <v>44</v>
      </c>
      <c r="D17" s="51"/>
      <c r="E17" s="65" t="s">
        <v>39</v>
      </c>
      <c r="F17" s="51">
        <v>0</v>
      </c>
      <c r="G17" s="66">
        <v>100</v>
      </c>
      <c r="H17" s="67">
        <v>0</v>
      </c>
      <c r="I17" s="58">
        <v>0.1</v>
      </c>
      <c r="J17" s="53" t="s">
        <v>45</v>
      </c>
      <c r="K17" s="60"/>
      <c r="L17" s="59" t="s">
        <v>46</v>
      </c>
      <c r="M17" s="54">
        <f t="shared" si="6"/>
        <v>4</v>
      </c>
      <c r="N17" s="54">
        <f t="shared" si="7"/>
        <v>5</v>
      </c>
      <c r="O17" s="61">
        <f t="shared" si="0"/>
        <v>2054</v>
      </c>
      <c r="P17" s="62" t="str">
        <f t="shared" si="1"/>
        <v>0x0806</v>
      </c>
      <c r="Q17" s="63"/>
      <c r="R17" s="64"/>
      <c r="S17" s="38"/>
      <c r="T17" s="38"/>
      <c r="U17" s="38"/>
      <c r="Y17"/>
      <c r="Z17"/>
      <c r="AC17" s="12"/>
    </row>
    <row r="18" spans="1:29" x14ac:dyDescent="0.2">
      <c r="A18" s="51">
        <v>7</v>
      </c>
      <c r="B18" s="52"/>
      <c r="C18" s="59" t="s">
        <v>47</v>
      </c>
      <c r="D18" s="51"/>
      <c r="E18" s="65" t="s">
        <v>39</v>
      </c>
      <c r="F18" s="51">
        <v>-10000</v>
      </c>
      <c r="G18" s="66">
        <v>10000</v>
      </c>
      <c r="H18" s="67">
        <v>0</v>
      </c>
      <c r="I18" s="58">
        <v>1</v>
      </c>
      <c r="J18" s="53" t="s">
        <v>48</v>
      </c>
      <c r="K18" s="60"/>
      <c r="L18" s="59" t="s">
        <v>49</v>
      </c>
      <c r="M18" s="54">
        <f t="shared" si="6"/>
        <v>4</v>
      </c>
      <c r="N18" s="54">
        <f t="shared" si="7"/>
        <v>5</v>
      </c>
      <c r="O18" s="61">
        <f t="shared" si="0"/>
        <v>2055</v>
      </c>
      <c r="P18" s="62" t="str">
        <f t="shared" si="1"/>
        <v>0x0807</v>
      </c>
      <c r="Q18" s="63"/>
      <c r="R18" s="64"/>
      <c r="S18" s="38"/>
      <c r="T18" s="38"/>
      <c r="U18" s="38"/>
      <c r="Y18"/>
      <c r="Z18"/>
      <c r="AC18" s="12"/>
    </row>
    <row r="19" spans="1:29" x14ac:dyDescent="0.2">
      <c r="A19" s="51">
        <v>8</v>
      </c>
      <c r="B19" s="52"/>
      <c r="C19" s="59" t="s">
        <v>50</v>
      </c>
      <c r="D19" s="51"/>
      <c r="E19" s="65" t="s">
        <v>39</v>
      </c>
      <c r="F19" s="51">
        <v>-10000</v>
      </c>
      <c r="G19" s="66">
        <v>10000</v>
      </c>
      <c r="H19" s="67">
        <v>0</v>
      </c>
      <c r="I19" s="58">
        <v>1</v>
      </c>
      <c r="J19" s="53" t="s">
        <v>48</v>
      </c>
      <c r="K19" s="60"/>
      <c r="L19" s="53" t="s">
        <v>51</v>
      </c>
      <c r="M19" s="54">
        <f t="shared" si="6"/>
        <v>4</v>
      </c>
      <c r="N19" s="54">
        <f t="shared" si="7"/>
        <v>5</v>
      </c>
      <c r="O19" s="61">
        <f t="shared" si="0"/>
        <v>2056</v>
      </c>
      <c r="P19" s="62" t="str">
        <f t="shared" si="1"/>
        <v>0x0808</v>
      </c>
      <c r="Q19" s="63"/>
      <c r="R19" s="64"/>
      <c r="S19" s="38"/>
      <c r="T19" s="38"/>
      <c r="U19" s="38"/>
      <c r="Y19"/>
      <c r="Z19"/>
      <c r="AC19" s="12"/>
    </row>
    <row r="20" spans="1:29" x14ac:dyDescent="0.2">
      <c r="A20" s="51">
        <v>9</v>
      </c>
      <c r="B20" s="52"/>
      <c r="C20" s="59" t="s">
        <v>52</v>
      </c>
      <c r="D20" s="51"/>
      <c r="E20" s="65" t="s">
        <v>39</v>
      </c>
      <c r="F20" s="51">
        <v>-10000</v>
      </c>
      <c r="G20" s="66">
        <v>10000</v>
      </c>
      <c r="H20" s="67">
        <v>0</v>
      </c>
      <c r="I20" s="60">
        <v>1</v>
      </c>
      <c r="J20" s="53" t="s">
        <v>48</v>
      </c>
      <c r="K20" s="60"/>
      <c r="L20" s="53" t="s">
        <v>53</v>
      </c>
      <c r="M20" s="54">
        <f t="shared" si="6"/>
        <v>4</v>
      </c>
      <c r="N20" s="54">
        <f t="shared" si="7"/>
        <v>5</v>
      </c>
      <c r="O20" s="61">
        <f t="shared" si="0"/>
        <v>2057</v>
      </c>
      <c r="P20" s="62" t="str">
        <f t="shared" si="1"/>
        <v>0x0809</v>
      </c>
      <c r="Q20" s="63"/>
      <c r="R20" s="64"/>
      <c r="S20" s="38"/>
      <c r="T20" s="38"/>
      <c r="U20" s="38"/>
      <c r="Y20"/>
      <c r="Z20"/>
      <c r="AC20" s="12"/>
    </row>
    <row r="21" spans="1:29" x14ac:dyDescent="0.2">
      <c r="A21" s="51">
        <v>10</v>
      </c>
      <c r="B21" s="52"/>
      <c r="C21" s="59" t="s">
        <v>54</v>
      </c>
      <c r="D21" s="51"/>
      <c r="E21" s="65" t="s">
        <v>39</v>
      </c>
      <c r="F21" s="51">
        <v>-10000</v>
      </c>
      <c r="G21" s="66">
        <v>10000</v>
      </c>
      <c r="H21" s="67">
        <v>0</v>
      </c>
      <c r="I21" s="58">
        <v>1</v>
      </c>
      <c r="J21" s="53" t="s">
        <v>48</v>
      </c>
      <c r="K21" s="60"/>
      <c r="L21" s="53" t="s">
        <v>55</v>
      </c>
      <c r="M21" s="54">
        <f t="shared" si="6"/>
        <v>4</v>
      </c>
      <c r="N21" s="54">
        <f t="shared" si="7"/>
        <v>5</v>
      </c>
      <c r="O21" s="61">
        <f t="shared" si="0"/>
        <v>2058</v>
      </c>
      <c r="P21" s="62" t="str">
        <f t="shared" si="1"/>
        <v>0x080A</v>
      </c>
      <c r="Q21" s="63"/>
      <c r="R21" s="64"/>
      <c r="S21" s="38"/>
      <c r="T21" s="38"/>
      <c r="U21" s="38"/>
      <c r="Y21"/>
      <c r="Z21"/>
      <c r="AC21" s="12"/>
    </row>
    <row r="22" spans="1:29" x14ac:dyDescent="0.2">
      <c r="A22" s="51"/>
      <c r="B22" s="52"/>
      <c r="C22" s="59" t="s">
        <v>37</v>
      </c>
      <c r="D22" s="51"/>
      <c r="E22" s="65"/>
      <c r="F22" s="51"/>
      <c r="G22" s="68"/>
      <c r="H22" s="67"/>
      <c r="I22" s="58"/>
      <c r="J22" s="53"/>
      <c r="K22" s="60"/>
      <c r="L22" s="53"/>
      <c r="M22" s="54">
        <f t="shared" si="6"/>
        <v>4</v>
      </c>
      <c r="N22" s="54">
        <f t="shared" si="7"/>
        <v>5</v>
      </c>
      <c r="O22" s="61" t="str">
        <f t="shared" si="0"/>
        <v/>
      </c>
      <c r="P22" s="62" t="str">
        <f t="shared" si="1"/>
        <v/>
      </c>
      <c r="Q22" s="63"/>
      <c r="R22" s="64"/>
      <c r="S22" s="38"/>
      <c r="T22" s="38"/>
      <c r="U22" s="38"/>
      <c r="Y22"/>
      <c r="Z22"/>
      <c r="AC22" s="12"/>
    </row>
    <row r="23" spans="1:29" x14ac:dyDescent="0.2">
      <c r="A23" s="51"/>
      <c r="B23" s="52"/>
      <c r="C23" s="59" t="s">
        <v>37</v>
      </c>
      <c r="D23" s="51"/>
      <c r="E23" s="60"/>
      <c r="F23" s="51"/>
      <c r="G23" s="68"/>
      <c r="H23" s="67"/>
      <c r="I23" s="60"/>
      <c r="J23" s="53"/>
      <c r="K23" s="60"/>
      <c r="L23" s="53"/>
      <c r="M23" s="54">
        <f t="shared" si="6"/>
        <v>4</v>
      </c>
      <c r="N23" s="54">
        <f t="shared" si="7"/>
        <v>5</v>
      </c>
      <c r="O23" s="61" t="str">
        <f t="shared" si="0"/>
        <v/>
      </c>
      <c r="P23" s="62" t="str">
        <f t="shared" si="1"/>
        <v/>
      </c>
      <c r="Q23" s="63"/>
      <c r="R23" s="64"/>
      <c r="S23" s="38"/>
      <c r="T23" s="38"/>
      <c r="U23" s="69"/>
      <c r="V23" s="12"/>
      <c r="Y23"/>
      <c r="Z23"/>
      <c r="AC23" s="12"/>
    </row>
    <row r="24" spans="1:29" x14ac:dyDescent="0.2">
      <c r="A24" s="51">
        <v>13</v>
      </c>
      <c r="B24" s="52"/>
      <c r="C24" s="59" t="s">
        <v>56</v>
      </c>
      <c r="D24" s="51"/>
      <c r="E24" s="65" t="s">
        <v>39</v>
      </c>
      <c r="F24" s="51">
        <v>0</v>
      </c>
      <c r="G24" s="56">
        <v>20</v>
      </c>
      <c r="H24" s="57"/>
      <c r="I24" s="60">
        <v>3.5999999999999999E-3</v>
      </c>
      <c r="J24" s="53" t="s">
        <v>57</v>
      </c>
      <c r="K24" s="60"/>
      <c r="L24" s="53" t="s">
        <v>58</v>
      </c>
      <c r="M24" s="54">
        <f t="shared" si="6"/>
        <v>4</v>
      </c>
      <c r="N24" s="54">
        <f t="shared" si="7"/>
        <v>5</v>
      </c>
      <c r="O24" s="61">
        <f t="shared" si="0"/>
        <v>2061</v>
      </c>
      <c r="P24" s="62" t="str">
        <f t="shared" si="1"/>
        <v>0x080D</v>
      </c>
      <c r="Q24" s="70" t="s">
        <v>59</v>
      </c>
      <c r="R24" s="64"/>
      <c r="S24" s="38"/>
      <c r="T24" s="38"/>
      <c r="U24" s="71" t="s">
        <v>60</v>
      </c>
      <c r="V24" s="12"/>
      <c r="Y24"/>
      <c r="Z24"/>
      <c r="AC24" s="12"/>
    </row>
    <row r="25" spans="1:29" x14ac:dyDescent="0.2">
      <c r="A25" s="51">
        <v>14</v>
      </c>
      <c r="B25" s="52"/>
      <c r="C25" s="59" t="s">
        <v>61</v>
      </c>
      <c r="D25" s="51"/>
      <c r="E25" s="65" t="s">
        <v>39</v>
      </c>
      <c r="F25" s="51">
        <v>0</v>
      </c>
      <c r="G25" s="56">
        <v>20</v>
      </c>
      <c r="H25" s="57"/>
      <c r="I25" s="60">
        <v>3.5999999999999999E-3</v>
      </c>
      <c r="J25" s="53" t="s">
        <v>57</v>
      </c>
      <c r="K25" s="60"/>
      <c r="L25" s="53" t="s">
        <v>62</v>
      </c>
      <c r="M25" s="54">
        <f t="shared" si="6"/>
        <v>4</v>
      </c>
      <c r="N25" s="54">
        <f t="shared" si="7"/>
        <v>5</v>
      </c>
      <c r="O25" s="61">
        <f t="shared" si="0"/>
        <v>2062</v>
      </c>
      <c r="P25" s="62" t="str">
        <f t="shared" si="1"/>
        <v>0x080E</v>
      </c>
      <c r="Q25" s="70" t="s">
        <v>59</v>
      </c>
      <c r="R25" s="64"/>
      <c r="S25" s="38"/>
      <c r="T25" s="38"/>
      <c r="U25" s="71" t="s">
        <v>60</v>
      </c>
      <c r="V25" s="12"/>
      <c r="Y25"/>
      <c r="Z25"/>
      <c r="AC25" s="12"/>
    </row>
    <row r="26" spans="1:29" x14ac:dyDescent="0.2">
      <c r="A26" s="51">
        <v>15</v>
      </c>
      <c r="B26" s="52"/>
      <c r="C26" s="59" t="s">
        <v>63</v>
      </c>
      <c r="D26" s="51"/>
      <c r="E26" s="65" t="s">
        <v>39</v>
      </c>
      <c r="F26" s="51">
        <v>-50</v>
      </c>
      <c r="G26" s="56">
        <v>100</v>
      </c>
      <c r="H26" s="57"/>
      <c r="I26" s="60">
        <v>3.5999999999999999E-3</v>
      </c>
      <c r="J26" s="53" t="s">
        <v>57</v>
      </c>
      <c r="K26" s="60"/>
      <c r="L26" s="53" t="s">
        <v>64</v>
      </c>
      <c r="M26" s="54">
        <f t="shared" si="6"/>
        <v>4</v>
      </c>
      <c r="N26" s="54">
        <f t="shared" si="7"/>
        <v>5</v>
      </c>
      <c r="O26" s="61">
        <f t="shared" si="0"/>
        <v>2063</v>
      </c>
      <c r="P26" s="62" t="str">
        <f t="shared" si="1"/>
        <v>0x080F</v>
      </c>
      <c r="Q26" s="70" t="s">
        <v>59</v>
      </c>
      <c r="R26" s="64"/>
      <c r="S26" s="38"/>
      <c r="T26" s="38"/>
      <c r="U26" s="69"/>
      <c r="V26" s="12"/>
      <c r="Y26"/>
      <c r="Z26"/>
      <c r="AC26" s="12"/>
    </row>
    <row r="27" spans="1:29" x14ac:dyDescent="0.2">
      <c r="A27" s="51">
        <v>16</v>
      </c>
      <c r="B27" s="52"/>
      <c r="C27" s="59" t="s">
        <v>65</v>
      </c>
      <c r="D27" s="51"/>
      <c r="E27" s="60" t="s">
        <v>66</v>
      </c>
      <c r="F27" s="55">
        <v>0</v>
      </c>
      <c r="G27" s="55">
        <v>0</v>
      </c>
      <c r="H27" s="72"/>
      <c r="I27" s="60"/>
      <c r="J27" s="53"/>
      <c r="K27" s="60"/>
      <c r="L27" s="53" t="s">
        <v>67</v>
      </c>
      <c r="M27" s="54">
        <f t="shared" si="6"/>
        <v>4</v>
      </c>
      <c r="N27" s="54">
        <f t="shared" si="7"/>
        <v>5</v>
      </c>
      <c r="O27" s="61">
        <f t="shared" si="0"/>
        <v>2064</v>
      </c>
      <c r="P27" s="62" t="str">
        <f t="shared" si="1"/>
        <v>0x0810</v>
      </c>
      <c r="Q27" s="63"/>
      <c r="R27" s="64"/>
      <c r="S27" s="38"/>
      <c r="T27" s="38"/>
      <c r="U27" s="69"/>
      <c r="V27" s="12"/>
      <c r="Y27" s="59" t="s">
        <v>65</v>
      </c>
      <c r="Z27" s="12" t="s">
        <v>68</v>
      </c>
      <c r="AA27" s="13">
        <v>0</v>
      </c>
      <c r="AC27" s="12"/>
    </row>
    <row r="28" spans="1:29" x14ac:dyDescent="0.2">
      <c r="A28" s="51"/>
      <c r="B28" s="52"/>
      <c r="C28" s="60" t="s">
        <v>69</v>
      </c>
      <c r="D28" s="51"/>
      <c r="E28" s="60"/>
      <c r="F28" s="55"/>
      <c r="G28" s="55"/>
      <c r="H28" s="72"/>
      <c r="I28" s="60"/>
      <c r="J28" s="53"/>
      <c r="K28" s="60"/>
      <c r="L28" s="53"/>
      <c r="M28" s="54">
        <f t="shared" si="6"/>
        <v>4</v>
      </c>
      <c r="N28" s="54">
        <f t="shared" si="7"/>
        <v>5</v>
      </c>
      <c r="O28" s="61" t="str">
        <f t="shared" si="0"/>
        <v/>
      </c>
      <c r="P28" s="62" t="str">
        <f t="shared" si="1"/>
        <v/>
      </c>
      <c r="Q28" s="63"/>
      <c r="R28" s="64"/>
      <c r="S28" s="38"/>
      <c r="T28" s="38"/>
      <c r="U28" s="69"/>
      <c r="V28" s="12"/>
      <c r="Y28" s="59" t="s">
        <v>65</v>
      </c>
      <c r="Z28" s="12" t="s">
        <v>70</v>
      </c>
      <c r="AA28" s="13">
        <v>1</v>
      </c>
      <c r="AC28" s="12"/>
    </row>
    <row r="29" spans="1:29" x14ac:dyDescent="0.2">
      <c r="A29" s="51">
        <v>17</v>
      </c>
      <c r="B29" s="52"/>
      <c r="C29" s="59" t="s">
        <v>71</v>
      </c>
      <c r="D29" s="51"/>
      <c r="E29" s="60" t="s">
        <v>66</v>
      </c>
      <c r="F29" s="55">
        <v>0</v>
      </c>
      <c r="G29" s="55">
        <v>0</v>
      </c>
      <c r="H29" s="72"/>
      <c r="I29" s="66"/>
      <c r="J29" s="53"/>
      <c r="K29" s="60"/>
      <c r="L29" s="53" t="s">
        <v>72</v>
      </c>
      <c r="M29" s="54">
        <f t="shared" si="6"/>
        <v>4</v>
      </c>
      <c r="N29" s="54">
        <f t="shared" si="7"/>
        <v>5</v>
      </c>
      <c r="O29" s="61">
        <f t="shared" si="0"/>
        <v>2065</v>
      </c>
      <c r="P29" s="62" t="str">
        <f t="shared" si="1"/>
        <v>0x0811</v>
      </c>
      <c r="Q29" s="63"/>
      <c r="R29" s="64"/>
      <c r="S29" s="38"/>
      <c r="T29" s="38"/>
      <c r="U29" s="69"/>
      <c r="V29" s="12"/>
      <c r="Y29" s="59" t="s">
        <v>71</v>
      </c>
      <c r="Z29" s="12" t="s">
        <v>68</v>
      </c>
      <c r="AA29" s="13">
        <v>0</v>
      </c>
      <c r="AC29" s="12"/>
    </row>
    <row r="30" spans="1:29" x14ac:dyDescent="0.2">
      <c r="A30" s="51"/>
      <c r="B30" s="52"/>
      <c r="C30" s="60" t="s">
        <v>69</v>
      </c>
      <c r="D30" s="51"/>
      <c r="E30" s="60"/>
      <c r="F30" s="55"/>
      <c r="G30" s="55"/>
      <c r="H30" s="72"/>
      <c r="I30" s="66"/>
      <c r="J30" s="53"/>
      <c r="K30" s="60"/>
      <c r="L30" s="53"/>
      <c r="M30" s="54">
        <f t="shared" si="6"/>
        <v>4</v>
      </c>
      <c r="N30" s="54">
        <f t="shared" si="7"/>
        <v>5</v>
      </c>
      <c r="O30" s="61" t="str">
        <f t="shared" si="0"/>
        <v/>
      </c>
      <c r="P30" s="62" t="str">
        <f t="shared" si="1"/>
        <v/>
      </c>
      <c r="Q30" s="63"/>
      <c r="R30" s="64"/>
      <c r="S30" s="38"/>
      <c r="T30" s="38"/>
      <c r="U30" s="69"/>
      <c r="V30" s="12"/>
      <c r="Y30" s="59" t="s">
        <v>71</v>
      </c>
      <c r="Z30" s="12" t="s">
        <v>70</v>
      </c>
      <c r="AA30" s="13">
        <v>1</v>
      </c>
      <c r="AC30" s="12"/>
    </row>
    <row r="31" spans="1:29" x14ac:dyDescent="0.2">
      <c r="A31" s="51">
        <v>18</v>
      </c>
      <c r="B31" s="52"/>
      <c r="C31" s="59" t="s">
        <v>73</v>
      </c>
      <c r="D31" s="51"/>
      <c r="E31" s="65" t="s">
        <v>39</v>
      </c>
      <c r="F31" s="73">
        <v>0</v>
      </c>
      <c r="G31" s="74">
        <v>100</v>
      </c>
      <c r="H31" s="75"/>
      <c r="I31" s="76">
        <v>3.5999999999999999E-3</v>
      </c>
      <c r="J31" s="77" t="s">
        <v>57</v>
      </c>
      <c r="K31" s="76"/>
      <c r="L31" s="77" t="s">
        <v>74</v>
      </c>
      <c r="M31" s="54">
        <f t="shared" si="6"/>
        <v>4</v>
      </c>
      <c r="N31" s="54">
        <f t="shared" si="7"/>
        <v>5</v>
      </c>
      <c r="O31" s="61">
        <f t="shared" si="0"/>
        <v>2066</v>
      </c>
      <c r="P31" s="62" t="str">
        <f t="shared" si="1"/>
        <v>0x0812</v>
      </c>
      <c r="Q31" s="63"/>
      <c r="R31" s="64"/>
      <c r="S31" s="38"/>
      <c r="T31" s="38"/>
      <c r="U31" s="69"/>
      <c r="V31" s="12"/>
      <c r="Y31"/>
      <c r="Z31"/>
      <c r="AC31" s="12"/>
    </row>
    <row r="32" spans="1:29" x14ac:dyDescent="0.2">
      <c r="A32" s="51">
        <v>19</v>
      </c>
      <c r="B32" s="52"/>
      <c r="C32" s="59" t="s">
        <v>75</v>
      </c>
      <c r="D32" s="51"/>
      <c r="E32" s="60" t="s">
        <v>66</v>
      </c>
      <c r="F32" s="55">
        <v>0</v>
      </c>
      <c r="G32" s="55">
        <v>0</v>
      </c>
      <c r="H32" s="72"/>
      <c r="I32" s="78"/>
      <c r="J32" s="53"/>
      <c r="K32" s="60"/>
      <c r="L32" s="53" t="s">
        <v>76</v>
      </c>
      <c r="M32" s="54">
        <f t="shared" si="6"/>
        <v>4</v>
      </c>
      <c r="N32" s="54">
        <f t="shared" si="7"/>
        <v>5</v>
      </c>
      <c r="O32" s="61">
        <f t="shared" si="0"/>
        <v>2067</v>
      </c>
      <c r="P32" s="62" t="str">
        <f t="shared" si="1"/>
        <v>0x0813</v>
      </c>
      <c r="Q32" s="70" t="s">
        <v>77</v>
      </c>
      <c r="R32" s="64"/>
      <c r="S32" s="38"/>
      <c r="T32" s="38"/>
      <c r="U32" s="69"/>
      <c r="V32" s="12"/>
      <c r="Y32" s="59" t="s">
        <v>75</v>
      </c>
      <c r="Z32" s="12" t="s">
        <v>78</v>
      </c>
      <c r="AA32" s="13">
        <v>0</v>
      </c>
      <c r="AB32" s="12"/>
      <c r="AC32" s="12"/>
    </row>
    <row r="33" spans="1:29" x14ac:dyDescent="0.2">
      <c r="A33" s="51"/>
      <c r="B33" s="52"/>
      <c r="C33" s="60" t="s">
        <v>69</v>
      </c>
      <c r="D33" s="51"/>
      <c r="E33" s="60"/>
      <c r="F33" s="55"/>
      <c r="G33" s="55"/>
      <c r="H33" s="72"/>
      <c r="I33" s="78"/>
      <c r="J33" s="53"/>
      <c r="K33" s="60"/>
      <c r="L33" s="53"/>
      <c r="M33" s="54">
        <f t="shared" si="6"/>
        <v>4</v>
      </c>
      <c r="N33" s="54">
        <f t="shared" si="7"/>
        <v>5</v>
      </c>
      <c r="O33" s="61" t="str">
        <f t="shared" si="0"/>
        <v/>
      </c>
      <c r="P33" s="62" t="str">
        <f t="shared" si="1"/>
        <v/>
      </c>
      <c r="Q33" s="63"/>
      <c r="R33" s="64"/>
      <c r="S33" s="38"/>
      <c r="T33" s="38"/>
      <c r="U33" s="69"/>
      <c r="V33" s="12"/>
      <c r="Y33" s="59" t="s">
        <v>75</v>
      </c>
      <c r="Z33" s="12" t="s">
        <v>79</v>
      </c>
      <c r="AA33" s="13">
        <v>1</v>
      </c>
      <c r="AC33" s="12"/>
    </row>
    <row r="34" spans="1:29" x14ac:dyDescent="0.2">
      <c r="A34" s="51">
        <v>20</v>
      </c>
      <c r="B34" s="52"/>
      <c r="C34" s="59" t="s">
        <v>80</v>
      </c>
      <c r="D34" s="51"/>
      <c r="E34" s="60" t="s">
        <v>66</v>
      </c>
      <c r="F34" s="56">
        <v>0</v>
      </c>
      <c r="G34" s="56">
        <v>0</v>
      </c>
      <c r="H34" s="67"/>
      <c r="I34" s="78"/>
      <c r="J34" s="53"/>
      <c r="K34" s="60"/>
      <c r="L34" s="53" t="s">
        <v>81</v>
      </c>
      <c r="M34" s="54">
        <f t="shared" si="6"/>
        <v>4</v>
      </c>
      <c r="N34" s="54">
        <f t="shared" si="7"/>
        <v>5</v>
      </c>
      <c r="O34" s="61">
        <f t="shared" si="0"/>
        <v>2068</v>
      </c>
      <c r="P34" s="62" t="str">
        <f t="shared" si="1"/>
        <v>0x0814</v>
      </c>
      <c r="Q34" s="63"/>
      <c r="R34" s="64"/>
      <c r="S34" s="38"/>
      <c r="T34" s="38"/>
      <c r="U34" s="69"/>
      <c r="V34" s="79"/>
      <c r="W34" s="80"/>
      <c r="Y34" s="59" t="s">
        <v>80</v>
      </c>
      <c r="Z34" s="12" t="s">
        <v>78</v>
      </c>
      <c r="AA34" s="13">
        <v>0</v>
      </c>
      <c r="AC34" s="12"/>
    </row>
    <row r="35" spans="1:29" x14ac:dyDescent="0.2">
      <c r="A35" s="51"/>
      <c r="B35" s="52"/>
      <c r="C35" s="60" t="s">
        <v>69</v>
      </c>
      <c r="D35" s="51"/>
      <c r="E35" s="60"/>
      <c r="F35" s="81"/>
      <c r="G35" s="56"/>
      <c r="H35" s="67"/>
      <c r="I35" s="78"/>
      <c r="J35" s="53"/>
      <c r="K35" s="60"/>
      <c r="L35" s="53"/>
      <c r="M35" s="54">
        <f t="shared" si="6"/>
        <v>4</v>
      </c>
      <c r="N35" s="54">
        <f t="shared" si="7"/>
        <v>5</v>
      </c>
      <c r="O35" s="61" t="str">
        <f t="shared" si="0"/>
        <v/>
      </c>
      <c r="P35" s="62" t="str">
        <f t="shared" si="1"/>
        <v/>
      </c>
      <c r="Q35" s="63"/>
      <c r="R35" s="64"/>
      <c r="S35" s="38"/>
      <c r="T35" s="38"/>
      <c r="U35" s="69"/>
      <c r="V35" s="79"/>
      <c r="W35" s="80"/>
      <c r="Y35" s="59" t="s">
        <v>80</v>
      </c>
      <c r="Z35" s="12" t="s">
        <v>79</v>
      </c>
      <c r="AA35" s="13">
        <v>1</v>
      </c>
      <c r="AC35" s="12"/>
    </row>
    <row r="36" spans="1:29" x14ac:dyDescent="0.2">
      <c r="A36" s="73">
        <v>21</v>
      </c>
      <c r="B36" s="52"/>
      <c r="C36" s="82" t="s">
        <v>82</v>
      </c>
      <c r="D36" s="73"/>
      <c r="E36" s="76" t="s">
        <v>66</v>
      </c>
      <c r="F36" s="73">
        <v>0</v>
      </c>
      <c r="G36" s="74">
        <v>100</v>
      </c>
      <c r="H36" s="75"/>
      <c r="I36" s="76">
        <v>3.5999999999999999E-3</v>
      </c>
      <c r="J36" s="77" t="s">
        <v>57</v>
      </c>
      <c r="K36" s="76"/>
      <c r="L36" s="77" t="s">
        <v>83</v>
      </c>
      <c r="M36" s="54">
        <f t="shared" si="6"/>
        <v>4</v>
      </c>
      <c r="N36" s="54">
        <f t="shared" si="7"/>
        <v>5</v>
      </c>
      <c r="O36" s="61">
        <f t="shared" si="0"/>
        <v>2069</v>
      </c>
      <c r="P36" s="62" t="str">
        <f t="shared" si="1"/>
        <v>0x0815</v>
      </c>
      <c r="Q36" s="70" t="s">
        <v>77</v>
      </c>
      <c r="R36" s="64"/>
      <c r="S36" s="83"/>
      <c r="T36" s="83"/>
      <c r="U36" s="84" t="s">
        <v>60</v>
      </c>
      <c r="V36" s="80"/>
      <c r="W36" s="80"/>
      <c r="X36" s="85"/>
      <c r="Y36" s="80"/>
      <c r="Z36"/>
      <c r="AB36" s="12"/>
      <c r="AC36" s="12"/>
    </row>
    <row r="37" spans="1:29" x14ac:dyDescent="0.2">
      <c r="A37" s="73">
        <v>22</v>
      </c>
      <c r="B37" s="52"/>
      <c r="C37" s="82" t="s">
        <v>84</v>
      </c>
      <c r="D37" s="73"/>
      <c r="E37" s="76" t="s">
        <v>66</v>
      </c>
      <c r="F37" s="73">
        <v>0</v>
      </c>
      <c r="G37" s="74">
        <v>100</v>
      </c>
      <c r="H37" s="75"/>
      <c r="I37" s="76">
        <v>3.5999999999999999E-3</v>
      </c>
      <c r="J37" s="77" t="s">
        <v>57</v>
      </c>
      <c r="K37" s="76"/>
      <c r="L37" s="77" t="s">
        <v>85</v>
      </c>
      <c r="M37" s="54">
        <f t="shared" si="6"/>
        <v>4</v>
      </c>
      <c r="N37" s="54">
        <f t="shared" si="7"/>
        <v>5</v>
      </c>
      <c r="O37" s="61">
        <f t="shared" si="0"/>
        <v>2070</v>
      </c>
      <c r="P37" s="62" t="str">
        <f t="shared" si="1"/>
        <v>0x0816</v>
      </c>
      <c r="Q37" s="70" t="s">
        <v>77</v>
      </c>
      <c r="R37" s="64"/>
      <c r="S37" s="83"/>
      <c r="T37" s="83"/>
      <c r="U37" s="84" t="s">
        <v>60</v>
      </c>
      <c r="V37" s="80"/>
      <c r="W37" s="80"/>
      <c r="X37" s="85"/>
      <c r="Y37" s="80"/>
      <c r="Z37"/>
      <c r="AB37" s="12"/>
      <c r="AC37" s="12"/>
    </row>
    <row r="38" spans="1:29" x14ac:dyDescent="0.2">
      <c r="A38" s="86">
        <v>23</v>
      </c>
      <c r="B38" s="87"/>
      <c r="C38" s="88" t="s">
        <v>86</v>
      </c>
      <c r="D38" s="86"/>
      <c r="E38" s="89" t="s">
        <v>39</v>
      </c>
      <c r="F38" s="90">
        <v>0</v>
      </c>
      <c r="G38" s="90">
        <v>4</v>
      </c>
      <c r="H38" s="91"/>
      <c r="I38" s="92"/>
      <c r="J38" s="93"/>
      <c r="K38" s="94"/>
      <c r="L38" s="93" t="s">
        <v>87</v>
      </c>
      <c r="M38" s="54">
        <f t="shared" si="6"/>
        <v>4</v>
      </c>
      <c r="N38" s="54">
        <f t="shared" si="7"/>
        <v>5</v>
      </c>
      <c r="O38" s="61">
        <f t="shared" si="0"/>
        <v>2071</v>
      </c>
      <c r="P38" s="62" t="str">
        <f t="shared" si="1"/>
        <v>0x0817</v>
      </c>
      <c r="Q38" s="95" t="s">
        <v>59</v>
      </c>
      <c r="R38" s="96" t="s">
        <v>88</v>
      </c>
      <c r="S38" s="97"/>
      <c r="T38" s="97"/>
      <c r="U38" s="98"/>
      <c r="V38" s="99" t="s">
        <v>86</v>
      </c>
      <c r="W38" s="100" t="s">
        <v>68</v>
      </c>
      <c r="X38" s="101">
        <v>0</v>
      </c>
      <c r="Y38" s="102"/>
      <c r="Z38" s="103"/>
      <c r="AA38" s="104"/>
      <c r="AB38" s="103"/>
      <c r="AC38" s="12"/>
    </row>
    <row r="39" spans="1:29" x14ac:dyDescent="0.2">
      <c r="A39" s="73"/>
      <c r="B39" s="52"/>
      <c r="C39" s="60" t="s">
        <v>69</v>
      </c>
      <c r="D39" s="73"/>
      <c r="E39" s="105"/>
      <c r="F39" s="106"/>
      <c r="G39" s="106"/>
      <c r="H39" s="107"/>
      <c r="I39" s="108"/>
      <c r="J39" s="77"/>
      <c r="K39" s="76"/>
      <c r="L39" s="77"/>
      <c r="M39" s="54">
        <f t="shared" si="6"/>
        <v>4</v>
      </c>
      <c r="N39" s="54">
        <f t="shared" si="7"/>
        <v>5</v>
      </c>
      <c r="O39" s="61" t="str">
        <f t="shared" si="0"/>
        <v/>
      </c>
      <c r="P39" s="62" t="str">
        <f t="shared" si="1"/>
        <v/>
      </c>
      <c r="Q39" s="63"/>
      <c r="R39" s="64"/>
      <c r="S39" s="83"/>
      <c r="T39" s="83"/>
      <c r="U39" s="84"/>
      <c r="V39" s="99" t="s">
        <v>86</v>
      </c>
      <c r="W39" s="80" t="s">
        <v>89</v>
      </c>
      <c r="X39" s="85">
        <v>1</v>
      </c>
      <c r="Y39" s="109"/>
      <c r="Z39"/>
      <c r="AB39" s="12"/>
      <c r="AC39" s="12"/>
    </row>
    <row r="40" spans="1:29" x14ac:dyDescent="0.2">
      <c r="A40" s="73"/>
      <c r="B40" s="52"/>
      <c r="C40" s="60" t="s">
        <v>69</v>
      </c>
      <c r="D40" s="73"/>
      <c r="E40" s="105"/>
      <c r="F40" s="106"/>
      <c r="G40" s="106"/>
      <c r="H40" s="107"/>
      <c r="I40" s="108"/>
      <c r="J40" s="77"/>
      <c r="K40" s="76"/>
      <c r="L40" s="77"/>
      <c r="M40" s="54">
        <f t="shared" si="6"/>
        <v>4</v>
      </c>
      <c r="N40" s="54">
        <f t="shared" si="7"/>
        <v>5</v>
      </c>
      <c r="O40" s="61" t="str">
        <f t="shared" si="0"/>
        <v/>
      </c>
      <c r="P40" s="62" t="str">
        <f t="shared" si="1"/>
        <v/>
      </c>
      <c r="Q40" s="63"/>
      <c r="R40" s="38"/>
      <c r="S40" s="83"/>
      <c r="T40" s="83"/>
      <c r="U40" s="84"/>
      <c r="V40" s="99" t="s">
        <v>86</v>
      </c>
      <c r="W40" s="80" t="s">
        <v>90</v>
      </c>
      <c r="X40" s="85">
        <v>2</v>
      </c>
      <c r="Y40" s="109"/>
      <c r="Z40"/>
      <c r="AB40" s="12"/>
      <c r="AC40" s="12"/>
    </row>
    <row r="41" spans="1:29" x14ac:dyDescent="0.2">
      <c r="A41" s="73"/>
      <c r="B41" s="52"/>
      <c r="C41" s="60" t="s">
        <v>69</v>
      </c>
      <c r="D41" s="73"/>
      <c r="E41" s="105"/>
      <c r="F41" s="106"/>
      <c r="G41" s="106"/>
      <c r="H41" s="107"/>
      <c r="I41" s="108"/>
      <c r="J41" s="77"/>
      <c r="K41" s="76"/>
      <c r="L41" s="77"/>
      <c r="M41" s="54">
        <f t="shared" si="6"/>
        <v>4</v>
      </c>
      <c r="N41" s="54">
        <f t="shared" si="7"/>
        <v>5</v>
      </c>
      <c r="O41" s="61" t="str">
        <f t="shared" si="0"/>
        <v/>
      </c>
      <c r="P41" s="62" t="str">
        <f t="shared" si="1"/>
        <v/>
      </c>
      <c r="Q41" s="63"/>
      <c r="R41" s="38"/>
      <c r="S41" s="83"/>
      <c r="T41" s="83"/>
      <c r="U41" s="84"/>
      <c r="V41" s="99" t="s">
        <v>86</v>
      </c>
      <c r="W41" s="80" t="s">
        <v>91</v>
      </c>
      <c r="X41" s="85">
        <v>3</v>
      </c>
      <c r="Y41" s="109"/>
      <c r="Z41"/>
      <c r="AB41" s="12"/>
      <c r="AC41" s="12"/>
    </row>
    <row r="42" spans="1:29" x14ac:dyDescent="0.2">
      <c r="A42" s="73"/>
      <c r="B42" s="52"/>
      <c r="C42" s="60" t="s">
        <v>69</v>
      </c>
      <c r="D42" s="73"/>
      <c r="E42" s="105"/>
      <c r="F42" s="106"/>
      <c r="G42" s="106"/>
      <c r="H42" s="107"/>
      <c r="I42" s="108"/>
      <c r="J42" s="77"/>
      <c r="K42" s="76"/>
      <c r="L42" s="77"/>
      <c r="M42" s="54">
        <f t="shared" si="6"/>
        <v>4</v>
      </c>
      <c r="N42" s="54">
        <f t="shared" si="7"/>
        <v>5</v>
      </c>
      <c r="O42" s="61" t="str">
        <f t="shared" si="0"/>
        <v/>
      </c>
      <c r="P42" s="62" t="str">
        <f t="shared" si="1"/>
        <v/>
      </c>
      <c r="Q42" s="63"/>
      <c r="R42" s="38"/>
      <c r="S42" s="83"/>
      <c r="T42" s="83"/>
      <c r="U42" s="84"/>
      <c r="V42" s="99" t="s">
        <v>86</v>
      </c>
      <c r="W42" s="80" t="s">
        <v>92</v>
      </c>
      <c r="X42" s="85">
        <v>4</v>
      </c>
      <c r="Y42" s="109"/>
      <c r="Z42"/>
      <c r="AB42" s="12"/>
      <c r="AC42" s="12"/>
    </row>
    <row r="43" spans="1:29" x14ac:dyDescent="0.2">
      <c r="A43" s="51">
        <v>24</v>
      </c>
      <c r="B43" s="52"/>
      <c r="C43" s="110" t="s">
        <v>93</v>
      </c>
      <c r="D43" s="51"/>
      <c r="E43" s="65" t="s">
        <v>39</v>
      </c>
      <c r="F43" s="51">
        <v>1</v>
      </c>
      <c r="G43" s="66">
        <v>20</v>
      </c>
      <c r="H43" s="67"/>
      <c r="I43" s="78" t="s">
        <v>94</v>
      </c>
      <c r="J43" s="53" t="s">
        <v>45</v>
      </c>
      <c r="K43" s="60"/>
      <c r="L43" s="53" t="s">
        <v>95</v>
      </c>
      <c r="M43" s="54">
        <f t="shared" si="6"/>
        <v>4</v>
      </c>
      <c r="N43" s="54">
        <f t="shared" si="7"/>
        <v>5</v>
      </c>
      <c r="O43" s="61">
        <f t="shared" si="0"/>
        <v>2072</v>
      </c>
      <c r="P43" s="62" t="str">
        <f t="shared" si="1"/>
        <v>0x0818</v>
      </c>
      <c r="Q43" s="95" t="s">
        <v>59</v>
      </c>
      <c r="R43" s="38"/>
      <c r="S43" s="38"/>
      <c r="T43" s="38"/>
      <c r="U43" s="69" t="s">
        <v>60</v>
      </c>
      <c r="V43" s="12"/>
      <c r="Y43"/>
      <c r="Z43"/>
      <c r="AC43" s="12"/>
    </row>
    <row r="44" spans="1:29" x14ac:dyDescent="0.2">
      <c r="A44" s="51"/>
      <c r="B44" s="52"/>
      <c r="C44" s="110" t="s">
        <v>37</v>
      </c>
      <c r="D44" s="51"/>
      <c r="E44" s="60"/>
      <c r="F44" s="66"/>
      <c r="G44" s="66"/>
      <c r="H44" s="67"/>
      <c r="I44" s="78"/>
      <c r="J44" s="53"/>
      <c r="K44" s="60"/>
      <c r="L44" s="53"/>
      <c r="M44" s="54">
        <f t="shared" si="6"/>
        <v>4</v>
      </c>
      <c r="N44" s="54">
        <f t="shared" si="7"/>
        <v>5</v>
      </c>
      <c r="O44" s="61" t="str">
        <f t="shared" si="0"/>
        <v/>
      </c>
      <c r="P44" s="62" t="str">
        <f t="shared" si="1"/>
        <v/>
      </c>
      <c r="Q44" s="63"/>
      <c r="R44" s="38"/>
      <c r="S44" s="38"/>
      <c r="T44" s="38"/>
      <c r="U44" s="69"/>
      <c r="V44" s="12"/>
      <c r="Y44"/>
      <c r="Z44"/>
      <c r="AC44" s="12"/>
    </row>
    <row r="45" spans="1:29" x14ac:dyDescent="0.2">
      <c r="A45" s="51"/>
      <c r="B45" s="52"/>
      <c r="C45" s="110" t="s">
        <v>37</v>
      </c>
      <c r="D45" s="51"/>
      <c r="E45" s="60"/>
      <c r="F45" s="66"/>
      <c r="G45" s="66"/>
      <c r="H45" s="67"/>
      <c r="I45" s="78"/>
      <c r="J45" s="53"/>
      <c r="K45" s="60"/>
      <c r="L45" s="53"/>
      <c r="M45" s="54">
        <f t="shared" si="6"/>
        <v>4</v>
      </c>
      <c r="N45" s="54">
        <f t="shared" si="7"/>
        <v>5</v>
      </c>
      <c r="O45" s="61" t="str">
        <f t="shared" si="0"/>
        <v/>
      </c>
      <c r="P45" s="62" t="str">
        <f t="shared" si="1"/>
        <v/>
      </c>
      <c r="Q45" s="63"/>
      <c r="R45" s="38"/>
      <c r="S45" s="38"/>
      <c r="T45" s="38"/>
      <c r="U45" s="69"/>
      <c r="V45" s="12"/>
      <c r="Y45"/>
      <c r="Z45"/>
      <c r="AC45" s="12"/>
    </row>
    <row r="46" spans="1:29" x14ac:dyDescent="0.2">
      <c r="A46" s="51"/>
      <c r="B46" s="52"/>
      <c r="C46" s="110" t="s">
        <v>37</v>
      </c>
      <c r="D46" s="51"/>
      <c r="E46" s="60"/>
      <c r="F46" s="66"/>
      <c r="G46" s="66"/>
      <c r="H46" s="67"/>
      <c r="I46" s="78"/>
      <c r="J46" s="53"/>
      <c r="K46" s="60"/>
      <c r="L46" s="53"/>
      <c r="M46" s="54">
        <f t="shared" si="6"/>
        <v>4</v>
      </c>
      <c r="N46" s="54">
        <f t="shared" si="7"/>
        <v>5</v>
      </c>
      <c r="O46" s="61" t="str">
        <f t="shared" si="0"/>
        <v/>
      </c>
      <c r="P46" s="62" t="str">
        <f t="shared" si="1"/>
        <v/>
      </c>
      <c r="Q46" s="63"/>
      <c r="R46" s="38"/>
      <c r="S46" s="38"/>
      <c r="T46" s="38"/>
      <c r="U46" s="69"/>
      <c r="V46" s="12"/>
      <c r="Y46"/>
      <c r="Z46"/>
      <c r="AC46" s="12"/>
    </row>
    <row r="47" spans="1:29" s="124" customFormat="1" x14ac:dyDescent="0.2">
      <c r="A47" s="111">
        <v>28</v>
      </c>
      <c r="B47" s="112"/>
      <c r="C47" s="113" t="s">
        <v>96</v>
      </c>
      <c r="D47" s="111"/>
      <c r="E47" s="114" t="s">
        <v>66</v>
      </c>
      <c r="F47" s="115">
        <v>0</v>
      </c>
      <c r="G47" s="115">
        <v>0</v>
      </c>
      <c r="H47" s="116"/>
      <c r="I47" s="117"/>
      <c r="J47" s="118" t="s">
        <v>97</v>
      </c>
      <c r="K47" s="114"/>
      <c r="L47" s="118" t="s">
        <v>98</v>
      </c>
      <c r="M47" s="54">
        <f t="shared" si="6"/>
        <v>4</v>
      </c>
      <c r="N47" s="54">
        <f t="shared" si="7"/>
        <v>5</v>
      </c>
      <c r="O47" s="61">
        <f t="shared" si="0"/>
        <v>2076</v>
      </c>
      <c r="P47" s="62" t="str">
        <f t="shared" si="1"/>
        <v>0x081C</v>
      </c>
      <c r="Q47" s="119"/>
      <c r="R47" s="120"/>
      <c r="S47" s="120"/>
      <c r="T47" s="120"/>
      <c r="U47" s="121"/>
      <c r="V47" s="122"/>
      <c r="W47" s="122"/>
      <c r="X47" s="123"/>
      <c r="Y47" s="122"/>
      <c r="Z47" s="122"/>
      <c r="AA47" s="123"/>
      <c r="AC47" s="122"/>
    </row>
    <row r="48" spans="1:29" x14ac:dyDescent="0.2">
      <c r="A48" s="51">
        <v>29</v>
      </c>
      <c r="B48" s="52"/>
      <c r="C48" s="59" t="s">
        <v>383</v>
      </c>
      <c r="D48" s="51"/>
      <c r="E48" s="65" t="s">
        <v>39</v>
      </c>
      <c r="F48" s="51">
        <v>0</v>
      </c>
      <c r="G48" s="56">
        <v>100</v>
      </c>
      <c r="H48" s="57"/>
      <c r="I48" s="78">
        <v>0.01</v>
      </c>
      <c r="J48" s="53" t="s">
        <v>57</v>
      </c>
      <c r="K48" s="60"/>
      <c r="L48" s="53" t="s">
        <v>384</v>
      </c>
      <c r="M48" s="54">
        <f t="shared" si="6"/>
        <v>4</v>
      </c>
      <c r="N48" s="54">
        <f t="shared" si="7"/>
        <v>5</v>
      </c>
      <c r="O48" s="61">
        <f t="shared" si="0"/>
        <v>2077</v>
      </c>
      <c r="P48" s="62" t="str">
        <f t="shared" si="1"/>
        <v>0x081D</v>
      </c>
      <c r="Q48" s="63" t="s">
        <v>102</v>
      </c>
      <c r="R48" s="38"/>
      <c r="S48" s="38"/>
      <c r="T48" s="38"/>
      <c r="U48" s="69"/>
      <c r="V48" s="12"/>
      <c r="Y48"/>
      <c r="Z48"/>
      <c r="AC48" s="12"/>
    </row>
    <row r="49" spans="1:29" x14ac:dyDescent="0.2">
      <c r="A49" s="51">
        <v>30</v>
      </c>
      <c r="B49" s="52"/>
      <c r="C49" s="59" t="s">
        <v>99</v>
      </c>
      <c r="D49" s="51"/>
      <c r="E49" s="65" t="s">
        <v>39</v>
      </c>
      <c r="F49" s="51">
        <v>0</v>
      </c>
      <c r="G49" s="56">
        <v>700</v>
      </c>
      <c r="H49" s="57"/>
      <c r="I49" s="78">
        <v>0.01</v>
      </c>
      <c r="J49" s="53" t="s">
        <v>100</v>
      </c>
      <c r="K49" s="60"/>
      <c r="L49" s="53" t="s">
        <v>101</v>
      </c>
      <c r="M49" s="54">
        <f t="shared" si="6"/>
        <v>4</v>
      </c>
      <c r="N49" s="54">
        <f t="shared" si="7"/>
        <v>5</v>
      </c>
      <c r="O49" s="61">
        <f t="shared" si="0"/>
        <v>2078</v>
      </c>
      <c r="P49" s="62" t="str">
        <f t="shared" si="1"/>
        <v>0x081E</v>
      </c>
      <c r="Q49" s="95" t="s">
        <v>102</v>
      </c>
      <c r="R49" s="38"/>
      <c r="S49" s="38"/>
      <c r="T49" s="38"/>
      <c r="U49" s="69"/>
      <c r="V49" s="12"/>
      <c r="Y49"/>
      <c r="Z49"/>
      <c r="AC49" s="12"/>
    </row>
    <row r="50" spans="1:29" x14ac:dyDescent="0.2">
      <c r="A50" s="51">
        <v>31</v>
      </c>
      <c r="B50" s="52"/>
      <c r="C50" s="59" t="s">
        <v>103</v>
      </c>
      <c r="D50" s="51"/>
      <c r="E50" s="125" t="s">
        <v>39</v>
      </c>
      <c r="F50" s="66">
        <v>0</v>
      </c>
      <c r="G50" s="66">
        <v>700</v>
      </c>
      <c r="H50" s="67"/>
      <c r="I50" s="78">
        <v>0.01</v>
      </c>
      <c r="J50" s="53" t="s">
        <v>100</v>
      </c>
      <c r="K50" s="60"/>
      <c r="L50" s="53" t="s">
        <v>104</v>
      </c>
      <c r="M50" s="54">
        <f t="shared" si="6"/>
        <v>4</v>
      </c>
      <c r="N50" s="54">
        <f t="shared" si="7"/>
        <v>5</v>
      </c>
      <c r="O50" s="61">
        <f t="shared" si="0"/>
        <v>2079</v>
      </c>
      <c r="P50" s="62" t="str">
        <f t="shared" si="1"/>
        <v>0x081F</v>
      </c>
      <c r="Q50" s="95" t="s">
        <v>102</v>
      </c>
      <c r="R50" s="38"/>
      <c r="S50" s="38"/>
      <c r="T50" s="38"/>
      <c r="U50" s="69"/>
      <c r="V50" s="12"/>
      <c r="Y50"/>
      <c r="Z50"/>
      <c r="AC50" s="12"/>
    </row>
    <row r="51" spans="1:29" x14ac:dyDescent="0.2">
      <c r="A51" s="51">
        <v>32</v>
      </c>
      <c r="B51" s="52"/>
      <c r="C51" s="110" t="s">
        <v>105</v>
      </c>
      <c r="D51" s="51"/>
      <c r="E51" s="125" t="s">
        <v>39</v>
      </c>
      <c r="F51" s="66">
        <v>0</v>
      </c>
      <c r="G51" s="66">
        <v>700</v>
      </c>
      <c r="H51" s="67"/>
      <c r="I51" s="78">
        <v>0.01</v>
      </c>
      <c r="J51" s="53" t="s">
        <v>100</v>
      </c>
      <c r="K51" s="60"/>
      <c r="L51" s="53" t="s">
        <v>106</v>
      </c>
      <c r="M51" s="54">
        <f t="shared" si="6"/>
        <v>4</v>
      </c>
      <c r="N51" s="54">
        <f t="shared" si="7"/>
        <v>5</v>
      </c>
      <c r="O51" s="61">
        <f t="shared" si="0"/>
        <v>2080</v>
      </c>
      <c r="P51" s="62" t="str">
        <f t="shared" si="1"/>
        <v>0x0820</v>
      </c>
      <c r="Q51" s="95" t="s">
        <v>102</v>
      </c>
      <c r="R51" s="38"/>
      <c r="S51" s="38"/>
      <c r="T51" s="38"/>
      <c r="U51" s="69"/>
      <c r="V51" s="12"/>
      <c r="Y51"/>
      <c r="Z51"/>
      <c r="AC51" s="12"/>
    </row>
    <row r="52" spans="1:29" x14ac:dyDescent="0.2">
      <c r="A52" s="51"/>
      <c r="B52" s="52"/>
      <c r="C52" s="110"/>
      <c r="D52" s="51"/>
      <c r="E52" s="125"/>
      <c r="F52" s="66"/>
      <c r="G52" s="66"/>
      <c r="H52" s="67"/>
      <c r="I52" s="78"/>
      <c r="J52" s="53"/>
      <c r="K52" s="60"/>
      <c r="L52" s="53"/>
      <c r="M52" s="54">
        <f t="shared" si="6"/>
        <v>4</v>
      </c>
      <c r="N52" s="54">
        <f t="shared" si="7"/>
        <v>5</v>
      </c>
      <c r="O52" s="61" t="str">
        <f t="shared" si="0"/>
        <v/>
      </c>
      <c r="P52" s="62" t="str">
        <f t="shared" si="1"/>
        <v/>
      </c>
      <c r="Q52" s="63"/>
      <c r="R52" s="38"/>
      <c r="S52" s="38"/>
      <c r="T52" s="38"/>
      <c r="U52" s="69"/>
      <c r="V52" s="12"/>
      <c r="Y52"/>
      <c r="Z52"/>
      <c r="AC52" s="12"/>
    </row>
    <row r="53" spans="1:29" x14ac:dyDescent="0.2">
      <c r="A53" s="51"/>
      <c r="B53" s="52"/>
      <c r="C53" s="110" t="s">
        <v>37</v>
      </c>
      <c r="D53" s="51"/>
      <c r="E53" s="125"/>
      <c r="F53" s="66"/>
      <c r="G53" s="66"/>
      <c r="H53" s="67"/>
      <c r="I53" s="78"/>
      <c r="J53" s="53"/>
      <c r="K53" s="60"/>
      <c r="L53" s="53"/>
      <c r="M53" s="54">
        <f t="shared" si="6"/>
        <v>4</v>
      </c>
      <c r="N53" s="54">
        <f t="shared" si="7"/>
        <v>5</v>
      </c>
      <c r="O53" s="61" t="str">
        <f t="shared" si="0"/>
        <v/>
      </c>
      <c r="P53" s="62" t="str">
        <f t="shared" si="1"/>
        <v/>
      </c>
      <c r="Q53" s="63"/>
      <c r="R53" s="38"/>
      <c r="S53" s="38"/>
      <c r="T53" s="38"/>
      <c r="U53" s="69"/>
      <c r="V53" s="12"/>
      <c r="Y53"/>
      <c r="Z53"/>
      <c r="AC53" s="12"/>
    </row>
    <row r="54" spans="1:29" x14ac:dyDescent="0.2">
      <c r="A54" s="51"/>
      <c r="B54" s="52"/>
      <c r="C54" s="110" t="s">
        <v>37</v>
      </c>
      <c r="D54" s="51"/>
      <c r="E54" s="125"/>
      <c r="F54" s="66"/>
      <c r="G54" s="66"/>
      <c r="H54" s="67"/>
      <c r="I54" s="78"/>
      <c r="J54" s="53"/>
      <c r="K54" s="60"/>
      <c r="L54" s="53"/>
      <c r="M54" s="54">
        <f t="shared" si="6"/>
        <v>4</v>
      </c>
      <c r="N54" s="54">
        <f t="shared" si="7"/>
        <v>5</v>
      </c>
      <c r="O54" s="61" t="str">
        <f t="shared" si="0"/>
        <v/>
      </c>
      <c r="P54" s="62" t="str">
        <f t="shared" si="1"/>
        <v/>
      </c>
      <c r="Q54" s="63"/>
      <c r="R54" s="38"/>
      <c r="S54" s="38"/>
      <c r="T54" s="38"/>
      <c r="U54" s="69"/>
      <c r="V54" s="12"/>
      <c r="Y54"/>
      <c r="Z54"/>
      <c r="AC54" s="12"/>
    </row>
    <row r="55" spans="1:29" x14ac:dyDescent="0.2">
      <c r="A55" s="51">
        <v>36</v>
      </c>
      <c r="B55" s="52"/>
      <c r="C55" s="110" t="s">
        <v>107</v>
      </c>
      <c r="D55" s="51"/>
      <c r="E55" s="125" t="s">
        <v>39</v>
      </c>
      <c r="F55" s="66">
        <v>0</v>
      </c>
      <c r="G55" s="66">
        <v>10000</v>
      </c>
      <c r="H55" s="67">
        <v>0</v>
      </c>
      <c r="I55" s="78">
        <v>1</v>
      </c>
      <c r="J55" s="126" t="s">
        <v>48</v>
      </c>
      <c r="K55" s="60"/>
      <c r="L55" s="53" t="s">
        <v>108</v>
      </c>
      <c r="M55" s="54">
        <f t="shared" si="6"/>
        <v>4</v>
      </c>
      <c r="N55" s="54">
        <f t="shared" si="7"/>
        <v>5</v>
      </c>
      <c r="O55" s="61">
        <f t="shared" si="0"/>
        <v>2084</v>
      </c>
      <c r="P55" s="62" t="str">
        <f t="shared" si="1"/>
        <v>0x0824</v>
      </c>
      <c r="Q55" s="63"/>
      <c r="R55" s="38"/>
      <c r="S55" s="38"/>
      <c r="T55" s="38"/>
      <c r="U55" s="69"/>
      <c r="V55" s="12"/>
      <c r="Y55"/>
      <c r="Z55"/>
      <c r="AC55" s="12"/>
    </row>
    <row r="56" spans="1:29" x14ac:dyDescent="0.2">
      <c r="A56" s="51">
        <v>37</v>
      </c>
      <c r="B56" s="52"/>
      <c r="C56" s="110" t="s">
        <v>109</v>
      </c>
      <c r="D56" s="51"/>
      <c r="E56" s="125" t="s">
        <v>39</v>
      </c>
      <c r="F56" s="66">
        <v>-50</v>
      </c>
      <c r="G56" s="66">
        <v>50</v>
      </c>
      <c r="H56" s="67">
        <v>0</v>
      </c>
      <c r="I56" s="78">
        <v>0.01</v>
      </c>
      <c r="J56" s="126" t="s">
        <v>110</v>
      </c>
      <c r="K56" s="60"/>
      <c r="L56" s="53" t="s">
        <v>111</v>
      </c>
      <c r="M56" s="54">
        <f t="shared" si="6"/>
        <v>4</v>
      </c>
      <c r="N56" s="54">
        <f t="shared" si="7"/>
        <v>5</v>
      </c>
      <c r="O56" s="61">
        <f t="shared" si="0"/>
        <v>2085</v>
      </c>
      <c r="P56" s="62" t="str">
        <f t="shared" si="1"/>
        <v>0x0825</v>
      </c>
      <c r="Q56" s="63"/>
      <c r="R56" s="38"/>
      <c r="S56" s="38"/>
      <c r="T56" s="38"/>
      <c r="U56" s="69"/>
      <c r="V56" s="12"/>
      <c r="Y56"/>
      <c r="Z56"/>
      <c r="AC56" s="12"/>
    </row>
    <row r="57" spans="1:29" x14ac:dyDescent="0.2">
      <c r="A57" s="51">
        <v>38</v>
      </c>
      <c r="B57" s="52"/>
      <c r="C57" s="110" t="s">
        <v>112</v>
      </c>
      <c r="D57" s="51"/>
      <c r="E57" s="58" t="s">
        <v>66</v>
      </c>
      <c r="F57" s="66">
        <v>0</v>
      </c>
      <c r="G57" s="66">
        <v>0</v>
      </c>
      <c r="H57" s="67"/>
      <c r="I57" s="78"/>
      <c r="J57" s="126"/>
      <c r="K57" s="60"/>
      <c r="L57" s="53" t="s">
        <v>113</v>
      </c>
      <c r="M57" s="54">
        <f t="shared" si="6"/>
        <v>4</v>
      </c>
      <c r="N57" s="54">
        <f t="shared" si="7"/>
        <v>5</v>
      </c>
      <c r="O57" s="61">
        <f t="shared" si="0"/>
        <v>2086</v>
      </c>
      <c r="P57" s="62" t="str">
        <f t="shared" si="1"/>
        <v>0x0826</v>
      </c>
      <c r="Q57" s="63"/>
      <c r="R57" s="38"/>
      <c r="S57" s="38"/>
      <c r="T57" s="38"/>
      <c r="U57" s="69"/>
      <c r="V57" s="12"/>
      <c r="Y57" s="110" t="s">
        <v>112</v>
      </c>
      <c r="Z57" s="79" t="s">
        <v>114</v>
      </c>
      <c r="AA57" s="13">
        <v>0</v>
      </c>
      <c r="AC57" s="12"/>
    </row>
    <row r="58" spans="1:29" x14ac:dyDescent="0.2">
      <c r="A58" s="51"/>
      <c r="B58" s="52"/>
      <c r="C58" s="60" t="s">
        <v>69</v>
      </c>
      <c r="D58" s="51"/>
      <c r="E58" s="127"/>
      <c r="F58" s="66"/>
      <c r="G58" s="66"/>
      <c r="H58" s="67"/>
      <c r="I58" s="78"/>
      <c r="J58" s="126"/>
      <c r="K58" s="60"/>
      <c r="L58" s="53"/>
      <c r="M58" s="54">
        <f t="shared" si="6"/>
        <v>4</v>
      </c>
      <c r="N58" s="54">
        <f t="shared" si="7"/>
        <v>5</v>
      </c>
      <c r="O58" s="61" t="str">
        <f t="shared" si="0"/>
        <v/>
      </c>
      <c r="P58" s="62" t="str">
        <f t="shared" si="1"/>
        <v/>
      </c>
      <c r="Q58" s="63"/>
      <c r="R58" s="38"/>
      <c r="S58" s="38"/>
      <c r="T58" s="38"/>
      <c r="U58" s="69"/>
      <c r="V58" s="12"/>
      <c r="Y58" s="110" t="s">
        <v>112</v>
      </c>
      <c r="Z58" s="79" t="s">
        <v>115</v>
      </c>
      <c r="AA58" s="13">
        <v>1</v>
      </c>
      <c r="AC58" s="12"/>
    </row>
    <row r="59" spans="1:29" x14ac:dyDescent="0.2">
      <c r="A59" s="51">
        <v>39</v>
      </c>
      <c r="B59" s="52"/>
      <c r="C59" s="128" t="s">
        <v>116</v>
      </c>
      <c r="D59" s="51"/>
      <c r="E59" s="58" t="s">
        <v>66</v>
      </c>
      <c r="F59" s="66">
        <v>0</v>
      </c>
      <c r="G59" s="66">
        <v>0</v>
      </c>
      <c r="H59" s="67"/>
      <c r="I59" s="78"/>
      <c r="J59" s="126"/>
      <c r="K59" s="60"/>
      <c r="L59" s="53" t="s">
        <v>117</v>
      </c>
      <c r="M59" s="54">
        <f t="shared" si="6"/>
        <v>4</v>
      </c>
      <c r="N59" s="54">
        <f t="shared" si="7"/>
        <v>5</v>
      </c>
      <c r="O59" s="61">
        <f t="shared" si="0"/>
        <v>2087</v>
      </c>
      <c r="P59" s="62" t="str">
        <f t="shared" si="1"/>
        <v>0x0827</v>
      </c>
      <c r="Q59" s="63"/>
      <c r="R59" s="38"/>
      <c r="S59" s="38"/>
      <c r="T59" s="38"/>
      <c r="U59" s="69"/>
      <c r="V59" s="12"/>
      <c r="Y59" s="128" t="s">
        <v>116</v>
      </c>
      <c r="Z59" s="79" t="s">
        <v>114</v>
      </c>
      <c r="AA59" s="13">
        <v>0</v>
      </c>
      <c r="AC59" s="12"/>
    </row>
    <row r="60" spans="1:29" x14ac:dyDescent="0.2">
      <c r="A60" s="51"/>
      <c r="B60" s="52"/>
      <c r="C60" s="60" t="s">
        <v>69</v>
      </c>
      <c r="D60" s="51"/>
      <c r="E60" s="127"/>
      <c r="F60" s="66"/>
      <c r="G60" s="66"/>
      <c r="H60" s="67"/>
      <c r="I60" s="78"/>
      <c r="J60" s="126"/>
      <c r="K60" s="60"/>
      <c r="L60" s="53"/>
      <c r="M60" s="54">
        <f t="shared" si="6"/>
        <v>4</v>
      </c>
      <c r="N60" s="54">
        <f t="shared" si="7"/>
        <v>5</v>
      </c>
      <c r="O60" s="61" t="str">
        <f t="shared" si="0"/>
        <v/>
      </c>
      <c r="P60" s="62" t="str">
        <f t="shared" si="1"/>
        <v/>
      </c>
      <c r="Q60" s="63"/>
      <c r="R60" s="38"/>
      <c r="S60" s="38"/>
      <c r="T60" s="38"/>
      <c r="U60" s="69"/>
      <c r="V60" s="12"/>
      <c r="Y60" s="128" t="s">
        <v>116</v>
      </c>
      <c r="Z60" s="99" t="s">
        <v>115</v>
      </c>
      <c r="AA60" s="13">
        <v>1</v>
      </c>
      <c r="AC60" s="12"/>
    </row>
    <row r="61" spans="1:29" x14ac:dyDescent="0.2">
      <c r="A61" s="51">
        <v>40</v>
      </c>
      <c r="B61" s="52"/>
      <c r="C61" s="129" t="s">
        <v>118</v>
      </c>
      <c r="D61" s="51"/>
      <c r="E61" s="58" t="s">
        <v>66</v>
      </c>
      <c r="F61" s="66">
        <v>0</v>
      </c>
      <c r="G61" s="66">
        <v>0</v>
      </c>
      <c r="H61" s="67"/>
      <c r="I61" s="78"/>
      <c r="J61" s="126"/>
      <c r="K61" s="60"/>
      <c r="L61" s="53" t="s">
        <v>119</v>
      </c>
      <c r="M61" s="54">
        <f t="shared" si="6"/>
        <v>4</v>
      </c>
      <c r="N61" s="54">
        <f t="shared" si="7"/>
        <v>5</v>
      </c>
      <c r="O61" s="61">
        <f t="shared" si="0"/>
        <v>2088</v>
      </c>
      <c r="P61" s="62" t="str">
        <f t="shared" si="1"/>
        <v>0x0828</v>
      </c>
      <c r="Q61" s="63"/>
      <c r="R61" s="38"/>
      <c r="S61" s="38"/>
      <c r="T61" s="38"/>
      <c r="U61" s="69"/>
      <c r="V61" s="12"/>
      <c r="Y61" s="129" t="s">
        <v>118</v>
      </c>
      <c r="Z61" s="99" t="s">
        <v>120</v>
      </c>
      <c r="AA61" s="13">
        <v>0</v>
      </c>
      <c r="AC61" s="12"/>
    </row>
    <row r="62" spans="1:29" x14ac:dyDescent="0.2">
      <c r="A62" s="51"/>
      <c r="B62" s="52"/>
      <c r="C62" s="60" t="s">
        <v>69</v>
      </c>
      <c r="D62" s="51"/>
      <c r="E62" s="125"/>
      <c r="F62" s="66"/>
      <c r="G62" s="66"/>
      <c r="H62" s="67"/>
      <c r="I62" s="78"/>
      <c r="J62" s="126"/>
      <c r="K62" s="60"/>
      <c r="L62" s="53"/>
      <c r="M62" s="54">
        <f t="shared" si="6"/>
        <v>4</v>
      </c>
      <c r="N62" s="54">
        <f t="shared" si="7"/>
        <v>5</v>
      </c>
      <c r="O62" s="61" t="str">
        <f t="shared" si="0"/>
        <v/>
      </c>
      <c r="P62" s="62" t="str">
        <f t="shared" si="1"/>
        <v/>
      </c>
      <c r="Q62" s="63"/>
      <c r="R62" s="38"/>
      <c r="S62" s="38"/>
      <c r="T62" s="38"/>
      <c r="U62" s="69"/>
      <c r="V62" s="12"/>
      <c r="Y62" s="129" t="s">
        <v>118</v>
      </c>
      <c r="Z62" s="99" t="s">
        <v>121</v>
      </c>
      <c r="AA62" s="13">
        <v>1</v>
      </c>
      <c r="AC62" s="12"/>
    </row>
    <row r="63" spans="1:29" x14ac:dyDescent="0.2">
      <c r="A63" s="51"/>
      <c r="B63" s="52"/>
      <c r="C63" s="129" t="s">
        <v>37</v>
      </c>
      <c r="D63" s="51"/>
      <c r="E63" s="125"/>
      <c r="F63" s="66"/>
      <c r="G63" s="66"/>
      <c r="H63" s="67"/>
      <c r="I63" s="78"/>
      <c r="J63" s="126"/>
      <c r="K63" s="60"/>
      <c r="L63" s="53"/>
      <c r="M63" s="54">
        <f t="shared" si="6"/>
        <v>4</v>
      </c>
      <c r="N63" s="54">
        <f t="shared" si="7"/>
        <v>5</v>
      </c>
      <c r="O63" s="61" t="str">
        <f t="shared" si="0"/>
        <v/>
      </c>
      <c r="P63" s="62" t="str">
        <f t="shared" si="1"/>
        <v/>
      </c>
      <c r="Q63" s="63"/>
      <c r="R63" s="38"/>
      <c r="S63" s="38"/>
      <c r="T63" s="38"/>
      <c r="U63" s="69"/>
      <c r="V63" s="12"/>
      <c r="Y63"/>
      <c r="Z63"/>
      <c r="AC63" s="12"/>
    </row>
    <row r="64" spans="1:29" x14ac:dyDescent="0.2">
      <c r="A64" s="51">
        <v>44</v>
      </c>
      <c r="B64" s="52"/>
      <c r="C64" s="129" t="s">
        <v>122</v>
      </c>
      <c r="D64" s="51"/>
      <c r="E64" s="125" t="s">
        <v>39</v>
      </c>
      <c r="F64" s="66">
        <v>34</v>
      </c>
      <c r="G64" s="66">
        <v>50</v>
      </c>
      <c r="H64" s="67">
        <v>0</v>
      </c>
      <c r="I64" s="78">
        <v>1</v>
      </c>
      <c r="J64" s="126" t="s">
        <v>123</v>
      </c>
      <c r="K64" s="60"/>
      <c r="L64" s="53" t="s">
        <v>124</v>
      </c>
      <c r="M64" s="54">
        <f t="shared" si="6"/>
        <v>4</v>
      </c>
      <c r="N64" s="54">
        <f t="shared" si="7"/>
        <v>5</v>
      </c>
      <c r="O64" s="61">
        <f t="shared" si="0"/>
        <v>2092</v>
      </c>
      <c r="P64" s="62" t="str">
        <f t="shared" si="1"/>
        <v>0x082C</v>
      </c>
      <c r="Q64" s="63" t="s">
        <v>59</v>
      </c>
      <c r="R64" s="38"/>
      <c r="S64" s="38"/>
      <c r="T64" s="38"/>
      <c r="U64" s="69"/>
      <c r="V64" s="12"/>
      <c r="Y64"/>
      <c r="Z64"/>
      <c r="AC64" s="12"/>
    </row>
    <row r="65" spans="1:29" x14ac:dyDescent="0.2">
      <c r="A65" s="51"/>
      <c r="B65" s="52"/>
      <c r="C65" s="110" t="s">
        <v>37</v>
      </c>
      <c r="D65" s="51"/>
      <c r="E65" s="125"/>
      <c r="F65" s="66"/>
      <c r="G65" s="66"/>
      <c r="H65" s="67"/>
      <c r="I65" s="78"/>
      <c r="J65" s="126"/>
      <c r="K65" s="60"/>
      <c r="L65" s="53"/>
      <c r="M65" s="54">
        <f t="shared" si="6"/>
        <v>4</v>
      </c>
      <c r="N65" s="54">
        <f t="shared" si="7"/>
        <v>5</v>
      </c>
      <c r="O65" s="61" t="str">
        <f t="shared" si="0"/>
        <v/>
      </c>
      <c r="P65" s="62" t="str">
        <f t="shared" si="1"/>
        <v/>
      </c>
      <c r="Q65" s="63"/>
      <c r="R65" s="38"/>
      <c r="S65" s="38"/>
      <c r="T65" s="38"/>
      <c r="U65" s="69"/>
      <c r="V65" s="12"/>
      <c r="Y65"/>
      <c r="Z65"/>
      <c r="AC65" s="12"/>
    </row>
    <row r="66" spans="1:29" x14ac:dyDescent="0.2">
      <c r="A66" s="51">
        <v>46</v>
      </c>
      <c r="B66" s="52"/>
      <c r="C66" s="110" t="s">
        <v>125</v>
      </c>
      <c r="D66" s="51"/>
      <c r="E66" s="125" t="s">
        <v>39</v>
      </c>
      <c r="F66" s="66">
        <v>0</v>
      </c>
      <c r="G66" s="66">
        <v>100</v>
      </c>
      <c r="H66" s="67">
        <v>0</v>
      </c>
      <c r="I66" s="78">
        <v>0.01</v>
      </c>
      <c r="J66" s="126" t="s">
        <v>57</v>
      </c>
      <c r="K66" s="60"/>
      <c r="L66" s="53" t="s">
        <v>126</v>
      </c>
      <c r="M66" s="54">
        <f t="shared" si="6"/>
        <v>4</v>
      </c>
      <c r="N66" s="54">
        <f t="shared" si="7"/>
        <v>5</v>
      </c>
      <c r="O66" s="61">
        <f t="shared" si="0"/>
        <v>2094</v>
      </c>
      <c r="P66" s="62" t="str">
        <f t="shared" si="1"/>
        <v>0x082E</v>
      </c>
      <c r="Q66" s="63"/>
      <c r="R66" s="38"/>
      <c r="S66" s="38"/>
      <c r="T66" s="38"/>
      <c r="U66" s="69"/>
      <c r="V66" s="12"/>
      <c r="Y66"/>
      <c r="Z66"/>
      <c r="AC66" s="12"/>
    </row>
    <row r="67" spans="1:29" x14ac:dyDescent="0.2">
      <c r="A67" s="51">
        <v>47</v>
      </c>
      <c r="B67" s="52"/>
      <c r="C67" s="110" t="s">
        <v>127</v>
      </c>
      <c r="D67" s="51"/>
      <c r="E67" s="58" t="s">
        <v>66</v>
      </c>
      <c r="F67" s="66">
        <v>0</v>
      </c>
      <c r="G67" s="66">
        <v>150</v>
      </c>
      <c r="H67" s="67">
        <v>0</v>
      </c>
      <c r="I67" s="78">
        <v>1</v>
      </c>
      <c r="J67" s="126" t="s">
        <v>128</v>
      </c>
      <c r="K67" s="60"/>
      <c r="L67" s="53" t="s">
        <v>129</v>
      </c>
      <c r="M67" s="54">
        <f t="shared" si="6"/>
        <v>4</v>
      </c>
      <c r="N67" s="54">
        <f t="shared" si="7"/>
        <v>5</v>
      </c>
      <c r="O67" s="61">
        <f t="shared" si="0"/>
        <v>2095</v>
      </c>
      <c r="P67" s="62" t="str">
        <f t="shared" si="1"/>
        <v>0x082F</v>
      </c>
      <c r="Q67" s="63"/>
      <c r="R67" s="38"/>
      <c r="S67" s="38"/>
      <c r="T67" s="38"/>
      <c r="U67" s="69"/>
      <c r="V67" s="12"/>
      <c r="Y67" s="110" t="s">
        <v>127</v>
      </c>
      <c r="Z67" s="79" t="s">
        <v>120</v>
      </c>
      <c r="AA67" s="13">
        <v>0</v>
      </c>
      <c r="AC67" s="12"/>
    </row>
    <row r="68" spans="1:29" x14ac:dyDescent="0.2">
      <c r="A68" s="51"/>
      <c r="B68" s="52"/>
      <c r="C68" s="60" t="s">
        <v>69</v>
      </c>
      <c r="D68" s="51"/>
      <c r="E68" s="125"/>
      <c r="F68" s="66"/>
      <c r="G68" s="66"/>
      <c r="H68" s="67"/>
      <c r="I68" s="78"/>
      <c r="J68" s="126"/>
      <c r="K68" s="60"/>
      <c r="L68" s="53"/>
      <c r="M68" s="54">
        <f t="shared" si="6"/>
        <v>4</v>
      </c>
      <c r="N68" s="54">
        <f t="shared" si="7"/>
        <v>5</v>
      </c>
      <c r="O68" s="61" t="str">
        <f t="shared" si="0"/>
        <v/>
      </c>
      <c r="P68" s="62" t="str">
        <f t="shared" si="1"/>
        <v/>
      </c>
      <c r="Q68" s="63"/>
      <c r="R68" s="38"/>
      <c r="S68" s="38"/>
      <c r="T68" s="38"/>
      <c r="U68" s="69"/>
      <c r="V68" s="12"/>
      <c r="Y68" s="110" t="s">
        <v>127</v>
      </c>
      <c r="Z68" s="79" t="s">
        <v>121</v>
      </c>
      <c r="AA68" s="13">
        <v>1</v>
      </c>
      <c r="AC68" s="12"/>
    </row>
    <row r="69" spans="1:29" x14ac:dyDescent="0.2">
      <c r="A69" s="51">
        <v>48</v>
      </c>
      <c r="B69" s="52"/>
      <c r="C69" s="110" t="s">
        <v>130</v>
      </c>
      <c r="D69" s="51"/>
      <c r="E69" s="125" t="s">
        <v>39</v>
      </c>
      <c r="F69" s="66">
        <v>0</v>
      </c>
      <c r="G69" s="66">
        <v>3</v>
      </c>
      <c r="H69" s="67">
        <v>0</v>
      </c>
      <c r="I69" s="78">
        <v>1</v>
      </c>
      <c r="J69" s="126"/>
      <c r="K69" s="60"/>
      <c r="L69" s="53" t="s">
        <v>131</v>
      </c>
      <c r="M69" s="54">
        <f t="shared" si="6"/>
        <v>4</v>
      </c>
      <c r="N69" s="54">
        <f t="shared" si="7"/>
        <v>5</v>
      </c>
      <c r="O69" s="61">
        <f t="shared" si="0"/>
        <v>2096</v>
      </c>
      <c r="P69" s="62" t="str">
        <f t="shared" si="1"/>
        <v>0x0830</v>
      </c>
      <c r="Q69" s="63"/>
      <c r="R69" s="38"/>
      <c r="S69" s="38"/>
      <c r="T69" s="38"/>
      <c r="U69" s="69"/>
      <c r="V69" s="110" t="s">
        <v>130</v>
      </c>
      <c r="W69" s="79" t="s">
        <v>132</v>
      </c>
      <c r="X69" s="13">
        <v>0</v>
      </c>
      <c r="Y69"/>
      <c r="Z69"/>
      <c r="AC69" s="12"/>
    </row>
    <row r="70" spans="1:29" x14ac:dyDescent="0.2">
      <c r="A70" s="51"/>
      <c r="B70" s="52"/>
      <c r="C70" s="60" t="s">
        <v>69</v>
      </c>
      <c r="D70" s="51"/>
      <c r="E70" s="125"/>
      <c r="F70" s="66"/>
      <c r="G70" s="66"/>
      <c r="H70" s="67"/>
      <c r="I70" s="78"/>
      <c r="J70" s="126"/>
      <c r="K70" s="60"/>
      <c r="L70" s="53"/>
      <c r="M70" s="54">
        <f t="shared" si="6"/>
        <v>4</v>
      </c>
      <c r="N70" s="54">
        <f t="shared" si="7"/>
        <v>5</v>
      </c>
      <c r="O70" s="61" t="str">
        <f t="shared" si="0"/>
        <v/>
      </c>
      <c r="P70" s="62" t="str">
        <f t="shared" si="1"/>
        <v/>
      </c>
      <c r="Q70" s="63"/>
      <c r="R70" s="38"/>
      <c r="S70" s="38"/>
      <c r="T70" s="38"/>
      <c r="U70" s="69"/>
      <c r="V70" s="110" t="s">
        <v>130</v>
      </c>
      <c r="W70" s="79" t="s">
        <v>133</v>
      </c>
      <c r="X70" s="13">
        <v>1</v>
      </c>
      <c r="Y70"/>
      <c r="Z70"/>
      <c r="AC70" s="12"/>
    </row>
    <row r="71" spans="1:29" x14ac:dyDescent="0.2">
      <c r="A71" s="51"/>
      <c r="B71" s="52"/>
      <c r="C71" s="60" t="s">
        <v>69</v>
      </c>
      <c r="D71" s="51"/>
      <c r="E71" s="125"/>
      <c r="F71" s="66"/>
      <c r="G71" s="66"/>
      <c r="H71" s="67"/>
      <c r="I71" s="78"/>
      <c r="J71" s="126"/>
      <c r="K71" s="60"/>
      <c r="L71" s="53"/>
      <c r="M71" s="54">
        <f t="shared" si="6"/>
        <v>4</v>
      </c>
      <c r="N71" s="54">
        <f t="shared" si="7"/>
        <v>5</v>
      </c>
      <c r="O71" s="61" t="str">
        <f t="shared" si="0"/>
        <v/>
      </c>
      <c r="P71" s="62" t="str">
        <f t="shared" si="1"/>
        <v/>
      </c>
      <c r="Q71" s="63"/>
      <c r="R71" s="38"/>
      <c r="S71" s="38"/>
      <c r="T71" s="38"/>
      <c r="U71" s="69"/>
      <c r="V71" s="110" t="s">
        <v>130</v>
      </c>
      <c r="W71" s="79" t="s">
        <v>134</v>
      </c>
      <c r="X71" s="13">
        <v>2</v>
      </c>
      <c r="Y71"/>
      <c r="Z71"/>
      <c r="AC71" s="12"/>
    </row>
    <row r="72" spans="1:29" x14ac:dyDescent="0.2">
      <c r="A72" s="51"/>
      <c r="B72" s="52"/>
      <c r="C72" s="60" t="s">
        <v>69</v>
      </c>
      <c r="D72" s="51"/>
      <c r="E72" s="125"/>
      <c r="F72" s="66"/>
      <c r="G72" s="66"/>
      <c r="H72" s="67"/>
      <c r="I72" s="78"/>
      <c r="J72" s="126"/>
      <c r="K72" s="60"/>
      <c r="L72" s="53"/>
      <c r="M72" s="54">
        <f t="shared" si="6"/>
        <v>4</v>
      </c>
      <c r="N72" s="54">
        <f t="shared" si="7"/>
        <v>5</v>
      </c>
      <c r="O72" s="61" t="str">
        <f t="shared" si="0"/>
        <v/>
      </c>
      <c r="P72" s="62" t="str">
        <f t="shared" si="1"/>
        <v/>
      </c>
      <c r="Q72" s="63"/>
      <c r="R72" s="38"/>
      <c r="S72" s="38"/>
      <c r="T72" s="38"/>
      <c r="U72" s="69"/>
      <c r="V72" s="110" t="s">
        <v>130</v>
      </c>
      <c r="W72" s="99" t="s">
        <v>135</v>
      </c>
      <c r="X72" s="104">
        <v>3</v>
      </c>
      <c r="Y72"/>
      <c r="Z72"/>
      <c r="AC72" s="12"/>
    </row>
    <row r="73" spans="1:29" x14ac:dyDescent="0.2">
      <c r="A73" s="51">
        <v>49</v>
      </c>
      <c r="B73" s="52"/>
      <c r="C73" s="128" t="s">
        <v>136</v>
      </c>
      <c r="D73" s="51"/>
      <c r="E73" s="125" t="s">
        <v>39</v>
      </c>
      <c r="F73" s="66">
        <v>0</v>
      </c>
      <c r="G73" s="66">
        <v>10000</v>
      </c>
      <c r="H73" s="67">
        <v>0</v>
      </c>
      <c r="I73" s="78">
        <v>1</v>
      </c>
      <c r="J73" s="126" t="s">
        <v>137</v>
      </c>
      <c r="K73" s="60"/>
      <c r="L73" s="53" t="s">
        <v>138</v>
      </c>
      <c r="M73" s="54">
        <f t="shared" si="6"/>
        <v>4</v>
      </c>
      <c r="N73" s="54">
        <f t="shared" si="7"/>
        <v>5</v>
      </c>
      <c r="O73" s="61">
        <f t="shared" si="0"/>
        <v>2097</v>
      </c>
      <c r="P73" s="62" t="str">
        <f t="shared" si="1"/>
        <v>0x0831</v>
      </c>
      <c r="Q73" s="63"/>
      <c r="R73" s="38"/>
      <c r="S73" s="38"/>
      <c r="T73" s="38"/>
      <c r="U73" s="71" t="s">
        <v>60</v>
      </c>
      <c r="V73" s="12"/>
      <c r="W73" s="99"/>
      <c r="X73" s="104"/>
      <c r="Y73"/>
      <c r="Z73"/>
      <c r="AC73" s="12"/>
    </row>
    <row r="74" spans="1:29" x14ac:dyDescent="0.2">
      <c r="A74" s="51">
        <v>50</v>
      </c>
      <c r="B74" s="52"/>
      <c r="C74" s="128" t="s">
        <v>139</v>
      </c>
      <c r="D74" s="51"/>
      <c r="E74" s="58" t="s">
        <v>66</v>
      </c>
      <c r="F74" s="66">
        <v>0</v>
      </c>
      <c r="G74" s="66">
        <v>0</v>
      </c>
      <c r="H74" s="67"/>
      <c r="I74" s="78"/>
      <c r="J74" s="126"/>
      <c r="K74" s="60"/>
      <c r="L74" s="53" t="s">
        <v>140</v>
      </c>
      <c r="M74" s="54">
        <f t="shared" si="6"/>
        <v>4</v>
      </c>
      <c r="N74" s="54">
        <f t="shared" si="7"/>
        <v>5</v>
      </c>
      <c r="O74" s="61">
        <f t="shared" si="0"/>
        <v>2098</v>
      </c>
      <c r="P74" s="62" t="str">
        <f t="shared" si="1"/>
        <v>0x0832</v>
      </c>
      <c r="Q74" s="63"/>
      <c r="R74" s="38"/>
      <c r="S74" s="38"/>
      <c r="T74" s="38"/>
      <c r="U74" s="69"/>
      <c r="V74" s="12"/>
      <c r="W74" s="99"/>
      <c r="X74" s="104"/>
      <c r="Y74" s="128" t="s">
        <v>139</v>
      </c>
      <c r="Z74" s="79" t="s">
        <v>68</v>
      </c>
      <c r="AA74" s="13">
        <v>0</v>
      </c>
      <c r="AC74" s="12"/>
    </row>
    <row r="75" spans="1:29" x14ac:dyDescent="0.2">
      <c r="A75" s="51"/>
      <c r="B75" s="52"/>
      <c r="C75" s="60" t="s">
        <v>69</v>
      </c>
      <c r="D75" s="51"/>
      <c r="E75" s="125"/>
      <c r="F75" s="66"/>
      <c r="G75" s="66"/>
      <c r="H75" s="67"/>
      <c r="I75" s="78"/>
      <c r="J75" s="126"/>
      <c r="K75" s="60"/>
      <c r="L75" s="53"/>
      <c r="M75" s="54">
        <f t="shared" si="6"/>
        <v>4</v>
      </c>
      <c r="N75" s="54">
        <f t="shared" si="7"/>
        <v>5</v>
      </c>
      <c r="O75" s="61" t="str">
        <f t="shared" si="0"/>
        <v/>
      </c>
      <c r="P75" s="62" t="str">
        <f t="shared" si="1"/>
        <v/>
      </c>
      <c r="Q75" s="63"/>
      <c r="R75" s="38"/>
      <c r="S75" s="38"/>
      <c r="T75" s="38"/>
      <c r="U75" s="69"/>
      <c r="V75" s="12"/>
      <c r="W75" s="99"/>
      <c r="X75" s="104"/>
      <c r="Y75" s="128" t="s">
        <v>139</v>
      </c>
      <c r="Z75" s="79" t="s">
        <v>70</v>
      </c>
      <c r="AA75" s="13">
        <v>1</v>
      </c>
      <c r="AC75" s="12"/>
    </row>
    <row r="76" spans="1:29" x14ac:dyDescent="0.2">
      <c r="A76" s="51">
        <v>51</v>
      </c>
      <c r="B76" s="52"/>
      <c r="C76" s="128" t="s">
        <v>141</v>
      </c>
      <c r="D76" s="51"/>
      <c r="E76" s="65" t="s">
        <v>39</v>
      </c>
      <c r="F76" s="51">
        <v>-50</v>
      </c>
      <c r="G76" s="56">
        <v>100</v>
      </c>
      <c r="H76" s="57"/>
      <c r="I76" s="60">
        <v>3.5999999999999999E-3</v>
      </c>
      <c r="J76" s="53" t="s">
        <v>57</v>
      </c>
      <c r="K76" s="60"/>
      <c r="L76" s="53" t="s">
        <v>385</v>
      </c>
      <c r="M76" s="54">
        <f t="shared" si="6"/>
        <v>4</v>
      </c>
      <c r="N76" s="54">
        <f t="shared" si="7"/>
        <v>5</v>
      </c>
      <c r="O76" s="61">
        <f t="shared" si="0"/>
        <v>2099</v>
      </c>
      <c r="P76" s="62" t="str">
        <f t="shared" si="1"/>
        <v>0x0833</v>
      </c>
      <c r="Q76" s="63"/>
      <c r="R76" s="38"/>
      <c r="S76" s="38"/>
      <c r="T76" s="38"/>
      <c r="U76" s="69"/>
      <c r="V76" s="12"/>
      <c r="W76" s="99"/>
      <c r="X76" s="104"/>
      <c r="Y76"/>
      <c r="Z76" s="79"/>
      <c r="AC76" s="12"/>
    </row>
    <row r="77" spans="1:29" x14ac:dyDescent="0.2">
      <c r="A77" s="51">
        <v>52</v>
      </c>
      <c r="B77" s="52"/>
      <c r="C77" s="110" t="s">
        <v>142</v>
      </c>
      <c r="D77" s="51"/>
      <c r="E77" s="65" t="s">
        <v>39</v>
      </c>
      <c r="F77" s="51">
        <v>0</v>
      </c>
      <c r="G77" s="56">
        <v>100</v>
      </c>
      <c r="H77" s="57"/>
      <c r="I77" s="60">
        <v>3.5999999999999999E-3</v>
      </c>
      <c r="J77" s="53" t="s">
        <v>57</v>
      </c>
      <c r="K77" s="60"/>
      <c r="L77" s="53" t="s">
        <v>143</v>
      </c>
      <c r="M77" s="54">
        <f t="shared" si="6"/>
        <v>4</v>
      </c>
      <c r="N77" s="54">
        <f t="shared" si="7"/>
        <v>5</v>
      </c>
      <c r="O77" s="61">
        <f t="shared" si="0"/>
        <v>2100</v>
      </c>
      <c r="P77" s="62" t="str">
        <f t="shared" si="1"/>
        <v>0x0834</v>
      </c>
      <c r="Q77" s="63"/>
      <c r="R77" s="38"/>
      <c r="S77" s="38"/>
      <c r="T77" s="38"/>
      <c r="U77" s="69"/>
      <c r="V77" s="12"/>
      <c r="Y77"/>
      <c r="Z77"/>
      <c r="AC77" s="12"/>
    </row>
    <row r="78" spans="1:29" x14ac:dyDescent="0.2">
      <c r="A78" s="51">
        <v>53</v>
      </c>
      <c r="B78" s="52"/>
      <c r="C78" s="128" t="s">
        <v>386</v>
      </c>
      <c r="D78" s="51"/>
      <c r="E78" s="65" t="s">
        <v>39</v>
      </c>
      <c r="F78" s="51">
        <v>-50</v>
      </c>
      <c r="G78" s="56">
        <v>100</v>
      </c>
      <c r="H78" s="57"/>
      <c r="I78" s="60">
        <v>3.5999999999999999E-3</v>
      </c>
      <c r="J78" s="53" t="s">
        <v>57</v>
      </c>
      <c r="K78" s="60"/>
      <c r="L78" s="53" t="s">
        <v>387</v>
      </c>
      <c r="M78" s="54">
        <f t="shared" si="6"/>
        <v>4</v>
      </c>
      <c r="N78" s="54">
        <f t="shared" si="7"/>
        <v>5</v>
      </c>
      <c r="O78" s="61">
        <f t="shared" ref="O78:O141" si="8">IF(A78&lt;&gt;"",M78*2^9+A78,"")</f>
        <v>2101</v>
      </c>
      <c r="P78" s="62" t="str">
        <f t="shared" ref="P78:P141" si="9">IF(A78&lt;&gt;"","0x" &amp;DEC2HEX( O78,4),"")</f>
        <v>0x0835</v>
      </c>
      <c r="Q78" s="63"/>
      <c r="R78" s="38"/>
      <c r="S78" s="38"/>
      <c r="T78" s="38"/>
      <c r="U78" s="69"/>
      <c r="V78" s="12"/>
      <c r="W78" s="99"/>
      <c r="X78" s="104"/>
      <c r="Y78"/>
      <c r="Z78" s="79"/>
      <c r="AC78" s="12"/>
    </row>
    <row r="79" spans="1:29" x14ac:dyDescent="0.2">
      <c r="A79" s="51"/>
      <c r="B79" s="52"/>
      <c r="C79" s="110" t="s">
        <v>37</v>
      </c>
      <c r="D79" s="51"/>
      <c r="E79" s="125"/>
      <c r="F79" s="66"/>
      <c r="G79" s="66"/>
      <c r="H79" s="67"/>
      <c r="I79" s="78"/>
      <c r="J79" s="53"/>
      <c r="K79" s="60"/>
      <c r="L79" s="53"/>
      <c r="M79" s="54">
        <f t="shared" si="6"/>
        <v>4</v>
      </c>
      <c r="N79" s="54">
        <f t="shared" si="7"/>
        <v>5</v>
      </c>
      <c r="O79" s="61" t="str">
        <f t="shared" si="8"/>
        <v/>
      </c>
      <c r="P79" s="62" t="str">
        <f t="shared" si="9"/>
        <v/>
      </c>
      <c r="Q79" s="63"/>
      <c r="R79" s="38"/>
      <c r="S79" s="38"/>
      <c r="T79" s="38"/>
      <c r="U79" s="69"/>
      <c r="V79" s="12"/>
      <c r="Y79"/>
      <c r="Z79"/>
      <c r="AC79" s="12"/>
    </row>
    <row r="80" spans="1:29" s="124" customFormat="1" x14ac:dyDescent="0.2">
      <c r="A80" s="111">
        <v>63</v>
      </c>
      <c r="B80" s="112"/>
      <c r="C80" s="113" t="s">
        <v>144</v>
      </c>
      <c r="D80" s="111"/>
      <c r="E80" s="114" t="s">
        <v>66</v>
      </c>
      <c r="F80" s="115">
        <v>0</v>
      </c>
      <c r="G80" s="115">
        <v>0</v>
      </c>
      <c r="H80" s="116"/>
      <c r="I80" s="117"/>
      <c r="J80" s="118" t="s">
        <v>145</v>
      </c>
      <c r="K80" s="114"/>
      <c r="L80" s="118" t="s">
        <v>146</v>
      </c>
      <c r="M80" s="54">
        <f t="shared" si="6"/>
        <v>4</v>
      </c>
      <c r="N80" s="54">
        <f t="shared" si="7"/>
        <v>5</v>
      </c>
      <c r="O80" s="61">
        <f t="shared" si="8"/>
        <v>2111</v>
      </c>
      <c r="P80" s="62" t="str">
        <f t="shared" si="9"/>
        <v>0x083F</v>
      </c>
      <c r="Q80" s="119"/>
      <c r="R80" s="120"/>
      <c r="S80" s="120"/>
      <c r="T80" s="120"/>
      <c r="U80" s="121"/>
      <c r="V80" s="122"/>
      <c r="W80" s="122"/>
      <c r="X80" s="123"/>
      <c r="Y80" s="122"/>
      <c r="Z80" s="122"/>
      <c r="AA80" s="123"/>
      <c r="AC80" s="122"/>
    </row>
    <row r="81" spans="1:29" s="124" customFormat="1" x14ac:dyDescent="0.2">
      <c r="A81" s="111">
        <v>64</v>
      </c>
      <c r="B81" s="112"/>
      <c r="C81" s="113" t="s">
        <v>147</v>
      </c>
      <c r="D81" s="111"/>
      <c r="E81" s="114" t="s">
        <v>66</v>
      </c>
      <c r="F81" s="115">
        <v>0</v>
      </c>
      <c r="G81" s="115">
        <v>0</v>
      </c>
      <c r="H81" s="116"/>
      <c r="I81" s="117"/>
      <c r="J81" s="118" t="s">
        <v>148</v>
      </c>
      <c r="K81" s="114"/>
      <c r="L81" s="118" t="s">
        <v>149</v>
      </c>
      <c r="M81" s="54">
        <f t="shared" ref="M81:M144" si="10">$D$5</f>
        <v>4</v>
      </c>
      <c r="N81" s="54">
        <f t="shared" ref="N81:N144" si="11">$D$4</f>
        <v>5</v>
      </c>
      <c r="O81" s="61">
        <f t="shared" si="8"/>
        <v>2112</v>
      </c>
      <c r="P81" s="62" t="str">
        <f t="shared" si="9"/>
        <v>0x0840</v>
      </c>
      <c r="Q81" s="119"/>
      <c r="R81" s="120"/>
      <c r="S81" s="120"/>
      <c r="T81" s="120"/>
      <c r="U81" s="121"/>
      <c r="V81" s="122"/>
      <c r="W81" s="122"/>
      <c r="X81" s="123"/>
      <c r="Y81" s="122"/>
      <c r="Z81" s="122"/>
      <c r="AA81" s="123"/>
      <c r="AC81" s="122"/>
    </row>
    <row r="82" spans="1:29" s="124" customFormat="1" x14ac:dyDescent="0.2">
      <c r="A82" s="111">
        <v>65</v>
      </c>
      <c r="B82" s="112"/>
      <c r="C82" s="113" t="s">
        <v>150</v>
      </c>
      <c r="D82" s="111"/>
      <c r="E82" s="114" t="s">
        <v>66</v>
      </c>
      <c r="F82" s="115">
        <v>0</v>
      </c>
      <c r="G82" s="115">
        <v>0</v>
      </c>
      <c r="H82" s="116"/>
      <c r="I82" s="117"/>
      <c r="J82" s="118" t="s">
        <v>145</v>
      </c>
      <c r="K82" s="114"/>
      <c r="L82" s="118" t="s">
        <v>151</v>
      </c>
      <c r="M82" s="54">
        <f t="shared" si="10"/>
        <v>4</v>
      </c>
      <c r="N82" s="54">
        <f t="shared" si="11"/>
        <v>5</v>
      </c>
      <c r="O82" s="61">
        <f t="shared" si="8"/>
        <v>2113</v>
      </c>
      <c r="P82" s="62" t="str">
        <f t="shared" si="9"/>
        <v>0x0841</v>
      </c>
      <c r="Q82" s="119"/>
      <c r="R82" s="120"/>
      <c r="S82" s="120"/>
      <c r="T82" s="120"/>
      <c r="U82" s="121"/>
      <c r="V82" s="122"/>
      <c r="W82" s="122"/>
      <c r="X82" s="123"/>
      <c r="Y82" s="122"/>
      <c r="Z82" s="122"/>
      <c r="AA82" s="123"/>
      <c r="AC82" s="122"/>
    </row>
    <row r="83" spans="1:29" s="124" customFormat="1" x14ac:dyDescent="0.2">
      <c r="A83" s="111">
        <v>66</v>
      </c>
      <c r="B83" s="112"/>
      <c r="C83" s="113" t="s">
        <v>152</v>
      </c>
      <c r="D83" s="111"/>
      <c r="E83" s="114" t="s">
        <v>66</v>
      </c>
      <c r="F83" s="115">
        <v>0</v>
      </c>
      <c r="G83" s="115">
        <v>0</v>
      </c>
      <c r="H83" s="116"/>
      <c r="I83" s="117"/>
      <c r="J83" s="118" t="s">
        <v>145</v>
      </c>
      <c r="K83" s="114"/>
      <c r="L83" s="118" t="s">
        <v>153</v>
      </c>
      <c r="M83" s="54">
        <f t="shared" si="10"/>
        <v>4</v>
      </c>
      <c r="N83" s="54">
        <f t="shared" si="11"/>
        <v>5</v>
      </c>
      <c r="O83" s="61">
        <f t="shared" si="8"/>
        <v>2114</v>
      </c>
      <c r="P83" s="62" t="str">
        <f t="shared" si="9"/>
        <v>0x0842</v>
      </c>
      <c r="Q83" s="119"/>
      <c r="R83" s="120"/>
      <c r="S83" s="120"/>
      <c r="T83" s="120"/>
      <c r="U83" s="121"/>
      <c r="V83" s="122"/>
      <c r="W83" s="122"/>
      <c r="X83" s="123"/>
      <c r="Y83" s="122"/>
      <c r="Z83" s="122"/>
      <c r="AA83" s="123"/>
      <c r="AC83" s="122"/>
    </row>
    <row r="84" spans="1:29" s="124" customFormat="1" x14ac:dyDescent="0.2">
      <c r="A84" s="111">
        <v>67</v>
      </c>
      <c r="B84" s="112"/>
      <c r="C84" s="113" t="s">
        <v>154</v>
      </c>
      <c r="D84" s="111"/>
      <c r="E84" s="114" t="s">
        <v>66</v>
      </c>
      <c r="F84" s="115">
        <v>0</v>
      </c>
      <c r="G84" s="115">
        <v>0</v>
      </c>
      <c r="H84" s="116"/>
      <c r="I84" s="117"/>
      <c r="J84" s="118" t="s">
        <v>145</v>
      </c>
      <c r="K84" s="114"/>
      <c r="L84" s="118" t="s">
        <v>155</v>
      </c>
      <c r="M84" s="54">
        <f t="shared" si="10"/>
        <v>4</v>
      </c>
      <c r="N84" s="54">
        <f t="shared" si="11"/>
        <v>5</v>
      </c>
      <c r="O84" s="61">
        <f t="shared" si="8"/>
        <v>2115</v>
      </c>
      <c r="P84" s="62" t="str">
        <f t="shared" si="9"/>
        <v>0x0843</v>
      </c>
      <c r="Q84" s="119"/>
      <c r="R84" s="120"/>
      <c r="S84" s="120"/>
      <c r="T84" s="120"/>
      <c r="U84" s="121"/>
      <c r="V84" s="122"/>
      <c r="W84" s="122"/>
      <c r="X84" s="123"/>
      <c r="Y84" s="122"/>
      <c r="Z84" s="122"/>
      <c r="AA84" s="123"/>
      <c r="AC84" s="122"/>
    </row>
    <row r="85" spans="1:29" s="124" customFormat="1" ht="12.75" customHeight="1" x14ac:dyDescent="0.2">
      <c r="A85" s="111">
        <v>68</v>
      </c>
      <c r="B85" s="112"/>
      <c r="C85" s="113" t="s">
        <v>156</v>
      </c>
      <c r="D85" s="111"/>
      <c r="E85" s="114" t="s">
        <v>66</v>
      </c>
      <c r="F85" s="115">
        <v>0</v>
      </c>
      <c r="G85" s="115">
        <v>0</v>
      </c>
      <c r="H85" s="116"/>
      <c r="I85" s="117"/>
      <c r="J85" s="118" t="s">
        <v>145</v>
      </c>
      <c r="K85" s="114"/>
      <c r="L85" s="118" t="s">
        <v>157</v>
      </c>
      <c r="M85" s="54">
        <f t="shared" si="10"/>
        <v>4</v>
      </c>
      <c r="N85" s="54">
        <f t="shared" si="11"/>
        <v>5</v>
      </c>
      <c r="O85" s="61">
        <f t="shared" si="8"/>
        <v>2116</v>
      </c>
      <c r="P85" s="62" t="str">
        <f t="shared" si="9"/>
        <v>0x0844</v>
      </c>
      <c r="Q85" s="119"/>
      <c r="R85" s="120"/>
      <c r="S85" s="120"/>
      <c r="T85" s="120"/>
      <c r="U85" s="121"/>
      <c r="V85" s="122"/>
      <c r="W85" s="122"/>
      <c r="X85" s="123"/>
      <c r="Y85" s="122"/>
      <c r="Z85" s="122"/>
      <c r="AA85" s="123"/>
      <c r="AC85" s="122"/>
    </row>
    <row r="86" spans="1:29" s="124" customFormat="1" x14ac:dyDescent="0.2">
      <c r="A86" s="111">
        <v>69</v>
      </c>
      <c r="B86" s="112"/>
      <c r="C86" s="113" t="s">
        <v>158</v>
      </c>
      <c r="D86" s="111"/>
      <c r="E86" s="114" t="s">
        <v>66</v>
      </c>
      <c r="F86" s="115">
        <v>0</v>
      </c>
      <c r="G86" s="115">
        <v>0</v>
      </c>
      <c r="H86" s="116"/>
      <c r="I86" s="117"/>
      <c r="J86" s="118" t="s">
        <v>145</v>
      </c>
      <c r="K86" s="114"/>
      <c r="L86" s="118" t="s">
        <v>159</v>
      </c>
      <c r="M86" s="54">
        <f t="shared" si="10"/>
        <v>4</v>
      </c>
      <c r="N86" s="54">
        <f t="shared" si="11"/>
        <v>5</v>
      </c>
      <c r="O86" s="61">
        <f t="shared" si="8"/>
        <v>2117</v>
      </c>
      <c r="P86" s="62" t="str">
        <f t="shared" si="9"/>
        <v>0x0845</v>
      </c>
      <c r="Q86" s="119"/>
      <c r="R86" s="120"/>
      <c r="S86" s="120"/>
      <c r="T86" s="120"/>
      <c r="U86" s="121"/>
      <c r="V86" s="122"/>
      <c r="W86" s="122"/>
      <c r="X86" s="123"/>
      <c r="Y86" s="122"/>
      <c r="Z86" s="122"/>
      <c r="AA86" s="123"/>
      <c r="AC86" s="122"/>
    </row>
    <row r="87" spans="1:29" s="124" customFormat="1" x14ac:dyDescent="0.2">
      <c r="A87" s="111">
        <v>70</v>
      </c>
      <c r="B87" s="112"/>
      <c r="C87" s="113" t="s">
        <v>160</v>
      </c>
      <c r="D87" s="111"/>
      <c r="E87" s="114" t="s">
        <v>66</v>
      </c>
      <c r="F87" s="115">
        <v>0</v>
      </c>
      <c r="G87" s="115">
        <v>0</v>
      </c>
      <c r="H87" s="116"/>
      <c r="I87" s="117"/>
      <c r="J87" s="118" t="s">
        <v>145</v>
      </c>
      <c r="K87" s="114"/>
      <c r="L87" s="118" t="s">
        <v>161</v>
      </c>
      <c r="M87" s="54">
        <f t="shared" si="10"/>
        <v>4</v>
      </c>
      <c r="N87" s="54">
        <f t="shared" si="11"/>
        <v>5</v>
      </c>
      <c r="O87" s="61">
        <f t="shared" si="8"/>
        <v>2118</v>
      </c>
      <c r="P87" s="62" t="str">
        <f t="shared" si="9"/>
        <v>0x0846</v>
      </c>
      <c r="Q87" s="119"/>
      <c r="R87" s="120"/>
      <c r="S87" s="120"/>
      <c r="T87" s="120"/>
      <c r="U87" s="121"/>
      <c r="V87" s="122"/>
      <c r="W87" s="122"/>
      <c r="X87" s="123"/>
      <c r="Y87" s="122"/>
      <c r="Z87" s="122"/>
      <c r="AA87" s="123"/>
      <c r="AC87" s="122"/>
    </row>
    <row r="88" spans="1:29" s="124" customFormat="1" x14ac:dyDescent="0.2">
      <c r="A88" s="111">
        <v>71</v>
      </c>
      <c r="B88" s="112"/>
      <c r="C88" s="113" t="s">
        <v>162</v>
      </c>
      <c r="D88" s="111"/>
      <c r="E88" s="114" t="s">
        <v>66</v>
      </c>
      <c r="F88" s="115">
        <v>0</v>
      </c>
      <c r="G88" s="115">
        <v>0</v>
      </c>
      <c r="H88" s="116"/>
      <c r="I88" s="117"/>
      <c r="J88" s="118" t="s">
        <v>145</v>
      </c>
      <c r="K88" s="114"/>
      <c r="L88" s="118" t="s">
        <v>163</v>
      </c>
      <c r="M88" s="54">
        <f t="shared" si="10"/>
        <v>4</v>
      </c>
      <c r="N88" s="54">
        <f t="shared" si="11"/>
        <v>5</v>
      </c>
      <c r="O88" s="61">
        <f t="shared" si="8"/>
        <v>2119</v>
      </c>
      <c r="P88" s="62" t="str">
        <f t="shared" si="9"/>
        <v>0x0847</v>
      </c>
      <c r="Q88" s="119"/>
      <c r="R88" s="120"/>
      <c r="S88" s="120"/>
      <c r="T88" s="120"/>
      <c r="U88" s="121"/>
      <c r="V88" s="122"/>
      <c r="W88" s="122"/>
      <c r="X88" s="123"/>
      <c r="Y88" s="122"/>
      <c r="Z88" s="122"/>
      <c r="AA88" s="123"/>
      <c r="AC88" s="122"/>
    </row>
    <row r="89" spans="1:29" s="124" customFormat="1" x14ac:dyDescent="0.2">
      <c r="A89" s="111">
        <v>72</v>
      </c>
      <c r="B89" s="112"/>
      <c r="C89" s="113" t="s">
        <v>164</v>
      </c>
      <c r="D89" s="111"/>
      <c r="E89" s="114" t="s">
        <v>66</v>
      </c>
      <c r="F89" s="115">
        <v>0</v>
      </c>
      <c r="G89" s="115">
        <v>0</v>
      </c>
      <c r="H89" s="116"/>
      <c r="I89" s="117"/>
      <c r="J89" s="118" t="s">
        <v>145</v>
      </c>
      <c r="K89" s="114"/>
      <c r="L89" s="118" t="s">
        <v>165</v>
      </c>
      <c r="M89" s="54">
        <f t="shared" si="10"/>
        <v>4</v>
      </c>
      <c r="N89" s="54">
        <f t="shared" si="11"/>
        <v>5</v>
      </c>
      <c r="O89" s="61">
        <f t="shared" si="8"/>
        <v>2120</v>
      </c>
      <c r="P89" s="62" t="str">
        <f t="shared" si="9"/>
        <v>0x0848</v>
      </c>
      <c r="Q89" s="119"/>
      <c r="R89" s="120"/>
      <c r="S89" s="120"/>
      <c r="T89" s="120"/>
      <c r="U89" s="121"/>
      <c r="V89" s="122"/>
      <c r="W89" s="122"/>
      <c r="X89" s="123"/>
      <c r="Y89" s="122"/>
      <c r="Z89" s="122"/>
      <c r="AA89" s="123"/>
      <c r="AC89" s="122"/>
    </row>
    <row r="90" spans="1:29" x14ac:dyDescent="0.2">
      <c r="A90" s="51">
        <v>73</v>
      </c>
      <c r="B90" s="52"/>
      <c r="C90" s="59" t="s">
        <v>166</v>
      </c>
      <c r="D90" s="51"/>
      <c r="E90" s="125" t="s">
        <v>39</v>
      </c>
      <c r="F90" s="55">
        <v>0</v>
      </c>
      <c r="G90" s="55">
        <v>2</v>
      </c>
      <c r="H90" s="72"/>
      <c r="I90" s="78"/>
      <c r="J90" s="53"/>
      <c r="K90" s="60"/>
      <c r="L90" s="53" t="s">
        <v>167</v>
      </c>
      <c r="M90" s="54">
        <f t="shared" si="10"/>
        <v>4</v>
      </c>
      <c r="N90" s="54">
        <f t="shared" si="11"/>
        <v>5</v>
      </c>
      <c r="O90" s="61">
        <f t="shared" si="8"/>
        <v>2121</v>
      </c>
      <c r="P90" s="62" t="str">
        <f t="shared" si="9"/>
        <v>0x0849</v>
      </c>
      <c r="Q90" s="70" t="s">
        <v>59</v>
      </c>
      <c r="R90" s="38"/>
      <c r="S90" s="38"/>
      <c r="T90" s="38"/>
      <c r="U90" s="69"/>
      <c r="V90" s="80" t="s">
        <v>166</v>
      </c>
      <c r="W90" s="12" t="s">
        <v>168</v>
      </c>
      <c r="X90" s="13">
        <v>0</v>
      </c>
      <c r="AC90" s="12"/>
    </row>
    <row r="91" spans="1:29" x14ac:dyDescent="0.2">
      <c r="A91" s="51"/>
      <c r="B91" s="52"/>
      <c r="C91" s="60" t="s">
        <v>69</v>
      </c>
      <c r="D91" s="51"/>
      <c r="E91" s="55"/>
      <c r="F91" s="55"/>
      <c r="G91" s="55"/>
      <c r="H91" s="72"/>
      <c r="I91" s="78"/>
      <c r="J91" s="53"/>
      <c r="K91" s="60"/>
      <c r="L91" s="53"/>
      <c r="M91" s="54">
        <f t="shared" si="10"/>
        <v>4</v>
      </c>
      <c r="N91" s="54">
        <f t="shared" si="11"/>
        <v>5</v>
      </c>
      <c r="O91" s="61" t="str">
        <f t="shared" si="8"/>
        <v/>
      </c>
      <c r="P91" s="62" t="str">
        <f t="shared" si="9"/>
        <v/>
      </c>
      <c r="Q91" s="63"/>
      <c r="R91" s="38"/>
      <c r="S91" s="38"/>
      <c r="T91" s="38"/>
      <c r="U91" s="69"/>
      <c r="V91" s="80" t="s">
        <v>166</v>
      </c>
      <c r="W91" s="12" t="s">
        <v>169</v>
      </c>
      <c r="X91" s="13">
        <v>1</v>
      </c>
      <c r="AC91" s="12"/>
    </row>
    <row r="92" spans="1:29" x14ac:dyDescent="0.2">
      <c r="A92" s="51"/>
      <c r="B92" s="52"/>
      <c r="C92" s="60" t="s">
        <v>69</v>
      </c>
      <c r="D92" s="51"/>
      <c r="E92" s="55"/>
      <c r="F92" s="55"/>
      <c r="G92" s="55"/>
      <c r="H92" s="72"/>
      <c r="I92" s="78"/>
      <c r="J92" s="53"/>
      <c r="K92" s="60"/>
      <c r="L92" s="53"/>
      <c r="M92" s="54">
        <f t="shared" si="10"/>
        <v>4</v>
      </c>
      <c r="N92" s="54">
        <f t="shared" si="11"/>
        <v>5</v>
      </c>
      <c r="O92" s="61" t="str">
        <f t="shared" si="8"/>
        <v/>
      </c>
      <c r="P92" s="62" t="str">
        <f t="shared" si="9"/>
        <v/>
      </c>
      <c r="Q92" s="63"/>
      <c r="R92" s="38"/>
      <c r="S92" s="38"/>
      <c r="T92" s="38"/>
      <c r="U92" s="69"/>
      <c r="V92" s="80" t="s">
        <v>166</v>
      </c>
      <c r="W92" s="12" t="s">
        <v>170</v>
      </c>
      <c r="X92" s="13">
        <v>2</v>
      </c>
      <c r="AC92" s="12"/>
    </row>
    <row r="93" spans="1:29" x14ac:dyDescent="0.2">
      <c r="A93" s="51">
        <v>74</v>
      </c>
      <c r="B93" s="52"/>
      <c r="C93" s="59" t="s">
        <v>171</v>
      </c>
      <c r="D93" s="51"/>
      <c r="E93" s="60" t="s">
        <v>66</v>
      </c>
      <c r="F93" s="55">
        <v>0</v>
      </c>
      <c r="G93" s="55">
        <v>0</v>
      </c>
      <c r="H93" s="72"/>
      <c r="I93" s="78"/>
      <c r="J93" s="53"/>
      <c r="K93" s="60"/>
      <c r="L93" s="53" t="s">
        <v>172</v>
      </c>
      <c r="M93" s="54">
        <f t="shared" si="10"/>
        <v>4</v>
      </c>
      <c r="N93" s="54">
        <f t="shared" si="11"/>
        <v>5</v>
      </c>
      <c r="O93" s="61">
        <f t="shared" si="8"/>
        <v>2122</v>
      </c>
      <c r="P93" s="62" t="str">
        <f t="shared" si="9"/>
        <v>0x084A</v>
      </c>
      <c r="Q93" s="63"/>
      <c r="R93" s="38"/>
      <c r="S93" s="38"/>
      <c r="T93" s="38"/>
      <c r="U93" s="69"/>
      <c r="V93" s="12"/>
      <c r="Y93"/>
      <c r="AC93" s="12"/>
    </row>
    <row r="94" spans="1:29" x14ac:dyDescent="0.2">
      <c r="A94" s="51">
        <v>75</v>
      </c>
      <c r="B94" s="52"/>
      <c r="C94" s="59" t="s">
        <v>173</v>
      </c>
      <c r="D94" s="51"/>
      <c r="E94" s="125" t="s">
        <v>39</v>
      </c>
      <c r="F94" s="66">
        <v>0</v>
      </c>
      <c r="G94" s="66">
        <v>2</v>
      </c>
      <c r="H94" s="67"/>
      <c r="I94" s="78"/>
      <c r="J94" s="53"/>
      <c r="K94" s="60"/>
      <c r="L94" s="53" t="s">
        <v>174</v>
      </c>
      <c r="M94" s="54">
        <f t="shared" si="10"/>
        <v>4</v>
      </c>
      <c r="N94" s="54">
        <f t="shared" si="11"/>
        <v>5</v>
      </c>
      <c r="O94" s="61">
        <f t="shared" si="8"/>
        <v>2123</v>
      </c>
      <c r="P94" s="62" t="str">
        <f t="shared" si="9"/>
        <v>0x084B</v>
      </c>
      <c r="Q94" s="70" t="s">
        <v>59</v>
      </c>
      <c r="R94" s="38"/>
      <c r="S94" s="38"/>
      <c r="T94" s="38"/>
      <c r="U94" s="69"/>
      <c r="V94" s="80" t="s">
        <v>173</v>
      </c>
      <c r="W94" s="80" t="s">
        <v>175</v>
      </c>
      <c r="X94" s="13">
        <v>0</v>
      </c>
      <c r="Y94"/>
      <c r="AC94" s="12"/>
    </row>
    <row r="95" spans="1:29" x14ac:dyDescent="0.2">
      <c r="A95" s="51"/>
      <c r="B95" s="52"/>
      <c r="C95" s="60" t="s">
        <v>69</v>
      </c>
      <c r="D95" s="51"/>
      <c r="E95" s="60"/>
      <c r="F95" s="66"/>
      <c r="G95" s="66"/>
      <c r="H95" s="67"/>
      <c r="I95" s="78"/>
      <c r="J95" s="53"/>
      <c r="K95" s="60"/>
      <c r="M95" s="54">
        <f t="shared" si="10"/>
        <v>4</v>
      </c>
      <c r="N95" s="54">
        <f t="shared" si="11"/>
        <v>5</v>
      </c>
      <c r="O95" s="61" t="str">
        <f t="shared" si="8"/>
        <v/>
      </c>
      <c r="P95" s="62" t="str">
        <f t="shared" si="9"/>
        <v/>
      </c>
      <c r="Q95" s="63"/>
      <c r="R95" s="38"/>
      <c r="S95" s="38"/>
      <c r="T95" s="38"/>
      <c r="U95" s="69"/>
      <c r="V95" s="80" t="s">
        <v>173</v>
      </c>
      <c r="W95" s="80" t="s">
        <v>176</v>
      </c>
      <c r="X95" s="13">
        <v>1</v>
      </c>
      <c r="Y95"/>
      <c r="Z95"/>
      <c r="AC95" s="12"/>
    </row>
    <row r="96" spans="1:29" x14ac:dyDescent="0.2">
      <c r="A96" s="51"/>
      <c r="B96" s="52"/>
      <c r="C96" s="60" t="s">
        <v>69</v>
      </c>
      <c r="D96" s="51"/>
      <c r="E96" s="60"/>
      <c r="F96" s="66"/>
      <c r="G96" s="66"/>
      <c r="H96" s="67"/>
      <c r="I96" s="78"/>
      <c r="J96" s="53"/>
      <c r="K96" s="60"/>
      <c r="M96" s="54">
        <f t="shared" si="10"/>
        <v>4</v>
      </c>
      <c r="N96" s="54">
        <f t="shared" si="11"/>
        <v>5</v>
      </c>
      <c r="O96" s="61" t="str">
        <f t="shared" si="8"/>
        <v/>
      </c>
      <c r="P96" s="62" t="str">
        <f t="shared" si="9"/>
        <v/>
      </c>
      <c r="Q96" s="63"/>
      <c r="R96" s="38"/>
      <c r="S96" s="38"/>
      <c r="T96" s="38"/>
      <c r="U96" s="69"/>
      <c r="V96" s="80" t="s">
        <v>173</v>
      </c>
      <c r="W96" s="80" t="s">
        <v>177</v>
      </c>
      <c r="X96" s="13">
        <v>2</v>
      </c>
      <c r="Y96"/>
      <c r="Z96"/>
      <c r="AC96" s="12"/>
    </row>
    <row r="97" spans="1:29" x14ac:dyDescent="0.2">
      <c r="A97" s="51">
        <v>76</v>
      </c>
      <c r="B97" s="52"/>
      <c r="C97" s="59" t="s">
        <v>178</v>
      </c>
      <c r="D97" s="51"/>
      <c r="E97" s="65" t="s">
        <v>39</v>
      </c>
      <c r="F97" s="51">
        <v>1000</v>
      </c>
      <c r="G97" s="51">
        <v>1950</v>
      </c>
      <c r="H97" s="57"/>
      <c r="I97" s="78" t="s">
        <v>179</v>
      </c>
      <c r="J97" s="53" t="s">
        <v>48</v>
      </c>
      <c r="K97" s="60"/>
      <c r="L97" s="53" t="s">
        <v>180</v>
      </c>
      <c r="M97" s="54">
        <f t="shared" si="10"/>
        <v>4</v>
      </c>
      <c r="N97" s="54">
        <f t="shared" si="11"/>
        <v>5</v>
      </c>
      <c r="O97" s="61">
        <f t="shared" si="8"/>
        <v>2124</v>
      </c>
      <c r="P97" s="62" t="str">
        <f t="shared" si="9"/>
        <v>0x084C</v>
      </c>
      <c r="Q97" s="63" t="s">
        <v>59</v>
      </c>
      <c r="R97" s="38"/>
      <c r="S97" s="38"/>
      <c r="T97" s="38"/>
      <c r="U97" s="71" t="s">
        <v>60</v>
      </c>
      <c r="V97" s="12"/>
      <c r="Y97"/>
      <c r="Z97"/>
      <c r="AC97" s="12"/>
    </row>
    <row r="98" spans="1:29" s="144" customFormat="1" x14ac:dyDescent="0.2">
      <c r="A98" s="130">
        <v>77</v>
      </c>
      <c r="B98" s="131"/>
      <c r="C98" s="132" t="s">
        <v>181</v>
      </c>
      <c r="D98" s="130"/>
      <c r="E98" s="133" t="s">
        <v>39</v>
      </c>
      <c r="F98" s="130">
        <v>0</v>
      </c>
      <c r="G98" s="134">
        <v>10000</v>
      </c>
      <c r="H98" s="135"/>
      <c r="I98" s="136" t="s">
        <v>179</v>
      </c>
      <c r="J98" s="137" t="s">
        <v>48</v>
      </c>
      <c r="K98" s="138"/>
      <c r="L98" s="137" t="s">
        <v>182</v>
      </c>
      <c r="M98" s="54">
        <f t="shared" si="10"/>
        <v>4</v>
      </c>
      <c r="N98" s="54">
        <f t="shared" si="11"/>
        <v>5</v>
      </c>
      <c r="O98" s="61">
        <f t="shared" si="8"/>
        <v>2125</v>
      </c>
      <c r="P98" s="62" t="str">
        <f t="shared" si="9"/>
        <v>0x084D</v>
      </c>
      <c r="Q98" s="139"/>
      <c r="R98" s="140"/>
      <c r="S98" s="140"/>
      <c r="T98" s="140"/>
      <c r="U98" s="141" t="s">
        <v>60</v>
      </c>
      <c r="V98" s="142"/>
      <c r="W98" s="142"/>
      <c r="X98" s="143"/>
      <c r="AA98" s="143"/>
      <c r="AC98" s="142"/>
    </row>
    <row r="99" spans="1:29" x14ac:dyDescent="0.2">
      <c r="A99" s="51">
        <v>78</v>
      </c>
      <c r="B99" s="52"/>
      <c r="C99" s="59" t="s">
        <v>183</v>
      </c>
      <c r="D99" s="51"/>
      <c r="E99" s="65" t="s">
        <v>39</v>
      </c>
      <c r="F99" s="51">
        <v>0</v>
      </c>
      <c r="G99" s="56">
        <v>3000</v>
      </c>
      <c r="H99" s="57"/>
      <c r="I99" s="78">
        <v>1</v>
      </c>
      <c r="J99" s="53" t="s">
        <v>184</v>
      </c>
      <c r="K99" s="60"/>
      <c r="L99" s="53" t="s">
        <v>185</v>
      </c>
      <c r="M99" s="54">
        <f t="shared" si="10"/>
        <v>4</v>
      </c>
      <c r="N99" s="54">
        <f t="shared" si="11"/>
        <v>5</v>
      </c>
      <c r="O99" s="61">
        <f t="shared" si="8"/>
        <v>2126</v>
      </c>
      <c r="P99" s="62" t="str">
        <f t="shared" si="9"/>
        <v>0x084E</v>
      </c>
      <c r="Q99" s="63"/>
      <c r="R99" s="38"/>
      <c r="S99" s="38"/>
      <c r="T99" s="38"/>
      <c r="U99" s="69"/>
      <c r="V99" s="12"/>
      <c r="Y99"/>
      <c r="Z99"/>
      <c r="AC99" s="12"/>
    </row>
    <row r="100" spans="1:29" x14ac:dyDescent="0.2">
      <c r="A100" s="51">
        <v>79</v>
      </c>
      <c r="B100" s="52"/>
      <c r="C100" s="59" t="s">
        <v>186</v>
      </c>
      <c r="D100" s="51"/>
      <c r="E100" s="65" t="s">
        <v>39</v>
      </c>
      <c r="F100" s="51">
        <v>0</v>
      </c>
      <c r="G100" s="56">
        <v>3000</v>
      </c>
      <c r="H100" s="57"/>
      <c r="I100" s="78">
        <v>1</v>
      </c>
      <c r="J100" s="53" t="s">
        <v>184</v>
      </c>
      <c r="K100" s="60"/>
      <c r="L100" s="53" t="s">
        <v>187</v>
      </c>
      <c r="M100" s="54">
        <f t="shared" si="10"/>
        <v>4</v>
      </c>
      <c r="N100" s="54">
        <f t="shared" si="11"/>
        <v>5</v>
      </c>
      <c r="O100" s="61">
        <f t="shared" si="8"/>
        <v>2127</v>
      </c>
      <c r="P100" s="62" t="str">
        <f t="shared" si="9"/>
        <v>0x084F</v>
      </c>
      <c r="Q100" s="63"/>
      <c r="R100" s="38"/>
      <c r="S100" s="38"/>
      <c r="T100" s="38"/>
      <c r="U100" s="69"/>
      <c r="V100" s="12"/>
      <c r="Y100"/>
      <c r="Z100"/>
      <c r="AC100" s="12"/>
    </row>
    <row r="101" spans="1:29" x14ac:dyDescent="0.2">
      <c r="A101" s="51">
        <v>80</v>
      </c>
      <c r="B101" s="52"/>
      <c r="C101" s="59" t="s">
        <v>188</v>
      </c>
      <c r="D101" s="51"/>
      <c r="E101" s="65" t="s">
        <v>39</v>
      </c>
      <c r="F101" s="51">
        <v>0</v>
      </c>
      <c r="G101" s="56">
        <v>3000</v>
      </c>
      <c r="H101" s="57"/>
      <c r="I101" s="78">
        <v>1</v>
      </c>
      <c r="J101" s="53" t="s">
        <v>184</v>
      </c>
      <c r="K101" s="60"/>
      <c r="L101" s="53" t="s">
        <v>189</v>
      </c>
      <c r="M101" s="54">
        <f t="shared" si="10"/>
        <v>4</v>
      </c>
      <c r="N101" s="54">
        <f t="shared" si="11"/>
        <v>5</v>
      </c>
      <c r="O101" s="61">
        <f t="shared" si="8"/>
        <v>2128</v>
      </c>
      <c r="P101" s="62" t="str">
        <f t="shared" si="9"/>
        <v>0x0850</v>
      </c>
      <c r="Q101" s="63"/>
      <c r="R101" s="38"/>
      <c r="S101" s="38"/>
      <c r="T101" s="38"/>
      <c r="U101" s="69"/>
      <c r="V101" s="12"/>
      <c r="Y101"/>
      <c r="Z101"/>
      <c r="AC101" s="12"/>
    </row>
    <row r="102" spans="1:29" x14ac:dyDescent="0.2">
      <c r="A102" s="51">
        <v>81</v>
      </c>
      <c r="B102" s="52"/>
      <c r="C102" s="59" t="s">
        <v>190</v>
      </c>
      <c r="D102" s="51"/>
      <c r="E102" s="65" t="s">
        <v>39</v>
      </c>
      <c r="F102" s="51">
        <v>0</v>
      </c>
      <c r="G102" s="56">
        <v>3000</v>
      </c>
      <c r="H102" s="57"/>
      <c r="I102" s="78">
        <v>1</v>
      </c>
      <c r="J102" s="53" t="s">
        <v>184</v>
      </c>
      <c r="K102" s="60"/>
      <c r="L102" s="53" t="s">
        <v>191</v>
      </c>
      <c r="M102" s="54">
        <f t="shared" si="10"/>
        <v>4</v>
      </c>
      <c r="N102" s="54">
        <f t="shared" si="11"/>
        <v>5</v>
      </c>
      <c r="O102" s="61">
        <f t="shared" si="8"/>
        <v>2129</v>
      </c>
      <c r="P102" s="62" t="str">
        <f t="shared" si="9"/>
        <v>0x0851</v>
      </c>
      <c r="Q102" s="63"/>
      <c r="R102" s="38"/>
      <c r="S102" s="38"/>
      <c r="T102" s="38"/>
      <c r="U102" s="69"/>
      <c r="V102" s="12"/>
      <c r="Y102"/>
      <c r="Z102"/>
      <c r="AC102" s="12"/>
    </row>
    <row r="103" spans="1:29" x14ac:dyDescent="0.2">
      <c r="A103" s="51">
        <v>82</v>
      </c>
      <c r="B103" s="52"/>
      <c r="C103" s="59" t="s">
        <v>192</v>
      </c>
      <c r="D103" s="51"/>
      <c r="E103" s="65" t="s">
        <v>39</v>
      </c>
      <c r="F103" s="51">
        <v>0</v>
      </c>
      <c r="G103" s="56">
        <v>3000</v>
      </c>
      <c r="H103" s="57"/>
      <c r="I103" s="78">
        <v>1</v>
      </c>
      <c r="J103" s="53" t="s">
        <v>184</v>
      </c>
      <c r="K103" s="60"/>
      <c r="L103" s="53" t="s">
        <v>193</v>
      </c>
      <c r="M103" s="54">
        <f t="shared" si="10"/>
        <v>4</v>
      </c>
      <c r="N103" s="54">
        <f t="shared" si="11"/>
        <v>5</v>
      </c>
      <c r="O103" s="61">
        <f t="shared" si="8"/>
        <v>2130</v>
      </c>
      <c r="P103" s="62" t="str">
        <f t="shared" si="9"/>
        <v>0x0852</v>
      </c>
      <c r="Q103" s="63"/>
      <c r="R103" s="38"/>
      <c r="S103" s="38"/>
      <c r="T103" s="38"/>
      <c r="U103" s="69"/>
      <c r="V103" s="12"/>
      <c r="Y103"/>
      <c r="Z103"/>
      <c r="AC103" s="12"/>
    </row>
    <row r="104" spans="1:29" x14ac:dyDescent="0.2">
      <c r="A104" s="51">
        <v>83</v>
      </c>
      <c r="B104" s="52"/>
      <c r="C104" s="59" t="s">
        <v>194</v>
      </c>
      <c r="D104" s="51"/>
      <c r="E104" s="65" t="s">
        <v>39</v>
      </c>
      <c r="F104" s="51">
        <v>0</v>
      </c>
      <c r="G104" s="56">
        <v>3000</v>
      </c>
      <c r="H104" s="57"/>
      <c r="I104" s="78">
        <v>1</v>
      </c>
      <c r="J104" s="53" t="s">
        <v>184</v>
      </c>
      <c r="K104" s="60"/>
      <c r="L104" s="53" t="s">
        <v>195</v>
      </c>
      <c r="M104" s="54">
        <f t="shared" si="10"/>
        <v>4</v>
      </c>
      <c r="N104" s="54">
        <f t="shared" si="11"/>
        <v>5</v>
      </c>
      <c r="O104" s="61">
        <f t="shared" si="8"/>
        <v>2131</v>
      </c>
      <c r="P104" s="62" t="str">
        <f t="shared" si="9"/>
        <v>0x0853</v>
      </c>
      <c r="Q104" s="63"/>
      <c r="R104" s="38"/>
      <c r="S104" s="38"/>
      <c r="T104" s="38"/>
      <c r="U104" s="69"/>
      <c r="V104" s="12"/>
      <c r="Y104"/>
      <c r="Z104"/>
      <c r="AC104" s="12"/>
    </row>
    <row r="105" spans="1:29" x14ac:dyDescent="0.2">
      <c r="A105" s="51"/>
      <c r="B105" s="52"/>
      <c r="C105" s="59" t="s">
        <v>37</v>
      </c>
      <c r="D105" s="51"/>
      <c r="E105" s="65"/>
      <c r="F105" s="51"/>
      <c r="G105" s="81"/>
      <c r="H105" s="57"/>
      <c r="I105" s="78"/>
      <c r="J105" s="53"/>
      <c r="K105" s="60"/>
      <c r="L105" s="53"/>
      <c r="M105" s="54">
        <f t="shared" si="10"/>
        <v>4</v>
      </c>
      <c r="N105" s="54">
        <f t="shared" si="11"/>
        <v>5</v>
      </c>
      <c r="O105" s="61" t="str">
        <f t="shared" si="8"/>
        <v/>
      </c>
      <c r="P105" s="62" t="str">
        <f t="shared" si="9"/>
        <v/>
      </c>
      <c r="Q105" s="63"/>
      <c r="R105" s="38"/>
      <c r="S105" s="38"/>
      <c r="T105" s="38"/>
      <c r="U105" s="69"/>
      <c r="V105" s="12"/>
      <c r="Y105"/>
      <c r="Z105"/>
      <c r="AC105" s="12"/>
    </row>
    <row r="106" spans="1:29" x14ac:dyDescent="0.2">
      <c r="A106" s="51">
        <v>85</v>
      </c>
      <c r="B106" s="52"/>
      <c r="C106" s="59" t="s">
        <v>196</v>
      </c>
      <c r="D106" s="51"/>
      <c r="E106" s="65" t="s">
        <v>39</v>
      </c>
      <c r="F106" s="66">
        <v>25</v>
      </c>
      <c r="G106" s="66">
        <v>150</v>
      </c>
      <c r="H106" s="67"/>
      <c r="I106" s="145">
        <v>1</v>
      </c>
      <c r="J106" s="53" t="s">
        <v>197</v>
      </c>
      <c r="K106" s="60"/>
      <c r="L106" s="53" t="s">
        <v>198</v>
      </c>
      <c r="M106" s="54">
        <f t="shared" si="10"/>
        <v>4</v>
      </c>
      <c r="N106" s="54">
        <f t="shared" si="11"/>
        <v>5</v>
      </c>
      <c r="O106" s="61">
        <f t="shared" si="8"/>
        <v>2133</v>
      </c>
      <c r="P106" s="62" t="str">
        <f t="shared" si="9"/>
        <v>0x0855</v>
      </c>
      <c r="Q106" s="70" t="s">
        <v>59</v>
      </c>
      <c r="R106" s="38"/>
      <c r="S106" s="38"/>
      <c r="T106" s="38"/>
      <c r="U106" s="69"/>
      <c r="V106" s="12"/>
      <c r="Y106"/>
      <c r="Z106"/>
      <c r="AC106" s="12"/>
    </row>
    <row r="107" spans="1:29" x14ac:dyDescent="0.2">
      <c r="A107" s="51"/>
      <c r="B107" s="52"/>
      <c r="C107" s="59" t="s">
        <v>37</v>
      </c>
      <c r="D107" s="51"/>
      <c r="E107" s="65"/>
      <c r="F107" s="51"/>
      <c r="G107" s="81"/>
      <c r="H107" s="57"/>
      <c r="I107" s="78"/>
      <c r="J107" s="53"/>
      <c r="K107" s="60"/>
      <c r="L107" s="53"/>
      <c r="M107" s="54">
        <f t="shared" si="10"/>
        <v>4</v>
      </c>
      <c r="N107" s="54">
        <f t="shared" si="11"/>
        <v>5</v>
      </c>
      <c r="O107" s="61" t="str">
        <f t="shared" si="8"/>
        <v/>
      </c>
      <c r="P107" s="62" t="str">
        <f t="shared" si="9"/>
        <v/>
      </c>
      <c r="Q107" s="63"/>
      <c r="R107" s="38"/>
      <c r="S107" s="38"/>
      <c r="T107" s="38"/>
      <c r="U107" s="69"/>
      <c r="V107" s="12"/>
      <c r="Y107"/>
      <c r="Z107"/>
      <c r="AC107" s="12"/>
    </row>
    <row r="108" spans="1:29" x14ac:dyDescent="0.2">
      <c r="A108" s="51">
        <v>87</v>
      </c>
      <c r="B108" s="52"/>
      <c r="C108" s="59" t="s">
        <v>199</v>
      </c>
      <c r="D108" s="51"/>
      <c r="E108" s="65" t="s">
        <v>39</v>
      </c>
      <c r="F108" s="51">
        <v>0</v>
      </c>
      <c r="G108" s="81">
        <v>100</v>
      </c>
      <c r="H108" s="57"/>
      <c r="I108" s="78">
        <v>0.1</v>
      </c>
      <c r="J108" s="53" t="s">
        <v>45</v>
      </c>
      <c r="K108" s="60"/>
      <c r="L108" s="53" t="s">
        <v>200</v>
      </c>
      <c r="M108" s="54">
        <f t="shared" si="10"/>
        <v>4</v>
      </c>
      <c r="N108" s="54">
        <f t="shared" si="11"/>
        <v>5</v>
      </c>
      <c r="O108" s="61">
        <f t="shared" si="8"/>
        <v>2135</v>
      </c>
      <c r="P108" s="62" t="str">
        <f t="shared" si="9"/>
        <v>0x0857</v>
      </c>
      <c r="Q108" s="63" t="s">
        <v>102</v>
      </c>
      <c r="R108" s="38"/>
      <c r="S108" s="38"/>
      <c r="T108" s="38"/>
      <c r="U108" s="69"/>
      <c r="V108" s="12"/>
      <c r="Y108"/>
      <c r="Z108"/>
      <c r="AC108" s="12"/>
    </row>
    <row r="109" spans="1:29" x14ac:dyDescent="0.2">
      <c r="A109" s="51"/>
      <c r="B109" s="52"/>
      <c r="C109" s="59" t="s">
        <v>37</v>
      </c>
      <c r="D109" s="51"/>
      <c r="E109" s="65"/>
      <c r="F109" s="51"/>
      <c r="G109" s="81"/>
      <c r="H109" s="57"/>
      <c r="I109" s="78"/>
      <c r="J109" s="53"/>
      <c r="K109" s="60"/>
      <c r="L109" s="53"/>
      <c r="M109" s="54">
        <f t="shared" si="10"/>
        <v>4</v>
      </c>
      <c r="N109" s="54">
        <f t="shared" si="11"/>
        <v>5</v>
      </c>
      <c r="O109" s="61" t="str">
        <f t="shared" si="8"/>
        <v/>
      </c>
      <c r="P109" s="62" t="str">
        <f t="shared" si="9"/>
        <v/>
      </c>
      <c r="Q109" s="63"/>
      <c r="R109" s="38"/>
      <c r="S109" s="38"/>
      <c r="T109" s="38"/>
      <c r="U109" s="69"/>
      <c r="V109" s="12"/>
      <c r="Y109"/>
      <c r="Z109"/>
      <c r="AC109" s="12"/>
    </row>
    <row r="110" spans="1:29" x14ac:dyDescent="0.2">
      <c r="A110" s="51">
        <v>89</v>
      </c>
      <c r="B110" s="52"/>
      <c r="C110" s="59" t="s">
        <v>441</v>
      </c>
      <c r="D110" s="51"/>
      <c r="E110" s="60" t="s">
        <v>66</v>
      </c>
      <c r="F110" s="55">
        <v>0</v>
      </c>
      <c r="G110" s="55">
        <v>0</v>
      </c>
      <c r="H110" s="72"/>
      <c r="I110" s="78"/>
      <c r="J110" s="53"/>
      <c r="K110" s="60"/>
      <c r="L110" s="53" t="s">
        <v>442</v>
      </c>
      <c r="M110" s="54">
        <f t="shared" si="10"/>
        <v>4</v>
      </c>
      <c r="N110" s="54">
        <f t="shared" si="11"/>
        <v>5</v>
      </c>
      <c r="O110" s="61">
        <f t="shared" si="8"/>
        <v>2137</v>
      </c>
      <c r="P110" s="62" t="str">
        <f t="shared" si="9"/>
        <v>0x0859</v>
      </c>
      <c r="Q110" s="63"/>
      <c r="R110" s="38"/>
      <c r="S110" s="38"/>
      <c r="T110" s="38"/>
      <c r="U110" s="69"/>
      <c r="V110" s="12"/>
      <c r="Y110" s="80" t="s">
        <v>201</v>
      </c>
      <c r="Z110" s="12" t="s">
        <v>120</v>
      </c>
      <c r="AA110" s="13">
        <v>0</v>
      </c>
      <c r="AC110" s="12"/>
    </row>
    <row r="111" spans="1:29" x14ac:dyDescent="0.2">
      <c r="A111" s="51"/>
      <c r="B111" s="52"/>
      <c r="C111" s="60" t="s">
        <v>69</v>
      </c>
      <c r="D111" s="51"/>
      <c r="E111" s="65"/>
      <c r="F111" s="66"/>
      <c r="G111" s="66"/>
      <c r="H111" s="67"/>
      <c r="I111" s="78"/>
      <c r="J111" s="53"/>
      <c r="K111" s="60"/>
      <c r="L111" s="53"/>
      <c r="M111" s="54">
        <f t="shared" si="10"/>
        <v>4</v>
      </c>
      <c r="N111" s="54">
        <f t="shared" si="11"/>
        <v>5</v>
      </c>
      <c r="O111" s="61" t="str">
        <f t="shared" si="8"/>
        <v/>
      </c>
      <c r="P111" s="62" t="str">
        <f t="shared" si="9"/>
        <v/>
      </c>
      <c r="Q111" s="63"/>
      <c r="R111" s="38"/>
      <c r="S111" s="38"/>
      <c r="T111" s="38"/>
      <c r="U111" s="69"/>
      <c r="V111" s="12"/>
      <c r="Y111" s="80" t="s">
        <v>201</v>
      </c>
      <c r="Z111" s="12" t="s">
        <v>121</v>
      </c>
      <c r="AA111" s="13">
        <v>1</v>
      </c>
      <c r="AC111" s="12"/>
    </row>
    <row r="112" spans="1:29" x14ac:dyDescent="0.2">
      <c r="A112" s="51">
        <v>90</v>
      </c>
      <c r="B112" s="52"/>
      <c r="C112" s="59" t="s">
        <v>202</v>
      </c>
      <c r="D112" s="51"/>
      <c r="E112" s="65" t="s">
        <v>39</v>
      </c>
      <c r="F112" s="55">
        <v>0</v>
      </c>
      <c r="G112" s="55">
        <v>64</v>
      </c>
      <c r="H112" s="72">
        <v>0</v>
      </c>
      <c r="I112" s="78">
        <v>1</v>
      </c>
      <c r="J112" s="53"/>
      <c r="K112" s="60"/>
      <c r="L112" s="53" t="s">
        <v>203</v>
      </c>
      <c r="M112" s="54">
        <f t="shared" si="10"/>
        <v>4</v>
      </c>
      <c r="N112" s="54">
        <f t="shared" si="11"/>
        <v>5</v>
      </c>
      <c r="O112" s="61">
        <f t="shared" si="8"/>
        <v>2138</v>
      </c>
      <c r="P112" s="62" t="str">
        <f t="shared" si="9"/>
        <v>0x085A</v>
      </c>
      <c r="Q112" s="63" t="s">
        <v>102</v>
      </c>
      <c r="R112" s="38"/>
      <c r="S112" s="38"/>
      <c r="T112" s="38"/>
      <c r="U112" s="69"/>
      <c r="V112" s="80" t="s">
        <v>202</v>
      </c>
      <c r="W112" s="12" t="s">
        <v>204</v>
      </c>
      <c r="X112" s="13">
        <v>1</v>
      </c>
      <c r="Y112"/>
      <c r="AC112" s="12"/>
    </row>
    <row r="113" spans="1:29" x14ac:dyDescent="0.2">
      <c r="A113" s="51"/>
      <c r="B113" s="52"/>
      <c r="C113" s="60" t="s">
        <v>69</v>
      </c>
      <c r="D113" s="51"/>
      <c r="E113" s="60"/>
      <c r="F113" s="66"/>
      <c r="G113" s="66"/>
      <c r="H113" s="67"/>
      <c r="I113" s="78"/>
      <c r="J113" s="53"/>
      <c r="K113" s="60"/>
      <c r="M113" s="54">
        <f t="shared" si="10"/>
        <v>4</v>
      </c>
      <c r="N113" s="54">
        <f t="shared" si="11"/>
        <v>5</v>
      </c>
      <c r="O113" s="61" t="str">
        <f t="shared" si="8"/>
        <v/>
      </c>
      <c r="P113" s="62" t="str">
        <f t="shared" si="9"/>
        <v/>
      </c>
      <c r="Q113" s="63"/>
      <c r="R113" s="38"/>
      <c r="S113" s="38"/>
      <c r="T113" s="38"/>
      <c r="U113" s="69"/>
      <c r="V113" s="80" t="s">
        <v>202</v>
      </c>
      <c r="W113" s="12" t="s">
        <v>205</v>
      </c>
      <c r="X113" s="13">
        <v>2</v>
      </c>
      <c r="Y113"/>
      <c r="AC113" s="12"/>
    </row>
    <row r="114" spans="1:29" x14ac:dyDescent="0.2">
      <c r="A114" s="51"/>
      <c r="B114" s="52"/>
      <c r="C114" s="60" t="s">
        <v>69</v>
      </c>
      <c r="D114" s="51"/>
      <c r="E114" s="60"/>
      <c r="F114" s="66"/>
      <c r="G114" s="66"/>
      <c r="H114" s="67"/>
      <c r="I114" s="78"/>
      <c r="J114" s="53"/>
      <c r="K114" s="60"/>
      <c r="M114" s="54">
        <f t="shared" si="10"/>
        <v>4</v>
      </c>
      <c r="N114" s="54">
        <f t="shared" si="11"/>
        <v>5</v>
      </c>
      <c r="O114" s="61" t="str">
        <f t="shared" si="8"/>
        <v/>
      </c>
      <c r="P114" s="62" t="str">
        <f t="shared" si="9"/>
        <v/>
      </c>
      <c r="Q114" s="63"/>
      <c r="R114" s="38"/>
      <c r="S114" s="38"/>
      <c r="T114" s="38"/>
      <c r="U114" s="69"/>
      <c r="V114" s="80" t="s">
        <v>202</v>
      </c>
      <c r="W114" s="12" t="s">
        <v>206</v>
      </c>
      <c r="X114" s="13">
        <v>4</v>
      </c>
      <c r="Y114"/>
      <c r="AC114" s="12"/>
    </row>
    <row r="115" spans="1:29" x14ac:dyDescent="0.2">
      <c r="A115" s="51"/>
      <c r="B115" s="52"/>
      <c r="C115" s="60" t="s">
        <v>69</v>
      </c>
      <c r="D115" s="51"/>
      <c r="E115" s="65"/>
      <c r="F115" s="66"/>
      <c r="G115" s="66"/>
      <c r="H115" s="67"/>
      <c r="I115" s="78"/>
      <c r="J115" s="53"/>
      <c r="K115" s="60"/>
      <c r="L115" s="53"/>
      <c r="M115" s="54">
        <f t="shared" si="10"/>
        <v>4</v>
      </c>
      <c r="N115" s="54">
        <f t="shared" si="11"/>
        <v>5</v>
      </c>
      <c r="O115" s="61" t="str">
        <f t="shared" si="8"/>
        <v/>
      </c>
      <c r="P115" s="62" t="str">
        <f t="shared" si="9"/>
        <v/>
      </c>
      <c r="Q115" s="63"/>
      <c r="R115" s="38"/>
      <c r="S115" s="38"/>
      <c r="T115" s="38"/>
      <c r="U115" s="69"/>
      <c r="V115" s="80" t="s">
        <v>202</v>
      </c>
      <c r="W115" s="12" t="s">
        <v>207</v>
      </c>
      <c r="X115" s="13">
        <v>8</v>
      </c>
      <c r="Y115"/>
      <c r="AC115" s="12"/>
    </row>
    <row r="116" spans="1:29" x14ac:dyDescent="0.2">
      <c r="A116" s="51"/>
      <c r="B116" s="52"/>
      <c r="C116" s="60" t="s">
        <v>69</v>
      </c>
      <c r="D116" s="51"/>
      <c r="E116" s="65"/>
      <c r="F116" s="68"/>
      <c r="G116" s="68"/>
      <c r="H116" s="67"/>
      <c r="I116" s="78"/>
      <c r="J116" s="53"/>
      <c r="K116" s="60"/>
      <c r="L116" s="53"/>
      <c r="M116" s="54">
        <f t="shared" si="10"/>
        <v>4</v>
      </c>
      <c r="N116" s="54">
        <f t="shared" si="11"/>
        <v>5</v>
      </c>
      <c r="O116" s="61" t="str">
        <f t="shared" si="8"/>
        <v/>
      </c>
      <c r="P116" s="62" t="str">
        <f t="shared" si="9"/>
        <v/>
      </c>
      <c r="Q116" s="63"/>
      <c r="R116" s="38"/>
      <c r="S116" s="38"/>
      <c r="T116" s="38"/>
      <c r="U116" s="69"/>
      <c r="V116" s="80" t="s">
        <v>202</v>
      </c>
      <c r="W116" s="12" t="s">
        <v>208</v>
      </c>
      <c r="X116" s="13">
        <v>16</v>
      </c>
      <c r="Y116"/>
      <c r="AC116" s="12"/>
    </row>
    <row r="117" spans="1:29" x14ac:dyDescent="0.2">
      <c r="A117" s="51"/>
      <c r="B117" s="52"/>
      <c r="C117" s="60" t="s">
        <v>69</v>
      </c>
      <c r="D117" s="51"/>
      <c r="E117" s="65"/>
      <c r="F117" s="68"/>
      <c r="G117" s="68"/>
      <c r="H117" s="67"/>
      <c r="I117" s="78"/>
      <c r="J117" s="53"/>
      <c r="K117" s="60"/>
      <c r="L117" s="53"/>
      <c r="M117" s="54">
        <f t="shared" si="10"/>
        <v>4</v>
      </c>
      <c r="N117" s="54">
        <f t="shared" si="11"/>
        <v>5</v>
      </c>
      <c r="O117" s="61" t="str">
        <f t="shared" si="8"/>
        <v/>
      </c>
      <c r="P117" s="62" t="str">
        <f t="shared" si="9"/>
        <v/>
      </c>
      <c r="Q117" s="63"/>
      <c r="R117" s="38"/>
      <c r="S117" s="38"/>
      <c r="T117" s="38"/>
      <c r="U117" s="69"/>
      <c r="V117" s="80" t="s">
        <v>202</v>
      </c>
      <c r="W117" s="103" t="s">
        <v>209</v>
      </c>
      <c r="X117" s="13">
        <v>32</v>
      </c>
      <c r="Y117"/>
      <c r="AC117" s="12"/>
    </row>
    <row r="118" spans="1:29" x14ac:dyDescent="0.2">
      <c r="A118" s="51"/>
      <c r="B118" s="52"/>
      <c r="C118" s="60" t="s">
        <v>69</v>
      </c>
      <c r="D118" s="51"/>
      <c r="E118" s="65"/>
      <c r="F118" s="68"/>
      <c r="G118" s="68"/>
      <c r="H118" s="67"/>
      <c r="I118" s="78"/>
      <c r="J118" s="53"/>
      <c r="K118" s="60"/>
      <c r="L118" s="53"/>
      <c r="M118" s="54">
        <f t="shared" si="10"/>
        <v>4</v>
      </c>
      <c r="N118" s="54">
        <f t="shared" si="11"/>
        <v>5</v>
      </c>
      <c r="O118" s="61" t="str">
        <f t="shared" si="8"/>
        <v/>
      </c>
      <c r="P118" s="62" t="str">
        <f t="shared" si="9"/>
        <v/>
      </c>
      <c r="Q118" s="63"/>
      <c r="R118" s="38"/>
      <c r="S118" s="38"/>
      <c r="T118" s="38"/>
      <c r="U118" s="69"/>
      <c r="V118" s="80" t="s">
        <v>202</v>
      </c>
      <c r="W118" s="103" t="s">
        <v>210</v>
      </c>
      <c r="X118" s="13">
        <v>64</v>
      </c>
      <c r="Y118"/>
      <c r="AC118" s="12"/>
    </row>
    <row r="119" spans="1:29" x14ac:dyDescent="0.2">
      <c r="A119" s="51">
        <v>91</v>
      </c>
      <c r="B119" s="52"/>
      <c r="C119" s="59" t="s">
        <v>211</v>
      </c>
      <c r="D119" s="51"/>
      <c r="E119" s="65" t="s">
        <v>39</v>
      </c>
      <c r="F119" s="51">
        <v>0</v>
      </c>
      <c r="G119" s="56">
        <v>3000</v>
      </c>
      <c r="H119" s="57"/>
      <c r="I119" s="78">
        <v>1</v>
      </c>
      <c r="J119" s="53" t="s">
        <v>184</v>
      </c>
      <c r="K119" s="60"/>
      <c r="L119" s="53" t="s">
        <v>212</v>
      </c>
      <c r="M119" s="54">
        <f t="shared" si="10"/>
        <v>4</v>
      </c>
      <c r="N119" s="54">
        <f t="shared" si="11"/>
        <v>5</v>
      </c>
      <c r="O119" s="61">
        <f t="shared" si="8"/>
        <v>2139</v>
      </c>
      <c r="P119" s="62" t="str">
        <f t="shared" si="9"/>
        <v>0x085B</v>
      </c>
      <c r="Q119" s="63"/>
      <c r="R119" s="38"/>
      <c r="S119" s="38"/>
      <c r="T119" s="38"/>
      <c r="U119" s="69"/>
      <c r="V119" s="80"/>
      <c r="W119" s="103"/>
      <c r="Y119"/>
      <c r="AC119" s="12"/>
    </row>
    <row r="120" spans="1:29" x14ac:dyDescent="0.2">
      <c r="A120" s="51">
        <v>92</v>
      </c>
      <c r="B120" s="52"/>
      <c r="C120" s="59" t="s">
        <v>213</v>
      </c>
      <c r="D120" s="51"/>
      <c r="E120" s="65" t="s">
        <v>39</v>
      </c>
      <c r="F120" s="51">
        <v>0</v>
      </c>
      <c r="G120" s="56">
        <v>3000</v>
      </c>
      <c r="H120" s="57"/>
      <c r="I120" s="78">
        <v>1</v>
      </c>
      <c r="J120" s="53" t="s">
        <v>184</v>
      </c>
      <c r="K120" s="60"/>
      <c r="L120" s="53" t="s">
        <v>214</v>
      </c>
      <c r="M120" s="54">
        <f t="shared" si="10"/>
        <v>4</v>
      </c>
      <c r="N120" s="54">
        <f t="shared" si="11"/>
        <v>5</v>
      </c>
      <c r="O120" s="61">
        <f t="shared" si="8"/>
        <v>2140</v>
      </c>
      <c r="P120" s="62" t="str">
        <f t="shared" si="9"/>
        <v>0x085C</v>
      </c>
      <c r="Q120" s="63"/>
      <c r="R120" s="38"/>
      <c r="S120" s="38"/>
      <c r="T120" s="38"/>
      <c r="U120" s="69"/>
      <c r="V120" s="80"/>
      <c r="W120" s="103"/>
      <c r="Y120"/>
      <c r="AC120" s="12"/>
    </row>
    <row r="121" spans="1:29" x14ac:dyDescent="0.2">
      <c r="A121" s="51">
        <v>93</v>
      </c>
      <c r="B121" s="52"/>
      <c r="C121" s="59" t="s">
        <v>215</v>
      </c>
      <c r="D121" s="51"/>
      <c r="E121" s="65" t="s">
        <v>39</v>
      </c>
      <c r="F121" s="51">
        <v>0</v>
      </c>
      <c r="G121" s="56">
        <v>3000</v>
      </c>
      <c r="H121" s="57"/>
      <c r="I121" s="78">
        <v>1</v>
      </c>
      <c r="J121" s="53" t="s">
        <v>184</v>
      </c>
      <c r="K121" s="60"/>
      <c r="L121" s="53" t="s">
        <v>216</v>
      </c>
      <c r="M121" s="54">
        <f t="shared" si="10"/>
        <v>4</v>
      </c>
      <c r="N121" s="54">
        <f t="shared" si="11"/>
        <v>5</v>
      </c>
      <c r="O121" s="61">
        <f t="shared" si="8"/>
        <v>2141</v>
      </c>
      <c r="P121" s="62" t="str">
        <f t="shared" si="9"/>
        <v>0x085D</v>
      </c>
      <c r="Q121" s="63"/>
      <c r="R121" s="38"/>
      <c r="S121" s="38"/>
      <c r="T121" s="38"/>
      <c r="U121" s="69"/>
      <c r="V121" s="80"/>
      <c r="W121" s="103"/>
      <c r="Y121"/>
      <c r="AC121" s="12"/>
    </row>
    <row r="122" spans="1:29" x14ac:dyDescent="0.2">
      <c r="A122" s="51">
        <v>94</v>
      </c>
      <c r="B122" s="52"/>
      <c r="C122" s="59" t="s">
        <v>217</v>
      </c>
      <c r="D122" s="51"/>
      <c r="E122" s="65" t="s">
        <v>39</v>
      </c>
      <c r="F122" s="51">
        <v>0</v>
      </c>
      <c r="G122" s="56">
        <v>3000</v>
      </c>
      <c r="H122" s="57"/>
      <c r="I122" s="78">
        <v>1</v>
      </c>
      <c r="J122" s="53" t="s">
        <v>184</v>
      </c>
      <c r="K122" s="60"/>
      <c r="L122" s="53" t="s">
        <v>218</v>
      </c>
      <c r="M122" s="54">
        <f t="shared" si="10"/>
        <v>4</v>
      </c>
      <c r="N122" s="54">
        <f t="shared" si="11"/>
        <v>5</v>
      </c>
      <c r="O122" s="61">
        <f t="shared" si="8"/>
        <v>2142</v>
      </c>
      <c r="P122" s="62" t="str">
        <f t="shared" si="9"/>
        <v>0x085E</v>
      </c>
      <c r="Q122" s="63"/>
      <c r="R122" s="38"/>
      <c r="S122" s="38"/>
      <c r="T122" s="38"/>
      <c r="U122" s="69"/>
      <c r="V122" s="80"/>
      <c r="W122" s="103"/>
      <c r="Y122"/>
      <c r="AC122" s="12"/>
    </row>
    <row r="123" spans="1:29" x14ac:dyDescent="0.2">
      <c r="A123" s="51">
        <v>95</v>
      </c>
      <c r="B123" s="52"/>
      <c r="C123" s="59" t="s">
        <v>219</v>
      </c>
      <c r="D123" s="51"/>
      <c r="E123" s="65" t="s">
        <v>39</v>
      </c>
      <c r="F123" s="51">
        <v>0</v>
      </c>
      <c r="G123" s="56">
        <v>3000</v>
      </c>
      <c r="H123" s="57"/>
      <c r="I123" s="78">
        <v>1</v>
      </c>
      <c r="J123" s="53" t="s">
        <v>184</v>
      </c>
      <c r="K123" s="60"/>
      <c r="L123" s="53" t="s">
        <v>220</v>
      </c>
      <c r="M123" s="54">
        <f t="shared" si="10"/>
        <v>4</v>
      </c>
      <c r="N123" s="54">
        <f t="shared" si="11"/>
        <v>5</v>
      </c>
      <c r="O123" s="61">
        <f t="shared" si="8"/>
        <v>2143</v>
      </c>
      <c r="P123" s="62" t="str">
        <f t="shared" si="9"/>
        <v>0x085F</v>
      </c>
      <c r="Q123" s="63"/>
      <c r="R123" s="38"/>
      <c r="S123" s="38"/>
      <c r="T123" s="38"/>
      <c r="U123" s="69"/>
      <c r="V123" s="80"/>
      <c r="W123" s="103"/>
      <c r="Y123"/>
      <c r="AC123" s="12"/>
    </row>
    <row r="124" spans="1:29" x14ac:dyDescent="0.2">
      <c r="A124" s="51">
        <v>96</v>
      </c>
      <c r="B124" s="52"/>
      <c r="C124" s="59" t="s">
        <v>221</v>
      </c>
      <c r="D124" s="51"/>
      <c r="E124" s="65" t="s">
        <v>39</v>
      </c>
      <c r="F124" s="51">
        <v>0</v>
      </c>
      <c r="G124" s="56">
        <v>3000</v>
      </c>
      <c r="H124" s="57"/>
      <c r="I124" s="78">
        <v>1</v>
      </c>
      <c r="J124" s="53" t="s">
        <v>184</v>
      </c>
      <c r="K124" s="60"/>
      <c r="L124" s="53" t="s">
        <v>222</v>
      </c>
      <c r="M124" s="54">
        <f t="shared" si="10"/>
        <v>4</v>
      </c>
      <c r="N124" s="54">
        <f t="shared" si="11"/>
        <v>5</v>
      </c>
      <c r="O124" s="61">
        <f t="shared" si="8"/>
        <v>2144</v>
      </c>
      <c r="P124" s="62" t="str">
        <f t="shared" si="9"/>
        <v>0x0860</v>
      </c>
      <c r="Q124" s="63"/>
      <c r="R124" s="38"/>
      <c r="S124" s="38"/>
      <c r="T124" s="38"/>
      <c r="U124" s="69"/>
      <c r="V124" s="80"/>
      <c r="W124" s="103"/>
      <c r="Y124"/>
      <c r="AC124" s="12"/>
    </row>
    <row r="125" spans="1:29" x14ac:dyDescent="0.2">
      <c r="A125" s="51"/>
      <c r="B125" s="52"/>
      <c r="C125" s="51" t="s">
        <v>37</v>
      </c>
      <c r="D125" s="51"/>
      <c r="E125" s="65"/>
      <c r="F125" s="68"/>
      <c r="G125" s="68"/>
      <c r="H125" s="67"/>
      <c r="I125" s="78"/>
      <c r="J125" s="53"/>
      <c r="K125" s="60"/>
      <c r="L125" s="53"/>
      <c r="M125" s="54">
        <f t="shared" si="10"/>
        <v>4</v>
      </c>
      <c r="N125" s="54">
        <f t="shared" si="11"/>
        <v>5</v>
      </c>
      <c r="O125" s="61" t="str">
        <f t="shared" si="8"/>
        <v/>
      </c>
      <c r="P125" s="62" t="str">
        <f t="shared" si="9"/>
        <v/>
      </c>
      <c r="Q125" s="63"/>
      <c r="R125" s="38"/>
      <c r="S125" s="38"/>
      <c r="T125" s="38"/>
      <c r="U125" s="69"/>
      <c r="V125" s="79"/>
      <c r="W125" s="103"/>
      <c r="AC125" s="12"/>
    </row>
    <row r="126" spans="1:29" x14ac:dyDescent="0.2">
      <c r="A126" s="214">
        <v>102</v>
      </c>
      <c r="B126" s="210"/>
      <c r="C126" s="212" t="s">
        <v>438</v>
      </c>
      <c r="D126" s="214"/>
      <c r="E126" s="216" t="s">
        <v>39</v>
      </c>
      <c r="F126" s="215">
        <v>0</v>
      </c>
      <c r="G126" s="215">
        <v>100</v>
      </c>
      <c r="H126" s="217"/>
      <c r="I126" s="218">
        <v>3.5999999999999999E-3</v>
      </c>
      <c r="J126" s="213" t="s">
        <v>439</v>
      </c>
      <c r="K126" s="211"/>
      <c r="L126" s="213" t="s">
        <v>440</v>
      </c>
      <c r="M126" s="54">
        <f t="shared" si="10"/>
        <v>4</v>
      </c>
      <c r="N126" s="54">
        <f t="shared" si="11"/>
        <v>5</v>
      </c>
      <c r="O126" s="61">
        <f t="shared" si="8"/>
        <v>2150</v>
      </c>
      <c r="P126" s="62" t="str">
        <f t="shared" si="9"/>
        <v>0x0866</v>
      </c>
      <c r="Q126" s="63"/>
      <c r="R126" s="38"/>
      <c r="S126" s="38"/>
      <c r="T126" s="38"/>
      <c r="U126" s="69"/>
      <c r="V126" s="12"/>
      <c r="AC126" s="12"/>
    </row>
    <row r="127" spans="1:29" x14ac:dyDescent="0.2">
      <c r="A127" s="51"/>
      <c r="B127" s="52"/>
      <c r="C127" s="59" t="s">
        <v>37</v>
      </c>
      <c r="D127" s="51"/>
      <c r="E127" s="125"/>
      <c r="F127" s="68"/>
      <c r="G127" s="68"/>
      <c r="H127" s="67"/>
      <c r="I127" s="146"/>
      <c r="J127" s="53"/>
      <c r="K127" s="60"/>
      <c r="L127" s="53"/>
      <c r="M127" s="54">
        <f t="shared" si="10"/>
        <v>4</v>
      </c>
      <c r="N127" s="54">
        <f t="shared" si="11"/>
        <v>5</v>
      </c>
      <c r="O127" s="61" t="str">
        <f t="shared" si="8"/>
        <v/>
      </c>
      <c r="P127" s="62" t="str">
        <f t="shared" si="9"/>
        <v/>
      </c>
      <c r="Q127" s="63"/>
      <c r="R127" s="38"/>
      <c r="S127" s="38"/>
      <c r="T127" s="38"/>
      <c r="U127" s="69"/>
      <c r="V127" s="12"/>
      <c r="AC127" s="12"/>
    </row>
    <row r="128" spans="1:29" x14ac:dyDescent="0.2">
      <c r="A128" s="51"/>
      <c r="B128" s="52"/>
      <c r="C128" s="59" t="s">
        <v>37</v>
      </c>
      <c r="D128" s="51"/>
      <c r="E128" s="125"/>
      <c r="F128" s="68"/>
      <c r="G128" s="68"/>
      <c r="H128" s="67"/>
      <c r="I128" s="146"/>
      <c r="J128" s="53"/>
      <c r="K128" s="60"/>
      <c r="L128" s="53"/>
      <c r="M128" s="54">
        <f t="shared" si="10"/>
        <v>4</v>
      </c>
      <c r="N128" s="54">
        <f t="shared" si="11"/>
        <v>5</v>
      </c>
      <c r="O128" s="61" t="str">
        <f t="shared" si="8"/>
        <v/>
      </c>
      <c r="P128" s="62" t="str">
        <f t="shared" si="9"/>
        <v/>
      </c>
      <c r="Q128" s="63"/>
      <c r="R128" s="38"/>
      <c r="S128" s="38"/>
      <c r="T128" s="38"/>
      <c r="U128" s="69"/>
      <c r="V128" s="12"/>
      <c r="Y128"/>
      <c r="AC128" s="12"/>
    </row>
    <row r="129" spans="1:29" x14ac:dyDescent="0.2">
      <c r="A129" s="51"/>
      <c r="B129" s="52"/>
      <c r="C129" s="59" t="s">
        <v>37</v>
      </c>
      <c r="D129" s="51"/>
      <c r="E129" s="125"/>
      <c r="F129" s="68"/>
      <c r="G129" s="68"/>
      <c r="H129" s="67"/>
      <c r="I129" s="146"/>
      <c r="J129" s="53"/>
      <c r="K129" s="60"/>
      <c r="L129" s="53"/>
      <c r="M129" s="54">
        <f t="shared" si="10"/>
        <v>4</v>
      </c>
      <c r="N129" s="54">
        <f t="shared" si="11"/>
        <v>5</v>
      </c>
      <c r="O129" s="61" t="str">
        <f t="shared" si="8"/>
        <v/>
      </c>
      <c r="P129" s="62" t="str">
        <f t="shared" si="9"/>
        <v/>
      </c>
      <c r="Q129" s="63"/>
      <c r="R129" s="38"/>
      <c r="S129" s="38"/>
      <c r="T129" s="38"/>
      <c r="U129" s="69"/>
      <c r="V129" s="12"/>
      <c r="Y129"/>
      <c r="AC129" s="12"/>
    </row>
    <row r="130" spans="1:29" ht="26.25" customHeight="1" x14ac:dyDescent="0.2">
      <c r="A130" s="51">
        <v>127</v>
      </c>
      <c r="B130" s="52"/>
      <c r="C130" s="59" t="s">
        <v>223</v>
      </c>
      <c r="D130" s="51"/>
      <c r="E130" s="147" t="s">
        <v>66</v>
      </c>
      <c r="F130" s="55">
        <v>0</v>
      </c>
      <c r="G130" s="55">
        <v>0</v>
      </c>
      <c r="H130" s="72"/>
      <c r="I130" s="78"/>
      <c r="J130" s="53"/>
      <c r="K130" s="60"/>
      <c r="L130" s="148" t="s">
        <v>224</v>
      </c>
      <c r="M130" s="54">
        <f t="shared" si="10"/>
        <v>4</v>
      </c>
      <c r="N130" s="54">
        <f t="shared" si="11"/>
        <v>5</v>
      </c>
      <c r="O130" s="61">
        <f t="shared" si="8"/>
        <v>2175</v>
      </c>
      <c r="P130" s="62" t="str">
        <f t="shared" si="9"/>
        <v>0x087F</v>
      </c>
      <c r="Q130" s="63"/>
      <c r="R130" s="38"/>
      <c r="S130" s="38"/>
      <c r="T130" s="38"/>
      <c r="U130" s="69"/>
      <c r="V130" s="12"/>
      <c r="Y130" s="80" t="s">
        <v>223</v>
      </c>
      <c r="Z130" s="12" t="s">
        <v>68</v>
      </c>
      <c r="AA130" s="13">
        <v>0</v>
      </c>
      <c r="AC130" s="12"/>
    </row>
    <row r="131" spans="1:29" x14ac:dyDescent="0.2">
      <c r="A131" s="51"/>
      <c r="B131" s="52"/>
      <c r="C131" s="60" t="s">
        <v>69</v>
      </c>
      <c r="D131" s="51"/>
      <c r="E131" s="60"/>
      <c r="F131" s="68"/>
      <c r="G131" s="66"/>
      <c r="H131" s="67"/>
      <c r="I131" s="146"/>
      <c r="J131" s="53"/>
      <c r="K131" s="60"/>
      <c r="L131" s="59"/>
      <c r="M131" s="54">
        <f t="shared" si="10"/>
        <v>4</v>
      </c>
      <c r="N131" s="54">
        <f t="shared" si="11"/>
        <v>5</v>
      </c>
      <c r="O131" s="61" t="str">
        <f t="shared" si="8"/>
        <v/>
      </c>
      <c r="P131" s="62" t="str">
        <f t="shared" si="9"/>
        <v/>
      </c>
      <c r="Q131" s="63"/>
      <c r="R131" s="38"/>
      <c r="S131" s="38"/>
      <c r="T131" s="38"/>
      <c r="U131" s="69"/>
      <c r="V131" s="12"/>
      <c r="Y131" s="80" t="s">
        <v>223</v>
      </c>
      <c r="Z131" s="12" t="s">
        <v>70</v>
      </c>
      <c r="AA131" s="13">
        <v>1</v>
      </c>
      <c r="AC131" s="12"/>
    </row>
    <row r="132" spans="1:29" x14ac:dyDescent="0.2">
      <c r="A132" s="51"/>
      <c r="B132" s="52"/>
      <c r="C132" s="51" t="s">
        <v>37</v>
      </c>
      <c r="D132" s="51"/>
      <c r="E132" s="60"/>
      <c r="F132" s="68"/>
      <c r="G132" s="66"/>
      <c r="H132" s="67"/>
      <c r="I132" s="146"/>
      <c r="J132" s="53"/>
      <c r="K132" s="60"/>
      <c r="L132" s="59"/>
      <c r="M132" s="54">
        <f t="shared" si="10"/>
        <v>4</v>
      </c>
      <c r="N132" s="54">
        <f t="shared" si="11"/>
        <v>5</v>
      </c>
      <c r="O132" s="61" t="str">
        <f t="shared" si="8"/>
        <v/>
      </c>
      <c r="P132" s="62" t="str">
        <f t="shared" si="9"/>
        <v/>
      </c>
      <c r="Q132" s="63"/>
      <c r="R132" s="38"/>
      <c r="S132" s="38"/>
      <c r="T132" s="38"/>
      <c r="U132" s="69"/>
      <c r="V132" s="12"/>
      <c r="Y132"/>
      <c r="Z132"/>
      <c r="AC132" s="12"/>
    </row>
    <row r="133" spans="1:29" x14ac:dyDescent="0.2">
      <c r="A133" s="51"/>
      <c r="B133" s="52"/>
      <c r="C133" s="51" t="s">
        <v>37</v>
      </c>
      <c r="D133" s="51"/>
      <c r="E133" s="60"/>
      <c r="F133" s="68"/>
      <c r="G133" s="66"/>
      <c r="H133" s="67"/>
      <c r="I133" s="146"/>
      <c r="J133" s="53"/>
      <c r="K133" s="60"/>
      <c r="L133" s="59"/>
      <c r="M133" s="54">
        <f t="shared" si="10"/>
        <v>4</v>
      </c>
      <c r="N133" s="54">
        <f t="shared" si="11"/>
        <v>5</v>
      </c>
      <c r="O133" s="61" t="str">
        <f t="shared" si="8"/>
        <v/>
      </c>
      <c r="P133" s="62" t="str">
        <f t="shared" si="9"/>
        <v/>
      </c>
      <c r="Q133" s="63"/>
      <c r="R133" s="38"/>
      <c r="S133" s="38"/>
      <c r="T133" s="38"/>
      <c r="U133" s="69"/>
      <c r="V133" s="12"/>
      <c r="Y133"/>
      <c r="Z133"/>
      <c r="AC133" s="12"/>
    </row>
    <row r="134" spans="1:29" x14ac:dyDescent="0.2">
      <c r="A134" s="51">
        <v>144</v>
      </c>
      <c r="B134" s="52"/>
      <c r="C134" s="149" t="s">
        <v>225</v>
      </c>
      <c r="D134" s="73"/>
      <c r="E134" s="105" t="s">
        <v>39</v>
      </c>
      <c r="F134" s="73">
        <v>-125</v>
      </c>
      <c r="G134" s="106">
        <v>255</v>
      </c>
      <c r="H134" s="107">
        <v>-125</v>
      </c>
      <c r="I134" s="150">
        <v>1</v>
      </c>
      <c r="J134" s="77" t="s">
        <v>226</v>
      </c>
      <c r="K134" s="60"/>
      <c r="L134" s="59" t="s">
        <v>227</v>
      </c>
      <c r="M134" s="54">
        <f t="shared" si="10"/>
        <v>4</v>
      </c>
      <c r="N134" s="54">
        <f t="shared" si="11"/>
        <v>5</v>
      </c>
      <c r="O134" s="61">
        <f t="shared" si="8"/>
        <v>2192</v>
      </c>
      <c r="P134" s="62" t="str">
        <f t="shared" si="9"/>
        <v>0x0890</v>
      </c>
      <c r="Q134" s="70" t="s">
        <v>59</v>
      </c>
      <c r="R134" s="38"/>
      <c r="S134" s="38"/>
      <c r="T134" s="38"/>
      <c r="U134" s="69"/>
      <c r="V134" s="12" t="s">
        <v>225</v>
      </c>
      <c r="W134" s="79" t="s">
        <v>228</v>
      </c>
      <c r="X134" s="13">
        <v>251</v>
      </c>
      <c r="Y134"/>
      <c r="Z134"/>
      <c r="AC134" s="12"/>
    </row>
    <row r="135" spans="1:29" x14ac:dyDescent="0.2">
      <c r="A135" s="51"/>
      <c r="B135" s="52"/>
      <c r="C135" s="60" t="s">
        <v>69</v>
      </c>
      <c r="D135" s="73"/>
      <c r="E135" s="105"/>
      <c r="F135" s="73"/>
      <c r="G135" s="106"/>
      <c r="H135" s="107"/>
      <c r="I135" s="150"/>
      <c r="J135" s="77"/>
      <c r="K135" s="60"/>
      <c r="L135" s="59"/>
      <c r="M135" s="54">
        <f t="shared" si="10"/>
        <v>4</v>
      </c>
      <c r="N135" s="54">
        <f t="shared" si="11"/>
        <v>5</v>
      </c>
      <c r="O135" s="61" t="str">
        <f t="shared" si="8"/>
        <v/>
      </c>
      <c r="P135" s="62" t="str">
        <f t="shared" si="9"/>
        <v/>
      </c>
      <c r="Q135" s="63"/>
      <c r="R135" s="38"/>
      <c r="S135" s="38"/>
      <c r="T135" s="38"/>
      <c r="U135" s="69"/>
      <c r="V135" s="12" t="s">
        <v>225</v>
      </c>
      <c r="W135" s="12" t="s">
        <v>175</v>
      </c>
      <c r="X135" s="13">
        <v>125</v>
      </c>
      <c r="Y135"/>
      <c r="Z135"/>
      <c r="AC135" s="12"/>
    </row>
    <row r="136" spans="1:29" x14ac:dyDescent="0.2">
      <c r="A136" s="51"/>
      <c r="B136" s="52"/>
      <c r="C136" s="60" t="s">
        <v>69</v>
      </c>
      <c r="D136" s="73"/>
      <c r="E136" s="105"/>
      <c r="F136" s="73"/>
      <c r="G136" s="106"/>
      <c r="H136" s="107"/>
      <c r="I136" s="150"/>
      <c r="J136" s="77"/>
      <c r="K136" s="60"/>
      <c r="L136" s="59"/>
      <c r="M136" s="54">
        <f t="shared" si="10"/>
        <v>4</v>
      </c>
      <c r="N136" s="54">
        <f t="shared" si="11"/>
        <v>5</v>
      </c>
      <c r="O136" s="61" t="str">
        <f t="shared" si="8"/>
        <v/>
      </c>
      <c r="P136" s="62" t="str">
        <f t="shared" si="9"/>
        <v/>
      </c>
      <c r="Q136" s="63"/>
      <c r="R136" s="38"/>
      <c r="S136" s="38"/>
      <c r="T136" s="38"/>
      <c r="U136" s="69"/>
      <c r="V136" s="12" t="s">
        <v>225</v>
      </c>
      <c r="W136" s="12" t="s">
        <v>176</v>
      </c>
      <c r="X136" s="13">
        <v>126</v>
      </c>
      <c r="Y136"/>
      <c r="Z136"/>
      <c r="AC136" s="12"/>
    </row>
    <row r="137" spans="1:29" x14ac:dyDescent="0.2">
      <c r="A137" s="51"/>
      <c r="B137" s="52"/>
      <c r="C137" s="60" t="s">
        <v>69</v>
      </c>
      <c r="D137" s="73"/>
      <c r="E137" s="105"/>
      <c r="F137" s="73"/>
      <c r="G137" s="106"/>
      <c r="H137" s="107"/>
      <c r="I137" s="150"/>
      <c r="J137" s="77"/>
      <c r="K137" s="60"/>
      <c r="L137" s="59"/>
      <c r="M137" s="54">
        <f t="shared" si="10"/>
        <v>4</v>
      </c>
      <c r="N137" s="54">
        <f t="shared" si="11"/>
        <v>5</v>
      </c>
      <c r="O137" s="61" t="str">
        <f t="shared" si="8"/>
        <v/>
      </c>
      <c r="P137" s="62" t="str">
        <f t="shared" si="9"/>
        <v/>
      </c>
      <c r="Q137" s="63"/>
      <c r="R137" s="38"/>
      <c r="S137" s="38"/>
      <c r="T137" s="38"/>
      <c r="U137" s="69"/>
      <c r="V137" s="12" t="s">
        <v>225</v>
      </c>
      <c r="W137" s="103" t="s">
        <v>177</v>
      </c>
      <c r="X137" s="13">
        <v>124</v>
      </c>
      <c r="Y137"/>
      <c r="Z137"/>
      <c r="AC137" s="12"/>
    </row>
    <row r="138" spans="1:29" x14ac:dyDescent="0.2">
      <c r="A138" s="51">
        <v>145</v>
      </c>
      <c r="B138" s="52"/>
      <c r="C138" s="82" t="s">
        <v>229</v>
      </c>
      <c r="D138" s="73"/>
      <c r="E138" s="105" t="s">
        <v>39</v>
      </c>
      <c r="F138" s="73">
        <v>-125</v>
      </c>
      <c r="G138" s="106">
        <v>255</v>
      </c>
      <c r="H138" s="107">
        <v>-125</v>
      </c>
      <c r="I138" s="150">
        <v>1</v>
      </c>
      <c r="J138" s="77" t="s">
        <v>226</v>
      </c>
      <c r="K138" s="60"/>
      <c r="L138" s="59" t="s">
        <v>230</v>
      </c>
      <c r="M138" s="54">
        <f t="shared" si="10"/>
        <v>4</v>
      </c>
      <c r="N138" s="54">
        <f t="shared" si="11"/>
        <v>5</v>
      </c>
      <c r="O138" s="61">
        <f t="shared" si="8"/>
        <v>2193</v>
      </c>
      <c r="P138" s="62" t="str">
        <f t="shared" si="9"/>
        <v>0x0891</v>
      </c>
      <c r="Q138" s="70" t="s">
        <v>59</v>
      </c>
      <c r="R138" s="38"/>
      <c r="S138" s="38"/>
      <c r="T138" s="38"/>
      <c r="U138" s="69"/>
      <c r="V138" s="12" t="s">
        <v>229</v>
      </c>
      <c r="W138" s="12" t="s">
        <v>228</v>
      </c>
      <c r="X138" s="13">
        <v>251</v>
      </c>
      <c r="Y138"/>
      <c r="Z138"/>
      <c r="AC138" s="12"/>
    </row>
    <row r="139" spans="1:29" x14ac:dyDescent="0.2">
      <c r="A139" s="51"/>
      <c r="B139" s="52"/>
      <c r="C139" s="60" t="s">
        <v>69</v>
      </c>
      <c r="D139" s="73"/>
      <c r="E139" s="105"/>
      <c r="F139" s="73"/>
      <c r="G139" s="106"/>
      <c r="H139" s="107"/>
      <c r="I139" s="150"/>
      <c r="J139" s="77"/>
      <c r="K139" s="60"/>
      <c r="L139" s="59"/>
      <c r="M139" s="54">
        <f t="shared" si="10"/>
        <v>4</v>
      </c>
      <c r="N139" s="54">
        <f t="shared" si="11"/>
        <v>5</v>
      </c>
      <c r="O139" s="61" t="str">
        <f t="shared" si="8"/>
        <v/>
      </c>
      <c r="P139" s="62" t="str">
        <f t="shared" si="9"/>
        <v/>
      </c>
      <c r="Q139" s="63"/>
      <c r="R139" s="38"/>
      <c r="S139" s="38"/>
      <c r="T139" s="38"/>
      <c r="U139" s="69"/>
      <c r="V139" s="12" t="s">
        <v>229</v>
      </c>
      <c r="W139" s="12" t="s">
        <v>175</v>
      </c>
      <c r="X139" s="13">
        <v>125</v>
      </c>
      <c r="Y139"/>
      <c r="Z139"/>
      <c r="AC139" s="12"/>
    </row>
    <row r="140" spans="1:29" x14ac:dyDescent="0.2">
      <c r="A140" s="51"/>
      <c r="B140" s="52"/>
      <c r="C140" s="60" t="s">
        <v>69</v>
      </c>
      <c r="D140" s="73"/>
      <c r="E140" s="105"/>
      <c r="F140" s="73"/>
      <c r="G140" s="106"/>
      <c r="H140" s="107"/>
      <c r="I140" s="150"/>
      <c r="J140" s="77"/>
      <c r="K140" s="60"/>
      <c r="L140" s="59"/>
      <c r="M140" s="54">
        <f t="shared" si="10"/>
        <v>4</v>
      </c>
      <c r="N140" s="54">
        <f t="shared" si="11"/>
        <v>5</v>
      </c>
      <c r="O140" s="61" t="str">
        <f t="shared" si="8"/>
        <v/>
      </c>
      <c r="P140" s="62" t="str">
        <f t="shared" si="9"/>
        <v/>
      </c>
      <c r="Q140" s="63"/>
      <c r="R140" s="38"/>
      <c r="S140" s="38"/>
      <c r="T140" s="38"/>
      <c r="U140" s="69"/>
      <c r="V140" s="12" t="s">
        <v>229</v>
      </c>
      <c r="W140" s="12" t="s">
        <v>176</v>
      </c>
      <c r="X140" s="13">
        <v>126</v>
      </c>
      <c r="Y140"/>
      <c r="Z140"/>
      <c r="AC140" s="12"/>
    </row>
    <row r="141" spans="1:29" x14ac:dyDescent="0.2">
      <c r="A141" s="51"/>
      <c r="B141" s="52"/>
      <c r="C141" s="60" t="s">
        <v>69</v>
      </c>
      <c r="D141" s="73"/>
      <c r="E141" s="105"/>
      <c r="F141" s="73"/>
      <c r="G141" s="106"/>
      <c r="H141" s="107"/>
      <c r="I141" s="150"/>
      <c r="J141" s="77"/>
      <c r="K141" s="60"/>
      <c r="L141" s="59"/>
      <c r="M141" s="54">
        <f t="shared" si="10"/>
        <v>4</v>
      </c>
      <c r="N141" s="54">
        <f t="shared" si="11"/>
        <v>5</v>
      </c>
      <c r="O141" s="61" t="str">
        <f t="shared" si="8"/>
        <v/>
      </c>
      <c r="P141" s="62" t="str">
        <f t="shared" si="9"/>
        <v/>
      </c>
      <c r="Q141" s="63"/>
      <c r="R141" s="38"/>
      <c r="S141" s="38"/>
      <c r="T141" s="38"/>
      <c r="U141" s="69"/>
      <c r="V141" s="12" t="s">
        <v>229</v>
      </c>
      <c r="W141" s="103" t="s">
        <v>177</v>
      </c>
      <c r="X141" s="13">
        <v>124</v>
      </c>
      <c r="Y141"/>
      <c r="Z141"/>
      <c r="AC141" s="12"/>
    </row>
    <row r="142" spans="1:29" x14ac:dyDescent="0.2">
      <c r="A142" s="73">
        <v>146</v>
      </c>
      <c r="B142" s="52"/>
      <c r="C142" s="149" t="s">
        <v>231</v>
      </c>
      <c r="D142" s="73"/>
      <c r="E142" s="151" t="s">
        <v>39</v>
      </c>
      <c r="F142" s="73">
        <v>0</v>
      </c>
      <c r="G142" s="66">
        <v>100</v>
      </c>
      <c r="H142" s="67">
        <v>0</v>
      </c>
      <c r="I142" s="58">
        <v>0.01</v>
      </c>
      <c r="J142" s="59" t="s">
        <v>45</v>
      </c>
      <c r="K142" s="76"/>
      <c r="L142" s="82" t="s">
        <v>232</v>
      </c>
      <c r="M142" s="54">
        <f t="shared" si="10"/>
        <v>4</v>
      </c>
      <c r="N142" s="54">
        <f t="shared" si="11"/>
        <v>5</v>
      </c>
      <c r="O142" s="61">
        <f t="shared" ref="O142:O205" si="12">IF(A142&lt;&gt;"",M142*2^9+A142,"")</f>
        <v>2194</v>
      </c>
      <c r="P142" s="62" t="str">
        <f t="shared" ref="P142:P205" si="13">IF(A142&lt;&gt;"","0x" &amp;DEC2HEX( O142,4),"")</f>
        <v>0x0892</v>
      </c>
      <c r="Q142" s="63"/>
      <c r="R142" s="38"/>
      <c r="S142" s="83"/>
      <c r="T142" s="83"/>
      <c r="U142" s="84"/>
      <c r="V142" s="12"/>
      <c r="Y142"/>
      <c r="Z142"/>
      <c r="AB142" s="12"/>
      <c r="AC142" s="12"/>
    </row>
    <row r="143" spans="1:29" x14ac:dyDescent="0.2">
      <c r="A143" s="73"/>
      <c r="B143" s="52"/>
      <c r="C143" s="82" t="s">
        <v>37</v>
      </c>
      <c r="D143" s="73"/>
      <c r="E143" s="151"/>
      <c r="F143" s="73"/>
      <c r="G143" s="66"/>
      <c r="H143" s="67"/>
      <c r="I143" s="58"/>
      <c r="J143" s="59"/>
      <c r="K143" s="76"/>
      <c r="L143" s="82"/>
      <c r="M143" s="54">
        <f t="shared" si="10"/>
        <v>4</v>
      </c>
      <c r="N143" s="54">
        <f t="shared" si="11"/>
        <v>5</v>
      </c>
      <c r="O143" s="61" t="str">
        <f t="shared" si="12"/>
        <v/>
      </c>
      <c r="P143" s="62" t="str">
        <f t="shared" si="13"/>
        <v/>
      </c>
      <c r="Q143" s="63"/>
      <c r="R143" s="38"/>
      <c r="S143" s="83"/>
      <c r="T143" s="83"/>
      <c r="U143" s="84"/>
      <c r="V143" s="12"/>
      <c r="Y143"/>
      <c r="Z143"/>
      <c r="AB143" s="12"/>
      <c r="AC143" s="12"/>
    </row>
    <row r="144" spans="1:29" x14ac:dyDescent="0.2">
      <c r="A144" s="73"/>
      <c r="B144" s="52"/>
      <c r="C144" s="82" t="s">
        <v>37</v>
      </c>
      <c r="D144" s="73"/>
      <c r="E144" s="151"/>
      <c r="F144" s="73"/>
      <c r="G144" s="66"/>
      <c r="H144" s="67"/>
      <c r="I144" s="58"/>
      <c r="J144" s="59"/>
      <c r="K144" s="76"/>
      <c r="L144" s="82"/>
      <c r="M144" s="54">
        <f t="shared" si="10"/>
        <v>4</v>
      </c>
      <c r="N144" s="54">
        <f t="shared" si="11"/>
        <v>5</v>
      </c>
      <c r="O144" s="61" t="str">
        <f t="shared" si="12"/>
        <v/>
      </c>
      <c r="P144" s="62" t="str">
        <f t="shared" si="13"/>
        <v/>
      </c>
      <c r="Q144" s="63"/>
      <c r="R144" s="38"/>
      <c r="S144" s="83"/>
      <c r="T144" s="83"/>
      <c r="U144" s="84"/>
      <c r="V144" s="12"/>
      <c r="Y144"/>
      <c r="Z144"/>
      <c r="AB144" s="12"/>
      <c r="AC144" s="12"/>
    </row>
    <row r="145" spans="1:29" x14ac:dyDescent="0.2">
      <c r="A145" s="51">
        <v>159</v>
      </c>
      <c r="B145" s="52"/>
      <c r="C145" s="149" t="s">
        <v>233</v>
      </c>
      <c r="D145" s="73"/>
      <c r="E145" s="125" t="s">
        <v>39</v>
      </c>
      <c r="F145" s="66">
        <v>0</v>
      </c>
      <c r="G145" s="66">
        <v>100</v>
      </c>
      <c r="H145" s="67">
        <v>0</v>
      </c>
      <c r="I145" s="78">
        <v>0.01</v>
      </c>
      <c r="J145" s="126" t="s">
        <v>57</v>
      </c>
      <c r="K145" s="60"/>
      <c r="L145" s="53" t="s">
        <v>234</v>
      </c>
      <c r="M145" s="54">
        <f t="shared" ref="M145:M208" si="14">$D$5</f>
        <v>4</v>
      </c>
      <c r="N145" s="54">
        <f t="shared" ref="N145:N208" si="15">$D$4</f>
        <v>5</v>
      </c>
      <c r="O145" s="61">
        <f t="shared" si="12"/>
        <v>2207</v>
      </c>
      <c r="P145" s="62" t="str">
        <f t="shared" si="13"/>
        <v>0x089F</v>
      </c>
      <c r="Q145" s="63"/>
      <c r="R145" s="38"/>
      <c r="S145" s="38"/>
      <c r="T145" s="38"/>
      <c r="U145" s="69"/>
      <c r="V145" s="12"/>
      <c r="Y145"/>
      <c r="AC145" s="12"/>
    </row>
    <row r="146" spans="1:29" x14ac:dyDescent="0.2">
      <c r="A146" s="51"/>
      <c r="B146" s="52"/>
      <c r="C146" s="82" t="s">
        <v>37</v>
      </c>
      <c r="D146" s="73"/>
      <c r="E146" s="105"/>
      <c r="F146" s="73"/>
      <c r="G146" s="106"/>
      <c r="H146" s="107"/>
      <c r="I146" s="150"/>
      <c r="J146" s="77"/>
      <c r="K146" s="60"/>
      <c r="L146" s="59"/>
      <c r="M146" s="54">
        <f t="shared" si="14"/>
        <v>4</v>
      </c>
      <c r="N146" s="54">
        <f t="shared" si="15"/>
        <v>5</v>
      </c>
      <c r="O146" s="61" t="str">
        <f t="shared" si="12"/>
        <v/>
      </c>
      <c r="P146" s="62" t="str">
        <f t="shared" si="13"/>
        <v/>
      </c>
      <c r="Q146" s="63"/>
      <c r="R146" s="38"/>
      <c r="S146" s="38"/>
      <c r="T146" s="38"/>
      <c r="U146" s="69"/>
      <c r="V146" s="12"/>
      <c r="Y146"/>
      <c r="AC146" s="12"/>
    </row>
    <row r="147" spans="1:29" x14ac:dyDescent="0.2">
      <c r="A147" s="51"/>
      <c r="B147" s="52"/>
      <c r="C147" s="82" t="s">
        <v>37</v>
      </c>
      <c r="D147" s="73"/>
      <c r="E147" s="105"/>
      <c r="F147" s="73"/>
      <c r="G147" s="106"/>
      <c r="H147" s="107"/>
      <c r="I147" s="150"/>
      <c r="J147" s="77"/>
      <c r="K147" s="60"/>
      <c r="L147" s="59"/>
      <c r="M147" s="54">
        <f t="shared" si="14"/>
        <v>4</v>
      </c>
      <c r="N147" s="54">
        <f t="shared" si="15"/>
        <v>5</v>
      </c>
      <c r="O147" s="61" t="str">
        <f t="shared" si="12"/>
        <v/>
      </c>
      <c r="P147" s="62" t="str">
        <f t="shared" si="13"/>
        <v/>
      </c>
      <c r="Q147" s="63"/>
      <c r="R147" s="38"/>
      <c r="S147" s="38"/>
      <c r="T147" s="38"/>
      <c r="U147" s="69"/>
      <c r="V147" s="12"/>
      <c r="Y147"/>
      <c r="AC147" s="12"/>
    </row>
    <row r="148" spans="1:29" x14ac:dyDescent="0.2">
      <c r="A148" s="73">
        <v>210</v>
      </c>
      <c r="B148" s="52"/>
      <c r="C148" s="149" t="s">
        <v>235</v>
      </c>
      <c r="D148" s="73"/>
      <c r="E148" s="76" t="s">
        <v>39</v>
      </c>
      <c r="F148" s="152">
        <v>1000</v>
      </c>
      <c r="G148" s="106">
        <v>1950</v>
      </c>
      <c r="H148" s="107">
        <v>0</v>
      </c>
      <c r="I148" s="153">
        <v>0.125</v>
      </c>
      <c r="J148" s="126" t="s">
        <v>48</v>
      </c>
      <c r="K148" s="60"/>
      <c r="L148" s="59" t="s">
        <v>236</v>
      </c>
      <c r="M148" s="54">
        <f t="shared" si="14"/>
        <v>4</v>
      </c>
      <c r="N148" s="54">
        <f t="shared" si="15"/>
        <v>5</v>
      </c>
      <c r="O148" s="61">
        <f t="shared" si="12"/>
        <v>2258</v>
      </c>
      <c r="P148" s="62" t="str">
        <f t="shared" si="13"/>
        <v>0x08D2</v>
      </c>
      <c r="Q148" s="70" t="s">
        <v>59</v>
      </c>
      <c r="R148" s="38"/>
      <c r="S148" s="38"/>
      <c r="T148" s="38"/>
      <c r="U148" s="69"/>
      <c r="V148" s="12"/>
      <c r="Y148"/>
      <c r="AC148" s="12"/>
    </row>
    <row r="149" spans="1:29" x14ac:dyDescent="0.2">
      <c r="A149" s="73"/>
      <c r="B149" s="52"/>
      <c r="C149" s="149"/>
      <c r="D149" s="73"/>
      <c r="E149" s="147"/>
      <c r="F149" s="152"/>
      <c r="G149" s="106"/>
      <c r="H149" s="107"/>
      <c r="I149" s="153"/>
      <c r="J149" s="126"/>
      <c r="K149" s="60"/>
      <c r="L149" s="59"/>
      <c r="M149" s="54">
        <f t="shared" si="14"/>
        <v>4</v>
      </c>
      <c r="N149" s="54">
        <f t="shared" si="15"/>
        <v>5</v>
      </c>
      <c r="O149" s="61" t="str">
        <f t="shared" si="12"/>
        <v/>
      </c>
      <c r="P149" s="62" t="str">
        <f t="shared" si="13"/>
        <v/>
      </c>
      <c r="Q149" s="63"/>
      <c r="R149" s="38"/>
      <c r="S149" s="38"/>
      <c r="T149" s="38"/>
      <c r="U149" s="69"/>
      <c r="V149" s="12"/>
      <c r="Y149" s="79"/>
      <c r="Z149" s="79"/>
      <c r="AC149" s="12"/>
    </row>
    <row r="150" spans="1:29" x14ac:dyDescent="0.2">
      <c r="A150" s="51"/>
      <c r="B150" s="52"/>
      <c r="C150" s="60"/>
      <c r="D150" s="73"/>
      <c r="E150" s="105"/>
      <c r="F150" s="73"/>
      <c r="G150" s="106"/>
      <c r="H150" s="107"/>
      <c r="I150" s="150"/>
      <c r="J150" s="77"/>
      <c r="K150" s="60"/>
      <c r="L150" s="59"/>
      <c r="M150" s="54">
        <f t="shared" si="14"/>
        <v>4</v>
      </c>
      <c r="N150" s="54">
        <f t="shared" si="15"/>
        <v>5</v>
      </c>
      <c r="O150" s="61" t="str">
        <f t="shared" si="12"/>
        <v/>
      </c>
      <c r="P150" s="62" t="str">
        <f t="shared" si="13"/>
        <v/>
      </c>
      <c r="Q150" s="63"/>
      <c r="R150" s="38"/>
      <c r="S150" s="38"/>
      <c r="T150" s="38"/>
      <c r="U150" s="69"/>
      <c r="V150" s="12"/>
      <c r="Y150" s="79"/>
      <c r="Z150" s="79"/>
      <c r="AC150" s="12"/>
    </row>
    <row r="151" spans="1:29" x14ac:dyDescent="0.2">
      <c r="A151" s="51">
        <v>252</v>
      </c>
      <c r="B151" s="52"/>
      <c r="C151" s="154" t="s">
        <v>237</v>
      </c>
      <c r="D151" s="155" t="s">
        <v>238</v>
      </c>
      <c r="E151" s="156" t="s">
        <v>66</v>
      </c>
      <c r="F151" s="155">
        <v>0</v>
      </c>
      <c r="G151" s="157">
        <v>1</v>
      </c>
      <c r="H151" s="158">
        <v>0</v>
      </c>
      <c r="I151" s="159">
        <v>1</v>
      </c>
      <c r="J151" s="160" t="s">
        <v>239</v>
      </c>
      <c r="K151" s="60"/>
      <c r="L151" s="59" t="s">
        <v>240</v>
      </c>
      <c r="M151" s="54">
        <f t="shared" si="14"/>
        <v>4</v>
      </c>
      <c r="N151" s="54">
        <f t="shared" si="15"/>
        <v>5</v>
      </c>
      <c r="O151" s="61">
        <f t="shared" si="12"/>
        <v>2300</v>
      </c>
      <c r="P151" s="62" t="str">
        <f t="shared" si="13"/>
        <v>0x08FC</v>
      </c>
      <c r="Q151" s="63"/>
      <c r="R151" s="38"/>
      <c r="S151" s="38"/>
      <c r="T151" s="38"/>
      <c r="U151" s="69"/>
      <c r="V151" s="12"/>
      <c r="Y151" s="79"/>
      <c r="Z151" s="79"/>
      <c r="AC151" s="12"/>
    </row>
    <row r="152" spans="1:29" x14ac:dyDescent="0.2">
      <c r="A152" s="73">
        <v>300</v>
      </c>
      <c r="B152" s="52"/>
      <c r="C152" s="82" t="s">
        <v>241</v>
      </c>
      <c r="D152" s="73"/>
      <c r="E152" s="147" t="s">
        <v>66</v>
      </c>
      <c r="F152" s="73">
        <v>0</v>
      </c>
      <c r="G152" s="106">
        <v>0</v>
      </c>
      <c r="H152" s="107"/>
      <c r="I152" s="150"/>
      <c r="J152" s="77"/>
      <c r="K152" s="76"/>
      <c r="L152" s="82" t="s">
        <v>242</v>
      </c>
      <c r="M152" s="54">
        <f t="shared" si="14"/>
        <v>4</v>
      </c>
      <c r="N152" s="54">
        <f t="shared" si="15"/>
        <v>5</v>
      </c>
      <c r="O152" s="61">
        <f t="shared" si="12"/>
        <v>2348</v>
      </c>
      <c r="P152" s="62" t="str">
        <f t="shared" si="13"/>
        <v>0x092C</v>
      </c>
      <c r="Q152" s="70" t="s">
        <v>77</v>
      </c>
      <c r="R152" s="38"/>
      <c r="S152" s="83"/>
      <c r="T152" s="83"/>
      <c r="U152" s="84"/>
      <c r="V152" s="12"/>
      <c r="Y152" s="12" t="s">
        <v>241</v>
      </c>
      <c r="AA152" s="13">
        <v>0</v>
      </c>
      <c r="AB152" s="12"/>
      <c r="AC152" s="12"/>
    </row>
    <row r="153" spans="1:29" x14ac:dyDescent="0.2">
      <c r="A153" s="73"/>
      <c r="B153" s="52"/>
      <c r="C153" s="60" t="s">
        <v>69</v>
      </c>
      <c r="D153" s="73"/>
      <c r="E153" s="147"/>
      <c r="F153" s="73"/>
      <c r="G153" s="106"/>
      <c r="H153" s="107"/>
      <c r="I153" s="150"/>
      <c r="J153" s="77"/>
      <c r="K153" s="76"/>
      <c r="L153" s="82"/>
      <c r="M153" s="54">
        <f t="shared" si="14"/>
        <v>4</v>
      </c>
      <c r="N153" s="54">
        <f t="shared" si="15"/>
        <v>5</v>
      </c>
      <c r="O153" s="61" t="str">
        <f t="shared" si="12"/>
        <v/>
      </c>
      <c r="P153" s="62" t="str">
        <f t="shared" si="13"/>
        <v/>
      </c>
      <c r="Q153" s="63"/>
      <c r="R153" s="38"/>
      <c r="S153" s="83"/>
      <c r="T153" s="83"/>
      <c r="U153" s="84"/>
      <c r="V153" s="12"/>
      <c r="Y153" s="12" t="s">
        <v>241</v>
      </c>
      <c r="Z153" s="12" t="s">
        <v>243</v>
      </c>
      <c r="AA153" s="13">
        <v>1</v>
      </c>
      <c r="AB153" s="12"/>
      <c r="AC153" s="12"/>
    </row>
    <row r="154" spans="1:29" x14ac:dyDescent="0.2">
      <c r="A154" s="73">
        <v>301</v>
      </c>
      <c r="B154" s="52"/>
      <c r="C154" s="149" t="s">
        <v>244</v>
      </c>
      <c r="D154" s="73"/>
      <c r="E154" s="76" t="s">
        <v>39</v>
      </c>
      <c r="F154" s="73">
        <v>1</v>
      </c>
      <c r="G154" s="106">
        <v>4</v>
      </c>
      <c r="H154" s="107">
        <v>0</v>
      </c>
      <c r="I154" s="150">
        <v>1</v>
      </c>
      <c r="J154" s="77" t="s">
        <v>245</v>
      </c>
      <c r="K154" s="76"/>
      <c r="L154" s="82" t="s">
        <v>246</v>
      </c>
      <c r="M154" s="54">
        <f t="shared" si="14"/>
        <v>4</v>
      </c>
      <c r="N154" s="54">
        <f t="shared" si="15"/>
        <v>5</v>
      </c>
      <c r="O154" s="61">
        <f t="shared" si="12"/>
        <v>2349</v>
      </c>
      <c r="P154" s="62" t="str">
        <f t="shared" si="13"/>
        <v>0x092D</v>
      </c>
      <c r="Q154" s="70" t="s">
        <v>59</v>
      </c>
      <c r="R154" s="38"/>
      <c r="S154" s="83"/>
      <c r="T154" s="83"/>
      <c r="U154" s="84" t="s">
        <v>60</v>
      </c>
      <c r="V154" s="12"/>
      <c r="Y154"/>
      <c r="AB154" s="12"/>
      <c r="AC154" s="12"/>
    </row>
    <row r="155" spans="1:29" x14ac:dyDescent="0.2">
      <c r="A155" s="73">
        <v>302</v>
      </c>
      <c r="B155" s="52"/>
      <c r="C155" s="82" t="s">
        <v>247</v>
      </c>
      <c r="D155" s="73"/>
      <c r="E155" s="76" t="s">
        <v>39</v>
      </c>
      <c r="F155" s="73">
        <v>1</v>
      </c>
      <c r="G155" s="106">
        <v>4</v>
      </c>
      <c r="H155" s="107">
        <v>0</v>
      </c>
      <c r="I155" s="150">
        <v>1</v>
      </c>
      <c r="J155" s="77" t="s">
        <v>245</v>
      </c>
      <c r="K155" s="76"/>
      <c r="L155" s="82" t="s">
        <v>248</v>
      </c>
      <c r="M155" s="54">
        <f t="shared" si="14"/>
        <v>4</v>
      </c>
      <c r="N155" s="54">
        <f t="shared" si="15"/>
        <v>5</v>
      </c>
      <c r="O155" s="61">
        <f t="shared" si="12"/>
        <v>2350</v>
      </c>
      <c r="P155" s="62" t="str">
        <f t="shared" si="13"/>
        <v>0x092E</v>
      </c>
      <c r="Q155" s="70" t="s">
        <v>59</v>
      </c>
      <c r="R155" s="38"/>
      <c r="S155" s="83"/>
      <c r="T155" s="83"/>
      <c r="U155" s="84" t="s">
        <v>60</v>
      </c>
      <c r="V155" s="12"/>
      <c r="Y155"/>
      <c r="AB155" s="12"/>
      <c r="AC155" s="12"/>
    </row>
    <row r="156" spans="1:29" x14ac:dyDescent="0.2">
      <c r="A156" s="73">
        <v>303</v>
      </c>
      <c r="B156" s="52"/>
      <c r="C156" s="82" t="s">
        <v>249</v>
      </c>
      <c r="D156" s="73"/>
      <c r="E156" s="76" t="s">
        <v>39</v>
      </c>
      <c r="F156" s="73">
        <v>1</v>
      </c>
      <c r="G156" s="106">
        <v>4</v>
      </c>
      <c r="H156" s="107">
        <v>0</v>
      </c>
      <c r="I156" s="150">
        <v>1</v>
      </c>
      <c r="J156" s="77" t="s">
        <v>245</v>
      </c>
      <c r="K156" s="76"/>
      <c r="L156" s="82" t="s">
        <v>250</v>
      </c>
      <c r="M156" s="54">
        <f t="shared" si="14"/>
        <v>4</v>
      </c>
      <c r="N156" s="54">
        <f t="shared" si="15"/>
        <v>5</v>
      </c>
      <c r="O156" s="61">
        <f t="shared" si="12"/>
        <v>2351</v>
      </c>
      <c r="P156" s="62" t="str">
        <f t="shared" si="13"/>
        <v>0x092F</v>
      </c>
      <c r="Q156" s="70" t="s">
        <v>59</v>
      </c>
      <c r="R156" s="38"/>
      <c r="S156" s="83"/>
      <c r="T156" s="83"/>
      <c r="U156" s="84" t="s">
        <v>60</v>
      </c>
      <c r="V156" s="12"/>
      <c r="Y156"/>
      <c r="AB156" s="12"/>
      <c r="AC156" s="12"/>
    </row>
    <row r="157" spans="1:29" x14ac:dyDescent="0.2">
      <c r="A157" s="73">
        <v>304</v>
      </c>
      <c r="B157" s="52"/>
      <c r="C157" s="82" t="s">
        <v>251</v>
      </c>
      <c r="D157" s="73"/>
      <c r="E157" s="76" t="s">
        <v>39</v>
      </c>
      <c r="F157" s="73">
        <v>1</v>
      </c>
      <c r="G157" s="106">
        <v>4</v>
      </c>
      <c r="H157" s="107">
        <v>0</v>
      </c>
      <c r="I157" s="150">
        <v>1</v>
      </c>
      <c r="J157" s="77" t="s">
        <v>245</v>
      </c>
      <c r="K157" s="76"/>
      <c r="L157" s="82" t="s">
        <v>252</v>
      </c>
      <c r="M157" s="54">
        <f t="shared" si="14"/>
        <v>4</v>
      </c>
      <c r="N157" s="54">
        <f t="shared" si="15"/>
        <v>5</v>
      </c>
      <c r="O157" s="61">
        <f t="shared" si="12"/>
        <v>2352</v>
      </c>
      <c r="P157" s="62" t="str">
        <f t="shared" si="13"/>
        <v>0x0930</v>
      </c>
      <c r="Q157" s="70" t="s">
        <v>59</v>
      </c>
      <c r="R157" s="38"/>
      <c r="S157" s="83"/>
      <c r="T157" s="83"/>
      <c r="U157" s="84" t="s">
        <v>60</v>
      </c>
      <c r="V157" s="12"/>
      <c r="Y157"/>
      <c r="AB157" s="12"/>
      <c r="AC157" s="12"/>
    </row>
    <row r="158" spans="1:29" x14ac:dyDescent="0.2">
      <c r="A158" s="73">
        <v>305</v>
      </c>
      <c r="B158" s="52"/>
      <c r="C158" s="82" t="s">
        <v>253</v>
      </c>
      <c r="D158" s="73"/>
      <c r="E158" s="76" t="s">
        <v>39</v>
      </c>
      <c r="F158" s="73">
        <v>1</v>
      </c>
      <c r="G158" s="106">
        <v>4</v>
      </c>
      <c r="H158" s="107">
        <v>0</v>
      </c>
      <c r="I158" s="150">
        <v>1</v>
      </c>
      <c r="J158" s="77" t="s">
        <v>245</v>
      </c>
      <c r="K158" s="76"/>
      <c r="L158" s="82" t="s">
        <v>254</v>
      </c>
      <c r="M158" s="54">
        <f t="shared" si="14"/>
        <v>4</v>
      </c>
      <c r="N158" s="54">
        <f t="shared" si="15"/>
        <v>5</v>
      </c>
      <c r="O158" s="61">
        <f t="shared" si="12"/>
        <v>2353</v>
      </c>
      <c r="P158" s="62" t="str">
        <f t="shared" si="13"/>
        <v>0x0931</v>
      </c>
      <c r="Q158" s="70" t="s">
        <v>59</v>
      </c>
      <c r="R158" s="38"/>
      <c r="S158" s="83"/>
      <c r="T158" s="83"/>
      <c r="U158" s="84" t="s">
        <v>60</v>
      </c>
      <c r="V158" s="12"/>
      <c r="Y158"/>
      <c r="AB158" s="12"/>
      <c r="AC158" s="12"/>
    </row>
    <row r="159" spans="1:29" x14ac:dyDescent="0.2">
      <c r="A159" s="73"/>
      <c r="B159" s="52"/>
      <c r="C159" s="82" t="s">
        <v>37</v>
      </c>
      <c r="D159" s="73"/>
      <c r="E159" s="76"/>
      <c r="F159" s="73"/>
      <c r="G159" s="106"/>
      <c r="H159" s="107"/>
      <c r="I159" s="150"/>
      <c r="J159" s="77"/>
      <c r="K159" s="76"/>
      <c r="L159" s="82"/>
      <c r="M159" s="54">
        <f t="shared" si="14"/>
        <v>4</v>
      </c>
      <c r="N159" s="54">
        <f t="shared" si="15"/>
        <v>5</v>
      </c>
      <c r="O159" s="61" t="str">
        <f t="shared" si="12"/>
        <v/>
      </c>
      <c r="P159" s="62" t="str">
        <f t="shared" si="13"/>
        <v/>
      </c>
      <c r="Q159" s="63"/>
      <c r="R159" s="38"/>
      <c r="S159" s="83"/>
      <c r="T159" s="83"/>
      <c r="U159" s="84"/>
      <c r="V159" s="12"/>
      <c r="Y159"/>
      <c r="AB159" s="12"/>
      <c r="AC159" s="12"/>
    </row>
    <row r="160" spans="1:29" x14ac:dyDescent="0.2">
      <c r="A160" s="73">
        <v>307</v>
      </c>
      <c r="B160" s="52"/>
      <c r="C160" s="149" t="s">
        <v>255</v>
      </c>
      <c r="D160" s="73"/>
      <c r="E160" s="76" t="s">
        <v>39</v>
      </c>
      <c r="F160" s="73">
        <v>1</v>
      </c>
      <c r="G160" s="106">
        <v>4</v>
      </c>
      <c r="H160" s="107">
        <v>0</v>
      </c>
      <c r="I160" s="150">
        <v>1</v>
      </c>
      <c r="J160" s="77" t="s">
        <v>245</v>
      </c>
      <c r="K160" s="76"/>
      <c r="L160" s="82" t="s">
        <v>256</v>
      </c>
      <c r="M160" s="54">
        <f t="shared" si="14"/>
        <v>4</v>
      </c>
      <c r="N160" s="54">
        <f t="shared" si="15"/>
        <v>5</v>
      </c>
      <c r="O160" s="61">
        <f t="shared" si="12"/>
        <v>2355</v>
      </c>
      <c r="P160" s="62" t="str">
        <f t="shared" si="13"/>
        <v>0x0933</v>
      </c>
      <c r="Q160" s="70" t="s">
        <v>59</v>
      </c>
      <c r="R160" s="38"/>
      <c r="S160" s="83"/>
      <c r="T160" s="83"/>
      <c r="U160" s="84" t="s">
        <v>60</v>
      </c>
      <c r="V160" s="12"/>
      <c r="Y160"/>
      <c r="AB160" s="12"/>
      <c r="AC160" s="12"/>
    </row>
    <row r="161" spans="1:29" x14ac:dyDescent="0.2">
      <c r="A161" s="73"/>
      <c r="B161" s="52"/>
      <c r="C161" s="82" t="s">
        <v>37</v>
      </c>
      <c r="D161" s="73"/>
      <c r="E161" s="76"/>
      <c r="F161" s="73"/>
      <c r="G161" s="106"/>
      <c r="H161" s="107"/>
      <c r="I161" s="150"/>
      <c r="J161" s="77"/>
      <c r="K161" s="76"/>
      <c r="L161" s="12"/>
      <c r="M161" s="54">
        <f t="shared" si="14"/>
        <v>4</v>
      </c>
      <c r="N161" s="54">
        <f t="shared" si="15"/>
        <v>5</v>
      </c>
      <c r="O161" s="61" t="str">
        <f t="shared" si="12"/>
        <v/>
      </c>
      <c r="P161" s="62" t="str">
        <f t="shared" si="13"/>
        <v/>
      </c>
      <c r="Q161" s="63"/>
      <c r="R161" s="38"/>
      <c r="S161" s="83"/>
      <c r="T161" s="83"/>
      <c r="U161" s="84"/>
      <c r="V161" s="12"/>
      <c r="Y161"/>
      <c r="Z161"/>
      <c r="AB161" s="12"/>
      <c r="AC161" s="12"/>
    </row>
    <row r="162" spans="1:29" x14ac:dyDescent="0.2">
      <c r="A162" s="51">
        <v>325</v>
      </c>
      <c r="B162" s="52"/>
      <c r="C162" s="149" t="s">
        <v>257</v>
      </c>
      <c r="D162" s="73"/>
      <c r="E162" s="76" t="s">
        <v>39</v>
      </c>
      <c r="F162" s="73">
        <v>0</v>
      </c>
      <c r="G162" s="106">
        <v>2048</v>
      </c>
      <c r="H162" s="107">
        <v>0</v>
      </c>
      <c r="I162" s="150">
        <v>1</v>
      </c>
      <c r="J162" s="77"/>
      <c r="K162" s="60"/>
      <c r="L162" s="80" t="s">
        <v>258</v>
      </c>
      <c r="M162" s="54">
        <f t="shared" si="14"/>
        <v>4</v>
      </c>
      <c r="N162" s="54">
        <f t="shared" si="15"/>
        <v>5</v>
      </c>
      <c r="O162" s="61">
        <f t="shared" si="12"/>
        <v>2373</v>
      </c>
      <c r="P162" s="62" t="str">
        <f t="shared" si="13"/>
        <v>0x0945</v>
      </c>
      <c r="Q162" s="63"/>
      <c r="R162" s="38"/>
      <c r="S162" s="38"/>
      <c r="T162" s="38"/>
      <c r="U162" s="69"/>
      <c r="V162" s="12"/>
      <c r="Y162"/>
      <c r="Z162"/>
      <c r="AC162" s="12"/>
    </row>
    <row r="163" spans="1:29" x14ac:dyDescent="0.2">
      <c r="A163" s="51"/>
      <c r="B163" s="52"/>
      <c r="C163" s="60" t="s">
        <v>69</v>
      </c>
      <c r="D163" s="73"/>
      <c r="E163" s="76"/>
      <c r="F163" s="73"/>
      <c r="G163" s="106"/>
      <c r="H163" s="107"/>
      <c r="I163" s="150"/>
      <c r="J163" s="77"/>
      <c r="K163" s="60"/>
      <c r="L163" s="161" t="s">
        <v>259</v>
      </c>
      <c r="M163" s="54">
        <f t="shared" si="14"/>
        <v>4</v>
      </c>
      <c r="N163" s="54">
        <f t="shared" si="15"/>
        <v>5</v>
      </c>
      <c r="O163" s="61" t="str">
        <f t="shared" si="12"/>
        <v/>
      </c>
      <c r="P163" s="62" t="str">
        <f t="shared" si="13"/>
        <v/>
      </c>
      <c r="Q163" s="63"/>
      <c r="R163" s="38"/>
      <c r="S163" s="38"/>
      <c r="T163" s="38"/>
      <c r="U163" s="69"/>
      <c r="V163" s="12"/>
      <c r="AC163" s="12"/>
    </row>
    <row r="164" spans="1:29" x14ac:dyDescent="0.2">
      <c r="A164" s="51"/>
      <c r="B164" s="52"/>
      <c r="C164" s="60" t="s">
        <v>69</v>
      </c>
      <c r="D164" s="73"/>
      <c r="E164" s="76"/>
      <c r="F164" s="73"/>
      <c r="G164" s="106"/>
      <c r="H164" s="107"/>
      <c r="I164" s="150"/>
      <c r="J164" s="77"/>
      <c r="K164" s="60"/>
      <c r="L164" s="161" t="s">
        <v>260</v>
      </c>
      <c r="M164" s="54">
        <f t="shared" si="14"/>
        <v>4</v>
      </c>
      <c r="N164" s="54">
        <f t="shared" si="15"/>
        <v>5</v>
      </c>
      <c r="O164" s="61" t="str">
        <f t="shared" si="12"/>
        <v/>
      </c>
      <c r="P164" s="62" t="str">
        <f t="shared" si="13"/>
        <v/>
      </c>
      <c r="Q164" s="63"/>
      <c r="R164" s="38"/>
      <c r="S164" s="38"/>
      <c r="T164" s="38"/>
      <c r="U164" s="69"/>
      <c r="V164" s="12"/>
      <c r="AC164" s="12"/>
    </row>
    <row r="165" spans="1:29" x14ac:dyDescent="0.2">
      <c r="A165" s="51"/>
      <c r="B165" s="52"/>
      <c r="C165" s="60" t="s">
        <v>69</v>
      </c>
      <c r="D165" s="73"/>
      <c r="E165" s="76"/>
      <c r="F165" s="73"/>
      <c r="G165" s="106"/>
      <c r="H165" s="107"/>
      <c r="I165" s="150"/>
      <c r="J165" s="77"/>
      <c r="K165" s="60"/>
      <c r="L165" s="161" t="s">
        <v>261</v>
      </c>
      <c r="M165" s="54">
        <f t="shared" si="14"/>
        <v>4</v>
      </c>
      <c r="N165" s="54">
        <f t="shared" si="15"/>
        <v>5</v>
      </c>
      <c r="O165" s="61" t="str">
        <f t="shared" si="12"/>
        <v/>
      </c>
      <c r="P165" s="62" t="str">
        <f t="shared" si="13"/>
        <v/>
      </c>
      <c r="Q165" s="63"/>
      <c r="R165" s="38"/>
      <c r="S165" s="38"/>
      <c r="T165" s="38"/>
      <c r="U165" s="69"/>
      <c r="V165" s="12"/>
      <c r="AC165" s="12"/>
    </row>
    <row r="166" spans="1:29" x14ac:dyDescent="0.2">
      <c r="A166" s="51"/>
      <c r="B166" s="52"/>
      <c r="C166" s="60" t="s">
        <v>69</v>
      </c>
      <c r="D166" s="73"/>
      <c r="E166" s="76"/>
      <c r="F166" s="73"/>
      <c r="G166" s="106"/>
      <c r="H166" s="107"/>
      <c r="I166" s="150"/>
      <c r="J166" s="77"/>
      <c r="K166" s="60"/>
      <c r="L166" s="161" t="s">
        <v>262</v>
      </c>
      <c r="M166" s="54">
        <f t="shared" si="14"/>
        <v>4</v>
      </c>
      <c r="N166" s="54">
        <f t="shared" si="15"/>
        <v>5</v>
      </c>
      <c r="O166" s="61" t="str">
        <f t="shared" si="12"/>
        <v/>
      </c>
      <c r="P166" s="62" t="str">
        <f t="shared" si="13"/>
        <v/>
      </c>
      <c r="Q166" s="63"/>
      <c r="R166" s="38"/>
      <c r="S166" s="38"/>
      <c r="T166" s="38"/>
      <c r="U166" s="69"/>
      <c r="V166" s="12"/>
      <c r="AC166" s="12"/>
    </row>
    <row r="167" spans="1:29" x14ac:dyDescent="0.2">
      <c r="A167" s="51"/>
      <c r="B167" s="52"/>
      <c r="C167" s="60" t="s">
        <v>69</v>
      </c>
      <c r="D167" s="73"/>
      <c r="E167" s="76"/>
      <c r="F167" s="73"/>
      <c r="G167" s="106"/>
      <c r="H167" s="107"/>
      <c r="I167" s="150"/>
      <c r="J167" s="77"/>
      <c r="K167" s="60"/>
      <c r="L167" s="161" t="s">
        <v>263</v>
      </c>
      <c r="M167" s="54">
        <f t="shared" si="14"/>
        <v>4</v>
      </c>
      <c r="N167" s="54">
        <f t="shared" si="15"/>
        <v>5</v>
      </c>
      <c r="O167" s="61" t="str">
        <f t="shared" si="12"/>
        <v/>
      </c>
      <c r="P167" s="62" t="str">
        <f t="shared" si="13"/>
        <v/>
      </c>
      <c r="Q167" s="63"/>
      <c r="R167" s="38"/>
      <c r="S167" s="38"/>
      <c r="T167" s="38"/>
      <c r="U167" s="69"/>
      <c r="V167" s="12"/>
      <c r="AC167" s="12"/>
    </row>
    <row r="168" spans="1:29" x14ac:dyDescent="0.2">
      <c r="A168" s="51"/>
      <c r="B168" s="52"/>
      <c r="C168" s="60" t="s">
        <v>69</v>
      </c>
      <c r="D168" s="73"/>
      <c r="E168" s="76"/>
      <c r="F168" s="73"/>
      <c r="G168" s="106"/>
      <c r="H168" s="107"/>
      <c r="I168" s="150"/>
      <c r="J168" s="77"/>
      <c r="K168" s="60"/>
      <c r="L168" s="161" t="s">
        <v>264</v>
      </c>
      <c r="M168" s="54">
        <f t="shared" si="14"/>
        <v>4</v>
      </c>
      <c r="N168" s="54">
        <f t="shared" si="15"/>
        <v>5</v>
      </c>
      <c r="O168" s="61" t="str">
        <f t="shared" si="12"/>
        <v/>
      </c>
      <c r="P168" s="62" t="str">
        <f t="shared" si="13"/>
        <v/>
      </c>
      <c r="Q168" s="63"/>
      <c r="R168" s="38"/>
      <c r="S168" s="38"/>
      <c r="T168" s="38"/>
      <c r="U168" s="69"/>
      <c r="V168" s="12"/>
      <c r="AC168" s="12"/>
    </row>
    <row r="169" spans="1:29" x14ac:dyDescent="0.2">
      <c r="A169" s="51"/>
      <c r="B169" s="52"/>
      <c r="C169" s="60" t="s">
        <v>69</v>
      </c>
      <c r="D169" s="73"/>
      <c r="E169" s="76"/>
      <c r="F169" s="73"/>
      <c r="G169" s="106"/>
      <c r="H169" s="107"/>
      <c r="I169" s="150"/>
      <c r="J169" s="77"/>
      <c r="K169" s="60"/>
      <c r="L169" s="161" t="s">
        <v>265</v>
      </c>
      <c r="M169" s="54">
        <f t="shared" si="14"/>
        <v>4</v>
      </c>
      <c r="N169" s="54">
        <f t="shared" si="15"/>
        <v>5</v>
      </c>
      <c r="O169" s="61" t="str">
        <f t="shared" si="12"/>
        <v/>
      </c>
      <c r="P169" s="62" t="str">
        <f t="shared" si="13"/>
        <v/>
      </c>
      <c r="Q169" s="63"/>
      <c r="R169" s="38"/>
      <c r="S169" s="38"/>
      <c r="T169" s="38"/>
      <c r="U169" s="69"/>
      <c r="V169" s="12"/>
      <c r="AC169" s="12"/>
    </row>
    <row r="170" spans="1:29" x14ac:dyDescent="0.2">
      <c r="A170" s="51"/>
      <c r="B170" s="52"/>
      <c r="C170" s="60" t="s">
        <v>69</v>
      </c>
      <c r="D170" s="73"/>
      <c r="E170" s="76"/>
      <c r="F170" s="73"/>
      <c r="G170" s="106"/>
      <c r="H170" s="107"/>
      <c r="I170" s="150"/>
      <c r="J170" s="77"/>
      <c r="K170" s="60"/>
      <c r="L170" s="161" t="s">
        <v>266</v>
      </c>
      <c r="M170" s="54">
        <f t="shared" si="14"/>
        <v>4</v>
      </c>
      <c r="N170" s="54">
        <f t="shared" si="15"/>
        <v>5</v>
      </c>
      <c r="O170" s="61" t="str">
        <f t="shared" si="12"/>
        <v/>
      </c>
      <c r="P170" s="62" t="str">
        <f t="shared" si="13"/>
        <v/>
      </c>
      <c r="Q170" s="63"/>
      <c r="R170" s="38"/>
      <c r="S170" s="38"/>
      <c r="T170" s="38"/>
      <c r="U170" s="69"/>
      <c r="V170" s="12"/>
      <c r="AC170" s="12"/>
    </row>
    <row r="171" spans="1:29" x14ac:dyDescent="0.2">
      <c r="A171" s="51"/>
      <c r="B171" s="52"/>
      <c r="C171" s="60" t="s">
        <v>69</v>
      </c>
      <c r="D171" s="73"/>
      <c r="E171" s="76"/>
      <c r="F171" s="73"/>
      <c r="G171" s="106"/>
      <c r="H171" s="107"/>
      <c r="I171" s="150"/>
      <c r="J171" s="77"/>
      <c r="K171" s="60"/>
      <c r="L171" s="161" t="s">
        <v>267</v>
      </c>
      <c r="M171" s="54">
        <f t="shared" si="14"/>
        <v>4</v>
      </c>
      <c r="N171" s="54">
        <f t="shared" si="15"/>
        <v>5</v>
      </c>
      <c r="O171" s="61" t="str">
        <f t="shared" si="12"/>
        <v/>
      </c>
      <c r="P171" s="62" t="str">
        <f t="shared" si="13"/>
        <v/>
      </c>
      <c r="Q171" s="63"/>
      <c r="R171" s="38"/>
      <c r="S171" s="38"/>
      <c r="T171" s="38"/>
      <c r="U171" s="69"/>
      <c r="V171" s="12"/>
      <c r="AB171" s="12"/>
      <c r="AC171" s="12"/>
    </row>
    <row r="172" spans="1:29" x14ac:dyDescent="0.2">
      <c r="A172" s="51"/>
      <c r="B172" s="52"/>
      <c r="C172" s="60" t="s">
        <v>69</v>
      </c>
      <c r="D172" s="73"/>
      <c r="E172" s="76"/>
      <c r="F172" s="73"/>
      <c r="G172" s="106"/>
      <c r="H172" s="107"/>
      <c r="I172" s="150"/>
      <c r="J172" s="77"/>
      <c r="K172" s="60"/>
      <c r="L172" s="161" t="s">
        <v>268</v>
      </c>
      <c r="M172" s="54">
        <f t="shared" si="14"/>
        <v>4</v>
      </c>
      <c r="N172" s="54">
        <f t="shared" si="15"/>
        <v>5</v>
      </c>
      <c r="O172" s="61" t="str">
        <f t="shared" si="12"/>
        <v/>
      </c>
      <c r="P172" s="62" t="str">
        <f t="shared" si="13"/>
        <v/>
      </c>
      <c r="Q172" s="63"/>
      <c r="R172" s="38"/>
      <c r="S172" s="38"/>
      <c r="T172" s="38"/>
      <c r="U172" s="69"/>
      <c r="V172" s="12"/>
      <c r="AB172" s="12"/>
      <c r="AC172" s="12"/>
    </row>
    <row r="173" spans="1:29" x14ac:dyDescent="0.2">
      <c r="A173" s="51"/>
      <c r="B173" s="52"/>
      <c r="C173" s="60" t="s">
        <v>69</v>
      </c>
      <c r="D173" s="73"/>
      <c r="E173" s="76"/>
      <c r="F173" s="73"/>
      <c r="G173" s="106"/>
      <c r="H173" s="107"/>
      <c r="I173" s="150"/>
      <c r="J173" s="77"/>
      <c r="K173" s="60"/>
      <c r="L173" s="161" t="s">
        <v>269</v>
      </c>
      <c r="M173" s="54">
        <f t="shared" si="14"/>
        <v>4</v>
      </c>
      <c r="N173" s="54">
        <f t="shared" si="15"/>
        <v>5</v>
      </c>
      <c r="O173" s="61" t="str">
        <f t="shared" si="12"/>
        <v/>
      </c>
      <c r="P173" s="62" t="str">
        <f t="shared" si="13"/>
        <v/>
      </c>
      <c r="Q173" s="63"/>
      <c r="R173" s="38"/>
      <c r="S173" s="38"/>
      <c r="T173" s="38"/>
      <c r="U173" s="69"/>
      <c r="V173" s="12"/>
      <c r="AB173" s="12"/>
      <c r="AC173" s="12"/>
    </row>
    <row r="174" spans="1:29" x14ac:dyDescent="0.2">
      <c r="A174" s="51"/>
      <c r="B174" s="52"/>
      <c r="C174" s="60" t="s">
        <v>69</v>
      </c>
      <c r="D174" s="73"/>
      <c r="E174" s="76"/>
      <c r="F174" s="73"/>
      <c r="G174" s="106"/>
      <c r="H174" s="107"/>
      <c r="I174" s="150"/>
      <c r="J174" s="77"/>
      <c r="K174" s="60"/>
      <c r="L174" s="161" t="s">
        <v>270</v>
      </c>
      <c r="M174" s="54">
        <f t="shared" si="14"/>
        <v>4</v>
      </c>
      <c r="N174" s="54">
        <f t="shared" si="15"/>
        <v>5</v>
      </c>
      <c r="O174" s="61" t="str">
        <f t="shared" si="12"/>
        <v/>
      </c>
      <c r="P174" s="62" t="str">
        <f t="shared" si="13"/>
        <v/>
      </c>
      <c r="Q174" s="63"/>
      <c r="R174" s="38"/>
      <c r="S174" s="38"/>
      <c r="T174" s="38"/>
      <c r="U174" s="69"/>
      <c r="V174" s="12"/>
      <c r="AB174" s="12"/>
      <c r="AC174" s="12"/>
    </row>
    <row r="175" spans="1:29" x14ac:dyDescent="0.2">
      <c r="A175" s="51"/>
      <c r="B175" s="52"/>
      <c r="C175" s="60" t="s">
        <v>69</v>
      </c>
      <c r="D175" s="73"/>
      <c r="E175" s="76"/>
      <c r="F175" s="73"/>
      <c r="G175" s="106"/>
      <c r="H175" s="107"/>
      <c r="I175" s="150"/>
      <c r="J175" s="77"/>
      <c r="K175" s="60"/>
      <c r="L175" s="161" t="s">
        <v>271</v>
      </c>
      <c r="M175" s="54">
        <f t="shared" si="14"/>
        <v>4</v>
      </c>
      <c r="N175" s="54">
        <f t="shared" si="15"/>
        <v>5</v>
      </c>
      <c r="O175" s="61" t="str">
        <f t="shared" si="12"/>
        <v/>
      </c>
      <c r="P175" s="62" t="str">
        <f t="shared" si="13"/>
        <v/>
      </c>
      <c r="Q175" s="63"/>
      <c r="R175" s="38"/>
      <c r="S175" s="38"/>
      <c r="T175" s="38"/>
      <c r="U175" s="69"/>
      <c r="V175" s="12"/>
      <c r="AB175" s="12"/>
      <c r="AC175" s="12"/>
    </row>
    <row r="176" spans="1:29" x14ac:dyDescent="0.2">
      <c r="A176" s="51"/>
      <c r="B176" s="52"/>
      <c r="C176" s="60" t="s">
        <v>69</v>
      </c>
      <c r="D176" s="73"/>
      <c r="E176" s="76"/>
      <c r="F176" s="73"/>
      <c r="G176" s="106"/>
      <c r="H176" s="107"/>
      <c r="I176" s="150"/>
      <c r="J176" s="77"/>
      <c r="K176" s="60"/>
      <c r="L176" s="161" t="s">
        <v>272</v>
      </c>
      <c r="M176" s="54">
        <f t="shared" si="14"/>
        <v>4</v>
      </c>
      <c r="N176" s="54">
        <f t="shared" si="15"/>
        <v>5</v>
      </c>
      <c r="O176" s="61" t="str">
        <f t="shared" si="12"/>
        <v/>
      </c>
      <c r="P176" s="62" t="str">
        <f t="shared" si="13"/>
        <v/>
      </c>
      <c r="Q176" s="63"/>
      <c r="R176" s="38"/>
      <c r="S176" s="38"/>
      <c r="T176" s="38"/>
      <c r="U176" s="69"/>
      <c r="V176" s="12"/>
      <c r="AB176" s="12"/>
      <c r="AC176" s="12"/>
    </row>
    <row r="177" spans="1:29" x14ac:dyDescent="0.2">
      <c r="A177" s="51"/>
      <c r="B177" s="52"/>
      <c r="C177" s="60" t="s">
        <v>69</v>
      </c>
      <c r="D177" s="73"/>
      <c r="E177" s="76"/>
      <c r="F177" s="73"/>
      <c r="G177" s="106"/>
      <c r="H177" s="107"/>
      <c r="I177" s="150"/>
      <c r="J177" s="77"/>
      <c r="K177" s="60"/>
      <c r="L177" s="161" t="s">
        <v>273</v>
      </c>
      <c r="M177" s="54">
        <f t="shared" si="14"/>
        <v>4</v>
      </c>
      <c r="N177" s="54">
        <f t="shared" si="15"/>
        <v>5</v>
      </c>
      <c r="O177" s="61" t="str">
        <f t="shared" si="12"/>
        <v/>
      </c>
      <c r="P177" s="62" t="str">
        <f t="shared" si="13"/>
        <v/>
      </c>
      <c r="Q177" s="63"/>
      <c r="R177" s="38"/>
      <c r="S177" s="38"/>
      <c r="T177" s="38"/>
      <c r="U177" s="69"/>
      <c r="V177" s="12"/>
      <c r="AB177" s="12"/>
      <c r="AC177" s="12"/>
    </row>
    <row r="178" spans="1:29" x14ac:dyDescent="0.2">
      <c r="A178" s="51"/>
      <c r="B178" s="52"/>
      <c r="C178" s="60" t="s">
        <v>69</v>
      </c>
      <c r="D178" s="73"/>
      <c r="E178" s="105"/>
      <c r="F178" s="73"/>
      <c r="G178" s="106"/>
      <c r="H178" s="107"/>
      <c r="I178" s="150"/>
      <c r="J178" s="77"/>
      <c r="K178" s="60"/>
      <c r="L178" s="162" t="s">
        <v>274</v>
      </c>
      <c r="M178" s="54">
        <f t="shared" si="14"/>
        <v>4</v>
      </c>
      <c r="N178" s="54">
        <f t="shared" si="15"/>
        <v>5</v>
      </c>
      <c r="O178" s="61" t="str">
        <f t="shared" si="12"/>
        <v/>
      </c>
      <c r="P178" s="62" t="str">
        <f t="shared" si="13"/>
        <v/>
      </c>
      <c r="Q178" s="63"/>
      <c r="R178" s="38"/>
      <c r="S178" s="38"/>
      <c r="T178" s="38"/>
      <c r="U178" s="69"/>
      <c r="V178" s="12"/>
      <c r="AB178" s="12"/>
      <c r="AC178" s="12"/>
    </row>
    <row r="179" spans="1:29" x14ac:dyDescent="0.2">
      <c r="A179" s="51"/>
      <c r="B179" s="52"/>
      <c r="C179" s="51"/>
      <c r="D179" s="73"/>
      <c r="E179" s="105"/>
      <c r="F179" s="73"/>
      <c r="G179" s="106"/>
      <c r="H179" s="107"/>
      <c r="I179" s="150"/>
      <c r="J179" s="77"/>
      <c r="K179" s="60"/>
      <c r="L179" s="162"/>
      <c r="M179" s="54">
        <f t="shared" si="14"/>
        <v>4</v>
      </c>
      <c r="N179" s="54">
        <f t="shared" si="15"/>
        <v>5</v>
      </c>
      <c r="O179" s="61" t="str">
        <f t="shared" si="12"/>
        <v/>
      </c>
      <c r="P179" s="62" t="str">
        <f t="shared" si="13"/>
        <v/>
      </c>
      <c r="Q179" s="63"/>
      <c r="R179" s="38"/>
      <c r="S179" s="38"/>
      <c r="T179" s="38"/>
      <c r="U179" s="69"/>
      <c r="V179" s="12"/>
      <c r="AB179" s="12"/>
      <c r="AC179" s="12"/>
    </row>
    <row r="180" spans="1:29" x14ac:dyDescent="0.2">
      <c r="A180" s="51">
        <v>326</v>
      </c>
      <c r="B180" s="52"/>
      <c r="C180" s="154" t="s">
        <v>388</v>
      </c>
      <c r="D180" s="73" t="s">
        <v>389</v>
      </c>
      <c r="E180" s="105" t="s">
        <v>39</v>
      </c>
      <c r="F180" s="73">
        <v>0</v>
      </c>
      <c r="G180" s="106">
        <v>65535</v>
      </c>
      <c r="H180" s="107">
        <v>0</v>
      </c>
      <c r="I180" s="94">
        <v>1</v>
      </c>
      <c r="J180" s="77"/>
      <c r="K180" s="60"/>
      <c r="L180" s="162"/>
      <c r="M180" s="54">
        <f t="shared" si="14"/>
        <v>4</v>
      </c>
      <c r="N180" s="54">
        <f t="shared" si="15"/>
        <v>5</v>
      </c>
      <c r="O180" s="61">
        <f t="shared" si="12"/>
        <v>2374</v>
      </c>
      <c r="P180" s="62" t="str">
        <f t="shared" si="13"/>
        <v>0x0946</v>
      </c>
      <c r="Q180" s="63" t="s">
        <v>102</v>
      </c>
      <c r="R180" s="38"/>
      <c r="S180" s="38"/>
      <c r="T180" s="38"/>
      <c r="U180" s="84" t="s">
        <v>60</v>
      </c>
      <c r="V180" s="12"/>
      <c r="AB180" s="12"/>
      <c r="AC180" s="12"/>
    </row>
    <row r="181" spans="1:29" x14ac:dyDescent="0.2">
      <c r="A181" s="51">
        <v>327</v>
      </c>
      <c r="B181" s="52"/>
      <c r="C181" s="154" t="s">
        <v>390</v>
      </c>
      <c r="D181" s="73" t="s">
        <v>389</v>
      </c>
      <c r="E181" s="105" t="s">
        <v>39</v>
      </c>
      <c r="F181" s="73">
        <v>0</v>
      </c>
      <c r="G181" s="106">
        <v>65535</v>
      </c>
      <c r="H181" s="107">
        <v>0</v>
      </c>
      <c r="I181" s="94">
        <v>1</v>
      </c>
      <c r="J181" s="77"/>
      <c r="K181" s="60"/>
      <c r="L181" s="162"/>
      <c r="M181" s="54">
        <f t="shared" si="14"/>
        <v>4</v>
      </c>
      <c r="N181" s="54">
        <f t="shared" si="15"/>
        <v>5</v>
      </c>
      <c r="O181" s="61">
        <f t="shared" si="12"/>
        <v>2375</v>
      </c>
      <c r="P181" s="62" t="str">
        <f t="shared" si="13"/>
        <v>0x0947</v>
      </c>
      <c r="Q181" s="63" t="s">
        <v>102</v>
      </c>
      <c r="R181" s="38"/>
      <c r="S181" s="38"/>
      <c r="T181" s="38"/>
      <c r="U181" s="69" t="s">
        <v>60</v>
      </c>
      <c r="V181" s="12"/>
      <c r="AB181" s="12"/>
      <c r="AC181" s="12"/>
    </row>
    <row r="182" spans="1:29" x14ac:dyDescent="0.2">
      <c r="A182" s="51">
        <v>328</v>
      </c>
      <c r="B182" s="52"/>
      <c r="C182" s="154" t="s">
        <v>391</v>
      </c>
      <c r="D182" s="73" t="s">
        <v>389</v>
      </c>
      <c r="E182" s="105" t="s">
        <v>39</v>
      </c>
      <c r="F182" s="73">
        <v>0</v>
      </c>
      <c r="G182" s="106">
        <v>65535</v>
      </c>
      <c r="H182" s="107">
        <v>0</v>
      </c>
      <c r="I182" s="94">
        <v>1</v>
      </c>
      <c r="J182" s="77"/>
      <c r="K182" s="60"/>
      <c r="L182" s="162"/>
      <c r="M182" s="54">
        <f t="shared" si="14"/>
        <v>4</v>
      </c>
      <c r="N182" s="54">
        <f t="shared" si="15"/>
        <v>5</v>
      </c>
      <c r="O182" s="61">
        <f t="shared" si="12"/>
        <v>2376</v>
      </c>
      <c r="P182" s="62" t="str">
        <f t="shared" si="13"/>
        <v>0x0948</v>
      </c>
      <c r="Q182" s="63" t="s">
        <v>102</v>
      </c>
      <c r="R182" s="38"/>
      <c r="S182" s="38"/>
      <c r="T182" s="38"/>
      <c r="U182" s="84" t="s">
        <v>60</v>
      </c>
      <c r="V182" s="12"/>
      <c r="AB182" s="12"/>
      <c r="AC182" s="12"/>
    </row>
    <row r="183" spans="1:29" x14ac:dyDescent="0.2">
      <c r="A183" s="51">
        <v>329</v>
      </c>
      <c r="B183" s="52"/>
      <c r="C183" s="154" t="s">
        <v>392</v>
      </c>
      <c r="D183" s="73" t="s">
        <v>389</v>
      </c>
      <c r="E183" s="105" t="s">
        <v>39</v>
      </c>
      <c r="F183" s="73">
        <v>0</v>
      </c>
      <c r="G183" s="106">
        <v>65535</v>
      </c>
      <c r="H183" s="107">
        <v>0</v>
      </c>
      <c r="I183" s="94">
        <v>1</v>
      </c>
      <c r="J183" s="77"/>
      <c r="K183" s="60"/>
      <c r="L183" s="162"/>
      <c r="M183" s="54">
        <f t="shared" si="14"/>
        <v>4</v>
      </c>
      <c r="N183" s="54">
        <f t="shared" si="15"/>
        <v>5</v>
      </c>
      <c r="O183" s="61">
        <f t="shared" si="12"/>
        <v>2377</v>
      </c>
      <c r="P183" s="62" t="str">
        <f t="shared" si="13"/>
        <v>0x0949</v>
      </c>
      <c r="Q183" s="63" t="s">
        <v>102</v>
      </c>
      <c r="R183" s="38"/>
      <c r="S183" s="38"/>
      <c r="T183" s="38"/>
      <c r="U183" s="69" t="s">
        <v>60</v>
      </c>
      <c r="V183" s="12"/>
      <c r="AB183" s="12"/>
      <c r="AC183" s="12"/>
    </row>
    <row r="184" spans="1:29" x14ac:dyDescent="0.2">
      <c r="A184" s="51">
        <v>330</v>
      </c>
      <c r="B184" s="52"/>
      <c r="C184" s="154" t="s">
        <v>393</v>
      </c>
      <c r="D184" s="73" t="s">
        <v>389</v>
      </c>
      <c r="E184" s="105" t="s">
        <v>39</v>
      </c>
      <c r="F184" s="73">
        <v>0</v>
      </c>
      <c r="G184" s="106">
        <v>65535</v>
      </c>
      <c r="H184" s="107">
        <v>0</v>
      </c>
      <c r="I184" s="94">
        <v>1</v>
      </c>
      <c r="J184" s="77"/>
      <c r="K184" s="60"/>
      <c r="L184" s="162"/>
      <c r="M184" s="54">
        <f t="shared" si="14"/>
        <v>4</v>
      </c>
      <c r="N184" s="54">
        <f t="shared" si="15"/>
        <v>5</v>
      </c>
      <c r="O184" s="61">
        <f t="shared" si="12"/>
        <v>2378</v>
      </c>
      <c r="P184" s="62" t="str">
        <f t="shared" si="13"/>
        <v>0x094A</v>
      </c>
      <c r="Q184" s="63" t="s">
        <v>102</v>
      </c>
      <c r="R184" s="38"/>
      <c r="S184" s="38"/>
      <c r="T184" s="38"/>
      <c r="U184" s="84" t="s">
        <v>60</v>
      </c>
      <c r="V184" s="12"/>
      <c r="AB184" s="12"/>
      <c r="AC184" s="12"/>
    </row>
    <row r="185" spans="1:29" x14ac:dyDescent="0.2">
      <c r="A185" s="51">
        <v>331</v>
      </c>
      <c r="B185" s="52"/>
      <c r="C185" s="154" t="s">
        <v>394</v>
      </c>
      <c r="D185" s="73" t="s">
        <v>389</v>
      </c>
      <c r="E185" s="105" t="s">
        <v>39</v>
      </c>
      <c r="F185" s="73">
        <v>0</v>
      </c>
      <c r="G185" s="106">
        <v>65535</v>
      </c>
      <c r="H185" s="107">
        <v>0</v>
      </c>
      <c r="I185" s="94">
        <v>1</v>
      </c>
      <c r="J185" s="77"/>
      <c r="K185" s="60"/>
      <c r="L185" s="162"/>
      <c r="M185" s="54">
        <f t="shared" si="14"/>
        <v>4</v>
      </c>
      <c r="N185" s="54">
        <f t="shared" si="15"/>
        <v>5</v>
      </c>
      <c r="O185" s="61">
        <f t="shared" si="12"/>
        <v>2379</v>
      </c>
      <c r="P185" s="62" t="str">
        <f t="shared" si="13"/>
        <v>0x094B</v>
      </c>
      <c r="Q185" s="63" t="s">
        <v>102</v>
      </c>
      <c r="R185" s="38"/>
      <c r="S185" s="38"/>
      <c r="T185" s="38"/>
      <c r="U185" s="69" t="s">
        <v>60</v>
      </c>
      <c r="V185" s="12"/>
      <c r="AB185" s="12"/>
      <c r="AC185" s="12"/>
    </row>
    <row r="186" spans="1:29" x14ac:dyDescent="0.2">
      <c r="A186" s="51">
        <v>332</v>
      </c>
      <c r="B186" s="52"/>
      <c r="C186" s="154" t="s">
        <v>395</v>
      </c>
      <c r="D186" s="73" t="s">
        <v>389</v>
      </c>
      <c r="E186" s="105" t="s">
        <v>39</v>
      </c>
      <c r="F186" s="73">
        <v>-32768</v>
      </c>
      <c r="G186" s="106">
        <v>32767</v>
      </c>
      <c r="H186" s="107">
        <v>0</v>
      </c>
      <c r="I186" s="94">
        <v>1</v>
      </c>
      <c r="J186" s="77"/>
      <c r="K186" s="60"/>
      <c r="L186" s="162"/>
      <c r="M186" s="54">
        <f t="shared" si="14"/>
        <v>4</v>
      </c>
      <c r="N186" s="54">
        <f t="shared" si="15"/>
        <v>5</v>
      </c>
      <c r="O186" s="61">
        <f t="shared" si="12"/>
        <v>2380</v>
      </c>
      <c r="P186" s="62" t="str">
        <f t="shared" si="13"/>
        <v>0x094C</v>
      </c>
      <c r="Q186" s="63" t="s">
        <v>59</v>
      </c>
      <c r="R186" s="38"/>
      <c r="S186" s="38"/>
      <c r="T186" s="38"/>
      <c r="U186" s="84" t="s">
        <v>60</v>
      </c>
      <c r="V186" s="12"/>
      <c r="AB186" s="12"/>
      <c r="AC186" s="12"/>
    </row>
    <row r="187" spans="1:29" x14ac:dyDescent="0.2">
      <c r="A187" s="51">
        <v>333</v>
      </c>
      <c r="B187" s="52"/>
      <c r="C187" s="154" t="s">
        <v>396</v>
      </c>
      <c r="D187" s="73" t="s">
        <v>389</v>
      </c>
      <c r="E187" s="105" t="s">
        <v>39</v>
      </c>
      <c r="F187" s="73">
        <v>0</v>
      </c>
      <c r="G187" s="106">
        <v>65535</v>
      </c>
      <c r="H187" s="107">
        <v>0</v>
      </c>
      <c r="I187" s="94">
        <v>1</v>
      </c>
      <c r="J187" s="77"/>
      <c r="K187" s="60"/>
      <c r="L187" s="162"/>
      <c r="M187" s="54">
        <f t="shared" si="14"/>
        <v>4</v>
      </c>
      <c r="N187" s="54">
        <f t="shared" si="15"/>
        <v>5</v>
      </c>
      <c r="O187" s="61">
        <f t="shared" si="12"/>
        <v>2381</v>
      </c>
      <c r="P187" s="62" t="str">
        <f t="shared" si="13"/>
        <v>0x094D</v>
      </c>
      <c r="Q187" s="63" t="s">
        <v>102</v>
      </c>
      <c r="R187" s="38"/>
      <c r="S187" s="38"/>
      <c r="T187" s="38"/>
      <c r="U187" s="69" t="s">
        <v>60</v>
      </c>
      <c r="V187" s="12"/>
      <c r="AB187" s="12"/>
      <c r="AC187" s="12"/>
    </row>
    <row r="188" spans="1:29" x14ac:dyDescent="0.2">
      <c r="A188" s="51">
        <v>334</v>
      </c>
      <c r="B188" s="52"/>
      <c r="C188" s="154" t="s">
        <v>397</v>
      </c>
      <c r="D188" s="73" t="s">
        <v>389</v>
      </c>
      <c r="E188" s="105" t="s">
        <v>39</v>
      </c>
      <c r="F188" s="73">
        <v>0</v>
      </c>
      <c r="G188" s="106">
        <v>1</v>
      </c>
      <c r="H188" s="107"/>
      <c r="I188" s="94"/>
      <c r="J188" s="77"/>
      <c r="K188" s="60"/>
      <c r="L188" s="162"/>
      <c r="M188" s="54">
        <f t="shared" si="14"/>
        <v>4</v>
      </c>
      <c r="N188" s="54">
        <f t="shared" si="15"/>
        <v>5</v>
      </c>
      <c r="O188" s="61">
        <f t="shared" si="12"/>
        <v>2382</v>
      </c>
      <c r="P188" s="62" t="str">
        <f t="shared" si="13"/>
        <v>0x094E</v>
      </c>
      <c r="Q188" s="63" t="s">
        <v>102</v>
      </c>
      <c r="R188" s="38"/>
      <c r="S188" s="38"/>
      <c r="T188" s="38"/>
      <c r="U188" s="84" t="s">
        <v>60</v>
      </c>
      <c r="V188" s="12"/>
      <c r="AB188" s="12"/>
      <c r="AC188" s="12"/>
    </row>
    <row r="189" spans="1:29" x14ac:dyDescent="0.2">
      <c r="A189" s="51">
        <v>335</v>
      </c>
      <c r="B189" s="52"/>
      <c r="C189" s="154" t="s">
        <v>398</v>
      </c>
      <c r="D189" s="73" t="s">
        <v>389</v>
      </c>
      <c r="E189" s="105" t="s">
        <v>39</v>
      </c>
      <c r="F189" s="73">
        <v>0</v>
      </c>
      <c r="G189" s="106">
        <v>65535</v>
      </c>
      <c r="H189" s="107">
        <v>0</v>
      </c>
      <c r="I189" s="94">
        <v>1</v>
      </c>
      <c r="J189" s="77"/>
      <c r="K189" s="60"/>
      <c r="L189" s="162"/>
      <c r="M189" s="54">
        <f t="shared" si="14"/>
        <v>4</v>
      </c>
      <c r="N189" s="54">
        <f t="shared" si="15"/>
        <v>5</v>
      </c>
      <c r="O189" s="61">
        <f t="shared" si="12"/>
        <v>2383</v>
      </c>
      <c r="P189" s="62" t="str">
        <f t="shared" si="13"/>
        <v>0x094F</v>
      </c>
      <c r="Q189" s="63" t="s">
        <v>102</v>
      </c>
      <c r="R189" s="38"/>
      <c r="S189" s="38"/>
      <c r="T189" s="38"/>
      <c r="U189" s="69" t="s">
        <v>60</v>
      </c>
      <c r="V189" s="12"/>
      <c r="AB189" s="12"/>
      <c r="AC189" s="12"/>
    </row>
    <row r="190" spans="1:29" x14ac:dyDescent="0.2">
      <c r="A190" s="51">
        <v>336</v>
      </c>
      <c r="B190" s="52"/>
      <c r="C190" s="154" t="s">
        <v>399</v>
      </c>
      <c r="D190" s="73" t="s">
        <v>389</v>
      </c>
      <c r="E190" s="105" t="s">
        <v>39</v>
      </c>
      <c r="F190" s="73">
        <v>0</v>
      </c>
      <c r="G190" s="106">
        <v>65535</v>
      </c>
      <c r="H190" s="107">
        <v>0</v>
      </c>
      <c r="I190" s="94">
        <v>1</v>
      </c>
      <c r="J190" s="77"/>
      <c r="K190" s="60"/>
      <c r="L190" s="162"/>
      <c r="M190" s="54">
        <f t="shared" si="14"/>
        <v>4</v>
      </c>
      <c r="N190" s="54">
        <f t="shared" si="15"/>
        <v>5</v>
      </c>
      <c r="O190" s="61">
        <f t="shared" si="12"/>
        <v>2384</v>
      </c>
      <c r="P190" s="62" t="str">
        <f t="shared" si="13"/>
        <v>0x0950</v>
      </c>
      <c r="Q190" s="63" t="s">
        <v>102</v>
      </c>
      <c r="R190" s="38"/>
      <c r="S190" s="38"/>
      <c r="T190" s="38"/>
      <c r="U190" s="84" t="s">
        <v>60</v>
      </c>
      <c r="V190" s="12"/>
      <c r="AB190" s="12"/>
      <c r="AC190" s="12"/>
    </row>
    <row r="191" spans="1:29" x14ac:dyDescent="0.2">
      <c r="A191" s="51">
        <v>337</v>
      </c>
      <c r="B191" s="52"/>
      <c r="C191" s="154" t="s">
        <v>400</v>
      </c>
      <c r="D191" s="73" t="s">
        <v>389</v>
      </c>
      <c r="E191" s="105" t="s">
        <v>39</v>
      </c>
      <c r="F191" s="73">
        <v>0</v>
      </c>
      <c r="G191" s="106">
        <v>65535</v>
      </c>
      <c r="H191" s="107">
        <v>0</v>
      </c>
      <c r="I191" s="94">
        <v>1</v>
      </c>
      <c r="J191" s="77"/>
      <c r="K191" s="60"/>
      <c r="L191" s="162"/>
      <c r="M191" s="54">
        <f t="shared" si="14"/>
        <v>4</v>
      </c>
      <c r="N191" s="54">
        <f t="shared" si="15"/>
        <v>5</v>
      </c>
      <c r="O191" s="61">
        <f t="shared" si="12"/>
        <v>2385</v>
      </c>
      <c r="P191" s="62" t="str">
        <f t="shared" si="13"/>
        <v>0x0951</v>
      </c>
      <c r="Q191" s="63" t="s">
        <v>102</v>
      </c>
      <c r="R191" s="38"/>
      <c r="S191" s="38"/>
      <c r="T191" s="38"/>
      <c r="U191" s="69" t="s">
        <v>60</v>
      </c>
      <c r="V191" s="12"/>
      <c r="AB191" s="12"/>
      <c r="AC191" s="12"/>
    </row>
    <row r="192" spans="1:29" x14ac:dyDescent="0.2">
      <c r="A192" s="51">
        <v>338</v>
      </c>
      <c r="B192" s="52"/>
      <c r="C192" s="154" t="s">
        <v>401</v>
      </c>
      <c r="D192" s="73" t="s">
        <v>389</v>
      </c>
      <c r="E192" s="105" t="s">
        <v>39</v>
      </c>
      <c r="F192" s="73">
        <v>0</v>
      </c>
      <c r="G192" s="106">
        <v>65535</v>
      </c>
      <c r="H192" s="107">
        <v>0</v>
      </c>
      <c r="I192" s="94">
        <v>1</v>
      </c>
      <c r="J192" s="77"/>
      <c r="K192" s="60"/>
      <c r="L192" s="162"/>
      <c r="M192" s="54">
        <f t="shared" si="14"/>
        <v>4</v>
      </c>
      <c r="N192" s="54">
        <f t="shared" si="15"/>
        <v>5</v>
      </c>
      <c r="O192" s="61">
        <f t="shared" si="12"/>
        <v>2386</v>
      </c>
      <c r="P192" s="62" t="str">
        <f t="shared" si="13"/>
        <v>0x0952</v>
      </c>
      <c r="Q192" s="63" t="s">
        <v>102</v>
      </c>
      <c r="R192" s="38"/>
      <c r="S192" s="38"/>
      <c r="T192" s="38"/>
      <c r="U192" s="84" t="s">
        <v>60</v>
      </c>
      <c r="V192" s="12"/>
      <c r="AB192" s="12"/>
      <c r="AC192" s="12"/>
    </row>
    <row r="193" spans="1:29" x14ac:dyDescent="0.2">
      <c r="A193" s="51">
        <v>339</v>
      </c>
      <c r="B193" s="52"/>
      <c r="C193" s="154" t="s">
        <v>402</v>
      </c>
      <c r="D193" s="73" t="s">
        <v>389</v>
      </c>
      <c r="E193" s="105" t="s">
        <v>39</v>
      </c>
      <c r="F193" s="73">
        <v>0</v>
      </c>
      <c r="G193" s="106">
        <v>65535</v>
      </c>
      <c r="H193" s="107">
        <v>0</v>
      </c>
      <c r="I193" s="94">
        <v>1</v>
      </c>
      <c r="J193" s="77"/>
      <c r="K193" s="60"/>
      <c r="L193" s="162"/>
      <c r="M193" s="54">
        <f t="shared" si="14"/>
        <v>4</v>
      </c>
      <c r="N193" s="54">
        <f t="shared" si="15"/>
        <v>5</v>
      </c>
      <c r="O193" s="61">
        <f t="shared" si="12"/>
        <v>2387</v>
      </c>
      <c r="P193" s="62" t="str">
        <f t="shared" si="13"/>
        <v>0x0953</v>
      </c>
      <c r="Q193" s="63" t="s">
        <v>102</v>
      </c>
      <c r="R193" s="38"/>
      <c r="S193" s="38"/>
      <c r="T193" s="38"/>
      <c r="U193" s="69" t="s">
        <v>60</v>
      </c>
      <c r="V193" s="12"/>
      <c r="AB193" s="12"/>
      <c r="AC193" s="12"/>
    </row>
    <row r="194" spans="1:29" x14ac:dyDescent="0.2">
      <c r="A194" s="51">
        <v>340</v>
      </c>
      <c r="B194" s="52"/>
      <c r="C194" s="154" t="s">
        <v>403</v>
      </c>
      <c r="D194" s="73" t="s">
        <v>389</v>
      </c>
      <c r="E194" s="105" t="s">
        <v>39</v>
      </c>
      <c r="F194" s="73">
        <v>0</v>
      </c>
      <c r="G194" s="106">
        <v>65535</v>
      </c>
      <c r="H194" s="107">
        <v>0</v>
      </c>
      <c r="I194" s="94">
        <v>1</v>
      </c>
      <c r="J194" s="77"/>
      <c r="K194" s="60"/>
      <c r="L194" s="162"/>
      <c r="M194" s="54">
        <f t="shared" si="14"/>
        <v>4</v>
      </c>
      <c r="N194" s="54">
        <f t="shared" si="15"/>
        <v>5</v>
      </c>
      <c r="O194" s="61">
        <f t="shared" si="12"/>
        <v>2388</v>
      </c>
      <c r="P194" s="62" t="str">
        <f t="shared" si="13"/>
        <v>0x0954</v>
      </c>
      <c r="Q194" s="63" t="s">
        <v>102</v>
      </c>
      <c r="R194" s="38"/>
      <c r="S194" s="38"/>
      <c r="T194" s="38"/>
      <c r="U194" s="84" t="s">
        <v>60</v>
      </c>
      <c r="V194" s="12"/>
      <c r="AB194" s="12"/>
      <c r="AC194" s="12"/>
    </row>
    <row r="195" spans="1:29" x14ac:dyDescent="0.2">
      <c r="A195" s="51">
        <v>341</v>
      </c>
      <c r="B195" s="52"/>
      <c r="C195" s="154" t="s">
        <v>404</v>
      </c>
      <c r="D195" s="73" t="s">
        <v>389</v>
      </c>
      <c r="E195" s="105" t="s">
        <v>39</v>
      </c>
      <c r="F195" s="73">
        <v>0</v>
      </c>
      <c r="G195" s="106">
        <v>65535</v>
      </c>
      <c r="H195" s="107">
        <v>0</v>
      </c>
      <c r="I195" s="94">
        <v>1</v>
      </c>
      <c r="J195" s="77"/>
      <c r="K195" s="60"/>
      <c r="L195" s="162"/>
      <c r="M195" s="54">
        <f t="shared" si="14"/>
        <v>4</v>
      </c>
      <c r="N195" s="54">
        <f t="shared" si="15"/>
        <v>5</v>
      </c>
      <c r="O195" s="61">
        <f t="shared" si="12"/>
        <v>2389</v>
      </c>
      <c r="P195" s="62" t="str">
        <f t="shared" si="13"/>
        <v>0x0955</v>
      </c>
      <c r="Q195" s="63" t="s">
        <v>102</v>
      </c>
      <c r="R195" s="38"/>
      <c r="S195" s="38"/>
      <c r="T195" s="38"/>
      <c r="U195" s="69" t="s">
        <v>60</v>
      </c>
      <c r="V195" s="12"/>
      <c r="AB195" s="12"/>
      <c r="AC195" s="12"/>
    </row>
    <row r="196" spans="1:29" x14ac:dyDescent="0.2">
      <c r="A196" s="51">
        <v>342</v>
      </c>
      <c r="B196" s="52"/>
      <c r="C196" s="154" t="s">
        <v>405</v>
      </c>
      <c r="D196" s="73" t="s">
        <v>389</v>
      </c>
      <c r="E196" s="105" t="s">
        <v>39</v>
      </c>
      <c r="F196" s="73">
        <v>0</v>
      </c>
      <c r="G196" s="106">
        <v>65535</v>
      </c>
      <c r="H196" s="107">
        <v>0</v>
      </c>
      <c r="I196" s="94">
        <v>1</v>
      </c>
      <c r="J196" s="77"/>
      <c r="K196" s="60"/>
      <c r="L196" s="162"/>
      <c r="M196" s="54">
        <f t="shared" si="14"/>
        <v>4</v>
      </c>
      <c r="N196" s="54">
        <f t="shared" si="15"/>
        <v>5</v>
      </c>
      <c r="O196" s="61">
        <f t="shared" si="12"/>
        <v>2390</v>
      </c>
      <c r="P196" s="62" t="str">
        <f t="shared" si="13"/>
        <v>0x0956</v>
      </c>
      <c r="Q196" s="63" t="s">
        <v>102</v>
      </c>
      <c r="R196" s="38"/>
      <c r="S196" s="38"/>
      <c r="T196" s="38"/>
      <c r="U196" s="84" t="s">
        <v>60</v>
      </c>
      <c r="V196" s="12"/>
      <c r="AB196" s="12"/>
      <c r="AC196" s="12"/>
    </row>
    <row r="197" spans="1:29" x14ac:dyDescent="0.2">
      <c r="A197" s="51">
        <v>343</v>
      </c>
      <c r="B197" s="52"/>
      <c r="C197" s="154" t="s">
        <v>406</v>
      </c>
      <c r="D197" s="73" t="s">
        <v>389</v>
      </c>
      <c r="E197" s="105" t="s">
        <v>39</v>
      </c>
      <c r="F197" s="73">
        <v>0</v>
      </c>
      <c r="G197" s="106">
        <v>65535</v>
      </c>
      <c r="H197" s="107">
        <v>0</v>
      </c>
      <c r="I197" s="94">
        <v>1</v>
      </c>
      <c r="J197" s="77"/>
      <c r="K197" s="60"/>
      <c r="L197" s="162"/>
      <c r="M197" s="54">
        <f t="shared" si="14"/>
        <v>4</v>
      </c>
      <c r="N197" s="54">
        <f t="shared" si="15"/>
        <v>5</v>
      </c>
      <c r="O197" s="61">
        <f t="shared" si="12"/>
        <v>2391</v>
      </c>
      <c r="P197" s="62" t="str">
        <f t="shared" si="13"/>
        <v>0x0957</v>
      </c>
      <c r="Q197" s="63" t="s">
        <v>102</v>
      </c>
      <c r="R197" s="38"/>
      <c r="S197" s="38"/>
      <c r="T197" s="38"/>
      <c r="U197" s="69" t="s">
        <v>60</v>
      </c>
      <c r="V197" s="12"/>
      <c r="AB197" s="12"/>
      <c r="AC197" s="12"/>
    </row>
    <row r="198" spans="1:29" x14ac:dyDescent="0.2">
      <c r="A198" s="51">
        <v>344</v>
      </c>
      <c r="B198" s="52"/>
      <c r="C198" s="154" t="s">
        <v>407</v>
      </c>
      <c r="D198" s="73" t="s">
        <v>389</v>
      </c>
      <c r="E198" s="105" t="s">
        <v>39</v>
      </c>
      <c r="F198" s="73">
        <v>0</v>
      </c>
      <c r="G198" s="106">
        <v>65535</v>
      </c>
      <c r="H198" s="107">
        <v>0</v>
      </c>
      <c r="I198" s="94">
        <v>1</v>
      </c>
      <c r="J198" s="77"/>
      <c r="K198" s="60"/>
      <c r="L198" s="162"/>
      <c r="M198" s="54">
        <f t="shared" si="14"/>
        <v>4</v>
      </c>
      <c r="N198" s="54">
        <f t="shared" si="15"/>
        <v>5</v>
      </c>
      <c r="O198" s="61">
        <f t="shared" si="12"/>
        <v>2392</v>
      </c>
      <c r="P198" s="62" t="str">
        <f t="shared" si="13"/>
        <v>0x0958</v>
      </c>
      <c r="Q198" s="63" t="s">
        <v>102</v>
      </c>
      <c r="R198" s="38"/>
      <c r="S198" s="38"/>
      <c r="T198" s="38"/>
      <c r="U198" s="84" t="s">
        <v>60</v>
      </c>
      <c r="V198" s="12"/>
      <c r="AB198" s="12"/>
      <c r="AC198" s="12"/>
    </row>
    <row r="199" spans="1:29" x14ac:dyDescent="0.2">
      <c r="A199" s="51">
        <v>345</v>
      </c>
      <c r="B199" s="52"/>
      <c r="C199" s="154" t="s">
        <v>408</v>
      </c>
      <c r="D199" s="73" t="s">
        <v>389</v>
      </c>
      <c r="E199" s="105" t="s">
        <v>39</v>
      </c>
      <c r="F199" s="73">
        <v>0</v>
      </c>
      <c r="G199" s="106">
        <v>65535</v>
      </c>
      <c r="H199" s="107">
        <v>0</v>
      </c>
      <c r="I199" s="94">
        <v>1</v>
      </c>
      <c r="J199" s="77"/>
      <c r="K199" s="60"/>
      <c r="L199" s="162"/>
      <c r="M199" s="54">
        <f t="shared" si="14"/>
        <v>4</v>
      </c>
      <c r="N199" s="54">
        <f t="shared" si="15"/>
        <v>5</v>
      </c>
      <c r="O199" s="61">
        <f t="shared" si="12"/>
        <v>2393</v>
      </c>
      <c r="P199" s="62" t="str">
        <f t="shared" si="13"/>
        <v>0x0959</v>
      </c>
      <c r="Q199" s="63" t="s">
        <v>102</v>
      </c>
      <c r="R199" s="38"/>
      <c r="S199" s="38"/>
      <c r="T199" s="38"/>
      <c r="U199" s="69" t="s">
        <v>60</v>
      </c>
      <c r="V199" s="12"/>
      <c r="AB199" s="12"/>
      <c r="AC199" s="12"/>
    </row>
    <row r="200" spans="1:29" x14ac:dyDescent="0.2">
      <c r="A200" s="51">
        <v>346</v>
      </c>
      <c r="B200" s="52"/>
      <c r="C200" s="154" t="s">
        <v>409</v>
      </c>
      <c r="D200" s="73" t="s">
        <v>389</v>
      </c>
      <c r="E200" s="105" t="s">
        <v>39</v>
      </c>
      <c r="F200" s="73">
        <v>0</v>
      </c>
      <c r="G200" s="106">
        <v>65535</v>
      </c>
      <c r="H200" s="107">
        <v>0</v>
      </c>
      <c r="I200" s="94">
        <v>1</v>
      </c>
      <c r="J200" s="77"/>
      <c r="K200" s="60"/>
      <c r="L200" s="162"/>
      <c r="M200" s="54">
        <f t="shared" si="14"/>
        <v>4</v>
      </c>
      <c r="N200" s="54">
        <f t="shared" si="15"/>
        <v>5</v>
      </c>
      <c r="O200" s="61">
        <f t="shared" si="12"/>
        <v>2394</v>
      </c>
      <c r="P200" s="62" t="str">
        <f t="shared" si="13"/>
        <v>0x095A</v>
      </c>
      <c r="Q200" s="63" t="s">
        <v>102</v>
      </c>
      <c r="R200" s="38"/>
      <c r="S200" s="38"/>
      <c r="T200" s="38"/>
      <c r="U200" s="84" t="s">
        <v>60</v>
      </c>
      <c r="V200" s="12"/>
      <c r="AB200" s="12"/>
      <c r="AC200" s="12"/>
    </row>
    <row r="201" spans="1:29" x14ac:dyDescent="0.2">
      <c r="A201" s="51">
        <v>347</v>
      </c>
      <c r="B201" s="52"/>
      <c r="C201" s="154" t="s">
        <v>410</v>
      </c>
      <c r="D201" s="73" t="s">
        <v>389</v>
      </c>
      <c r="E201" s="105" t="s">
        <v>39</v>
      </c>
      <c r="F201" s="73">
        <v>0</v>
      </c>
      <c r="G201" s="106">
        <v>65535</v>
      </c>
      <c r="H201" s="107">
        <v>0</v>
      </c>
      <c r="I201" s="94">
        <v>1</v>
      </c>
      <c r="J201" s="77"/>
      <c r="K201" s="60"/>
      <c r="L201" s="162"/>
      <c r="M201" s="54">
        <f t="shared" si="14"/>
        <v>4</v>
      </c>
      <c r="N201" s="54">
        <f t="shared" si="15"/>
        <v>5</v>
      </c>
      <c r="O201" s="61">
        <f t="shared" si="12"/>
        <v>2395</v>
      </c>
      <c r="P201" s="62" t="str">
        <f t="shared" si="13"/>
        <v>0x095B</v>
      </c>
      <c r="Q201" s="63" t="s">
        <v>102</v>
      </c>
      <c r="R201" s="38"/>
      <c r="S201" s="38"/>
      <c r="T201" s="38"/>
      <c r="U201" s="69" t="s">
        <v>60</v>
      </c>
      <c r="V201" s="12"/>
      <c r="AB201" s="12"/>
      <c r="AC201" s="12"/>
    </row>
    <row r="202" spans="1:29" x14ac:dyDescent="0.2">
      <c r="A202" s="51">
        <v>348</v>
      </c>
      <c r="B202" s="52"/>
      <c r="C202" s="154" t="s">
        <v>411</v>
      </c>
      <c r="D202" s="73" t="s">
        <v>389</v>
      </c>
      <c r="E202" s="105" t="s">
        <v>39</v>
      </c>
      <c r="F202" s="73">
        <v>0</v>
      </c>
      <c r="G202" s="106">
        <v>65535</v>
      </c>
      <c r="H202" s="107">
        <v>0</v>
      </c>
      <c r="I202" s="94">
        <v>1</v>
      </c>
      <c r="J202" s="77"/>
      <c r="K202" s="60"/>
      <c r="L202" s="162"/>
      <c r="M202" s="54">
        <f t="shared" si="14"/>
        <v>4</v>
      </c>
      <c r="N202" s="54">
        <f t="shared" si="15"/>
        <v>5</v>
      </c>
      <c r="O202" s="61">
        <f t="shared" si="12"/>
        <v>2396</v>
      </c>
      <c r="P202" s="62" t="str">
        <f t="shared" si="13"/>
        <v>0x095C</v>
      </c>
      <c r="Q202" s="63" t="s">
        <v>102</v>
      </c>
      <c r="R202" s="38"/>
      <c r="S202" s="38"/>
      <c r="T202" s="38"/>
      <c r="U202" s="84" t="s">
        <v>60</v>
      </c>
      <c r="V202" s="12"/>
      <c r="AB202" s="12"/>
      <c r="AC202" s="12"/>
    </row>
    <row r="203" spans="1:29" x14ac:dyDescent="0.2">
      <c r="A203" s="51">
        <v>349</v>
      </c>
      <c r="B203" s="52"/>
      <c r="C203" s="154" t="s">
        <v>412</v>
      </c>
      <c r="D203" s="73" t="s">
        <v>389</v>
      </c>
      <c r="E203" s="105" t="s">
        <v>39</v>
      </c>
      <c r="F203" s="73">
        <v>0</v>
      </c>
      <c r="G203" s="106">
        <v>65535</v>
      </c>
      <c r="H203" s="107">
        <v>0</v>
      </c>
      <c r="I203" s="94">
        <v>1</v>
      </c>
      <c r="J203" s="77"/>
      <c r="K203" s="60"/>
      <c r="L203" s="162"/>
      <c r="M203" s="54">
        <f t="shared" si="14"/>
        <v>4</v>
      </c>
      <c r="N203" s="54">
        <f t="shared" si="15"/>
        <v>5</v>
      </c>
      <c r="O203" s="61">
        <f t="shared" si="12"/>
        <v>2397</v>
      </c>
      <c r="P203" s="62" t="str">
        <f t="shared" si="13"/>
        <v>0x095D</v>
      </c>
      <c r="Q203" s="63" t="s">
        <v>102</v>
      </c>
      <c r="R203" s="38"/>
      <c r="S203" s="38"/>
      <c r="T203" s="38"/>
      <c r="U203" s="69" t="s">
        <v>60</v>
      </c>
      <c r="V203" s="12"/>
      <c r="AB203" s="12"/>
      <c r="AC203" s="12"/>
    </row>
    <row r="204" spans="1:29" x14ac:dyDescent="0.2">
      <c r="A204" s="51">
        <v>350</v>
      </c>
      <c r="B204" s="52"/>
      <c r="C204" s="154" t="s">
        <v>413</v>
      </c>
      <c r="D204" s="73" t="s">
        <v>389</v>
      </c>
      <c r="E204" s="105" t="s">
        <v>39</v>
      </c>
      <c r="F204" s="73">
        <v>0</v>
      </c>
      <c r="G204" s="106">
        <v>65535</v>
      </c>
      <c r="H204" s="107">
        <v>0</v>
      </c>
      <c r="I204" s="94">
        <v>1</v>
      </c>
      <c r="J204" s="77"/>
      <c r="K204" s="60"/>
      <c r="L204" s="162"/>
      <c r="M204" s="54">
        <f t="shared" si="14"/>
        <v>4</v>
      </c>
      <c r="N204" s="54">
        <f t="shared" si="15"/>
        <v>5</v>
      </c>
      <c r="O204" s="61">
        <f t="shared" si="12"/>
        <v>2398</v>
      </c>
      <c r="P204" s="62" t="str">
        <f t="shared" si="13"/>
        <v>0x095E</v>
      </c>
      <c r="Q204" s="63" t="s">
        <v>102</v>
      </c>
      <c r="R204" s="38"/>
      <c r="S204" s="38"/>
      <c r="T204" s="38"/>
      <c r="U204" s="84" t="s">
        <v>60</v>
      </c>
      <c r="V204" s="12"/>
      <c r="AB204" s="12"/>
      <c r="AC204" s="12"/>
    </row>
    <row r="205" spans="1:29" x14ac:dyDescent="0.2">
      <c r="A205" s="51">
        <v>351</v>
      </c>
      <c r="B205" s="52"/>
      <c r="C205" s="154" t="s">
        <v>414</v>
      </c>
      <c r="D205" s="73" t="s">
        <v>389</v>
      </c>
      <c r="E205" s="105" t="s">
        <v>39</v>
      </c>
      <c r="F205" s="73">
        <v>0</v>
      </c>
      <c r="G205" s="106">
        <v>65535</v>
      </c>
      <c r="H205" s="107">
        <v>0</v>
      </c>
      <c r="I205" s="94">
        <v>1</v>
      </c>
      <c r="J205" s="77"/>
      <c r="K205" s="60"/>
      <c r="L205" s="162"/>
      <c r="M205" s="54">
        <f t="shared" si="14"/>
        <v>4</v>
      </c>
      <c r="N205" s="54">
        <f t="shared" si="15"/>
        <v>5</v>
      </c>
      <c r="O205" s="61">
        <f t="shared" si="12"/>
        <v>2399</v>
      </c>
      <c r="P205" s="62" t="str">
        <f t="shared" si="13"/>
        <v>0x095F</v>
      </c>
      <c r="Q205" s="63" t="s">
        <v>102</v>
      </c>
      <c r="R205" s="38"/>
      <c r="S205" s="38"/>
      <c r="T205" s="38"/>
      <c r="U205" s="69" t="s">
        <v>60</v>
      </c>
      <c r="V205" s="12"/>
      <c r="AB205" s="12"/>
      <c r="AC205" s="12"/>
    </row>
    <row r="206" spans="1:29" x14ac:dyDescent="0.2">
      <c r="A206" s="51">
        <v>352</v>
      </c>
      <c r="B206" s="52"/>
      <c r="C206" s="154" t="s">
        <v>415</v>
      </c>
      <c r="D206" s="73" t="s">
        <v>389</v>
      </c>
      <c r="E206" s="105" t="s">
        <v>39</v>
      </c>
      <c r="F206" s="73">
        <v>-32768</v>
      </c>
      <c r="G206" s="106">
        <v>32767</v>
      </c>
      <c r="H206" s="107">
        <v>0</v>
      </c>
      <c r="I206" s="94">
        <v>1</v>
      </c>
      <c r="J206" s="77"/>
      <c r="K206" s="60"/>
      <c r="L206" s="162"/>
      <c r="M206" s="54">
        <f t="shared" si="14"/>
        <v>4</v>
      </c>
      <c r="N206" s="54">
        <f t="shared" si="15"/>
        <v>5</v>
      </c>
      <c r="O206" s="61">
        <f t="shared" ref="O206:O269" si="16">IF(A206&lt;&gt;"",M206*2^9+A206,"")</f>
        <v>2400</v>
      </c>
      <c r="P206" s="62" t="str">
        <f t="shared" ref="P206:P269" si="17">IF(A206&lt;&gt;"","0x" &amp;DEC2HEX( O206,4),"")</f>
        <v>0x0960</v>
      </c>
      <c r="Q206" s="63" t="s">
        <v>59</v>
      </c>
      <c r="R206" s="38"/>
      <c r="S206" s="38"/>
      <c r="T206" s="38"/>
      <c r="U206" s="84" t="s">
        <v>60</v>
      </c>
      <c r="V206" s="12"/>
      <c r="AB206" s="12"/>
      <c r="AC206" s="12"/>
    </row>
    <row r="207" spans="1:29" x14ac:dyDescent="0.2">
      <c r="A207" s="51">
        <v>353</v>
      </c>
      <c r="B207" s="52"/>
      <c r="C207" s="154" t="s">
        <v>416</v>
      </c>
      <c r="D207" s="73" t="s">
        <v>389</v>
      </c>
      <c r="E207" s="105" t="s">
        <v>39</v>
      </c>
      <c r="F207" s="73">
        <v>0</v>
      </c>
      <c r="G207" s="106">
        <v>65535</v>
      </c>
      <c r="H207" s="107">
        <v>0</v>
      </c>
      <c r="I207" s="94">
        <v>1</v>
      </c>
      <c r="J207" s="77"/>
      <c r="K207" s="60"/>
      <c r="L207" s="162"/>
      <c r="M207" s="54">
        <f t="shared" si="14"/>
        <v>4</v>
      </c>
      <c r="N207" s="54">
        <f t="shared" si="15"/>
        <v>5</v>
      </c>
      <c r="O207" s="61">
        <f t="shared" si="16"/>
        <v>2401</v>
      </c>
      <c r="P207" s="62" t="str">
        <f t="shared" si="17"/>
        <v>0x0961</v>
      </c>
      <c r="Q207" s="63" t="s">
        <v>102</v>
      </c>
      <c r="R207" s="38"/>
      <c r="S207" s="38"/>
      <c r="T207" s="38"/>
      <c r="U207" s="69" t="s">
        <v>60</v>
      </c>
      <c r="V207" s="12"/>
      <c r="AB207" s="12"/>
      <c r="AC207" s="12"/>
    </row>
    <row r="208" spans="1:29" x14ac:dyDescent="0.2">
      <c r="A208" s="51">
        <v>354</v>
      </c>
      <c r="B208" s="52"/>
      <c r="C208" s="154" t="s">
        <v>417</v>
      </c>
      <c r="D208" s="73" t="s">
        <v>389</v>
      </c>
      <c r="E208" s="105" t="s">
        <v>39</v>
      </c>
      <c r="F208" s="73">
        <v>-32768</v>
      </c>
      <c r="G208" s="106">
        <v>32767</v>
      </c>
      <c r="H208" s="107">
        <v>0</v>
      </c>
      <c r="I208" s="94">
        <v>1</v>
      </c>
      <c r="J208" s="77"/>
      <c r="K208" s="60"/>
      <c r="L208" s="162"/>
      <c r="M208" s="54">
        <f t="shared" si="14"/>
        <v>4</v>
      </c>
      <c r="N208" s="54">
        <f t="shared" si="15"/>
        <v>5</v>
      </c>
      <c r="O208" s="61">
        <f t="shared" si="16"/>
        <v>2402</v>
      </c>
      <c r="P208" s="62" t="str">
        <f t="shared" si="17"/>
        <v>0x0962</v>
      </c>
      <c r="Q208" s="63" t="s">
        <v>59</v>
      </c>
      <c r="R208" s="38"/>
      <c r="S208" s="38"/>
      <c r="T208" s="38"/>
      <c r="U208" s="84" t="s">
        <v>60</v>
      </c>
      <c r="V208" s="12"/>
      <c r="AB208" s="12"/>
      <c r="AC208" s="12"/>
    </row>
    <row r="209" spans="1:29" x14ac:dyDescent="0.2">
      <c r="A209" s="51">
        <v>355</v>
      </c>
      <c r="B209" s="52"/>
      <c r="C209" s="154" t="s">
        <v>418</v>
      </c>
      <c r="D209" s="73" t="s">
        <v>389</v>
      </c>
      <c r="E209" s="105" t="s">
        <v>39</v>
      </c>
      <c r="F209" s="73">
        <v>-32768</v>
      </c>
      <c r="G209" s="106">
        <v>32767</v>
      </c>
      <c r="H209" s="107">
        <v>0</v>
      </c>
      <c r="I209" s="94">
        <v>1</v>
      </c>
      <c r="J209" s="77"/>
      <c r="K209" s="60"/>
      <c r="L209" s="162"/>
      <c r="M209" s="54">
        <f t="shared" ref="M209:M280" si="18">$D$5</f>
        <v>4</v>
      </c>
      <c r="N209" s="54">
        <f t="shared" ref="N209:N280" si="19">$D$4</f>
        <v>5</v>
      </c>
      <c r="O209" s="61">
        <f t="shared" si="16"/>
        <v>2403</v>
      </c>
      <c r="P209" s="62" t="str">
        <f t="shared" si="17"/>
        <v>0x0963</v>
      </c>
      <c r="Q209" s="63" t="s">
        <v>59</v>
      </c>
      <c r="R209" s="38"/>
      <c r="S209" s="38"/>
      <c r="T209" s="38"/>
      <c r="U209" s="69" t="s">
        <v>60</v>
      </c>
      <c r="V209" s="12"/>
      <c r="AB209" s="12"/>
      <c r="AC209" s="12"/>
    </row>
    <row r="210" spans="1:29" x14ac:dyDescent="0.2">
      <c r="A210" s="51">
        <v>356</v>
      </c>
      <c r="B210" s="52"/>
      <c r="C210" s="154" t="s">
        <v>419</v>
      </c>
      <c r="D210" s="73" t="s">
        <v>389</v>
      </c>
      <c r="E210" s="105" t="s">
        <v>39</v>
      </c>
      <c r="F210" s="73">
        <v>0</v>
      </c>
      <c r="G210" s="106">
        <v>65535</v>
      </c>
      <c r="H210" s="107">
        <v>0</v>
      </c>
      <c r="I210" s="94">
        <v>1</v>
      </c>
      <c r="J210" s="77"/>
      <c r="K210" s="60"/>
      <c r="L210" s="162"/>
      <c r="M210" s="54">
        <f t="shared" si="18"/>
        <v>4</v>
      </c>
      <c r="N210" s="54">
        <f t="shared" si="19"/>
        <v>5</v>
      </c>
      <c r="O210" s="61">
        <f t="shared" si="16"/>
        <v>2404</v>
      </c>
      <c r="P210" s="62" t="str">
        <f t="shared" si="17"/>
        <v>0x0964</v>
      </c>
      <c r="Q210" s="63" t="s">
        <v>102</v>
      </c>
      <c r="R210" s="38"/>
      <c r="S210" s="38"/>
      <c r="T210" s="38"/>
      <c r="U210" s="84" t="s">
        <v>60</v>
      </c>
      <c r="V210" s="12"/>
      <c r="AB210" s="12"/>
      <c r="AC210" s="12"/>
    </row>
    <row r="211" spans="1:29" x14ac:dyDescent="0.2">
      <c r="A211" s="51">
        <v>357</v>
      </c>
      <c r="B211" s="52"/>
      <c r="C211" s="154" t="s">
        <v>420</v>
      </c>
      <c r="D211" s="73" t="s">
        <v>389</v>
      </c>
      <c r="E211" s="105" t="s">
        <v>39</v>
      </c>
      <c r="F211" s="73">
        <v>0</v>
      </c>
      <c r="G211" s="106">
        <v>65535</v>
      </c>
      <c r="H211" s="107">
        <v>0</v>
      </c>
      <c r="I211" s="94">
        <v>1</v>
      </c>
      <c r="J211" s="77"/>
      <c r="K211" s="60"/>
      <c r="L211" s="162"/>
      <c r="M211" s="54">
        <f t="shared" si="18"/>
        <v>4</v>
      </c>
      <c r="N211" s="54">
        <f t="shared" si="19"/>
        <v>5</v>
      </c>
      <c r="O211" s="61">
        <f t="shared" si="16"/>
        <v>2405</v>
      </c>
      <c r="P211" s="62" t="str">
        <f t="shared" si="17"/>
        <v>0x0965</v>
      </c>
      <c r="Q211" s="63" t="s">
        <v>102</v>
      </c>
      <c r="R211" s="38"/>
      <c r="S211" s="38"/>
      <c r="T211" s="38"/>
      <c r="U211" s="84" t="s">
        <v>60</v>
      </c>
      <c r="V211" s="12"/>
      <c r="AB211" s="12"/>
      <c r="AC211" s="12"/>
    </row>
    <row r="212" spans="1:29" x14ac:dyDescent="0.2">
      <c r="A212" s="51">
        <v>358</v>
      </c>
      <c r="B212" s="52"/>
      <c r="C212" s="154" t="s">
        <v>421</v>
      </c>
      <c r="D212" s="73" t="s">
        <v>389</v>
      </c>
      <c r="E212" s="105" t="s">
        <v>39</v>
      </c>
      <c r="F212" s="73">
        <v>0</v>
      </c>
      <c r="G212" s="106">
        <v>65535</v>
      </c>
      <c r="H212" s="107">
        <v>0</v>
      </c>
      <c r="I212" s="94">
        <v>1</v>
      </c>
      <c r="J212" s="77"/>
      <c r="K212" s="60"/>
      <c r="L212" s="162"/>
      <c r="M212" s="54">
        <f t="shared" si="18"/>
        <v>4</v>
      </c>
      <c r="N212" s="54">
        <f t="shared" si="19"/>
        <v>5</v>
      </c>
      <c r="O212" s="61">
        <f t="shared" si="16"/>
        <v>2406</v>
      </c>
      <c r="P212" s="62" t="str">
        <f t="shared" si="17"/>
        <v>0x0966</v>
      </c>
      <c r="Q212" s="63" t="s">
        <v>102</v>
      </c>
      <c r="R212" s="38"/>
      <c r="S212" s="38"/>
      <c r="T212" s="38"/>
      <c r="U212" s="69" t="s">
        <v>60</v>
      </c>
      <c r="V212" s="12"/>
      <c r="AB212" s="12"/>
      <c r="AC212" s="12"/>
    </row>
    <row r="213" spans="1:29" x14ac:dyDescent="0.2">
      <c r="A213" s="51"/>
      <c r="B213" s="52"/>
      <c r="C213" s="154"/>
      <c r="D213" s="73"/>
      <c r="E213" s="105"/>
      <c r="F213" s="73"/>
      <c r="G213" s="106"/>
      <c r="H213" s="107"/>
      <c r="I213" s="94"/>
      <c r="J213" s="77"/>
      <c r="K213" s="60"/>
      <c r="L213" s="162"/>
      <c r="M213" s="54"/>
      <c r="N213" s="54"/>
      <c r="O213" s="61" t="str">
        <f t="shared" si="16"/>
        <v/>
      </c>
      <c r="P213" s="62" t="str">
        <f t="shared" si="17"/>
        <v/>
      </c>
      <c r="Q213" s="63"/>
      <c r="R213" s="38"/>
      <c r="S213" s="38"/>
      <c r="T213" s="38"/>
      <c r="U213" s="69"/>
      <c r="V213" s="12"/>
      <c r="AB213" s="12"/>
      <c r="AC213" s="12"/>
    </row>
    <row r="214" spans="1:29" x14ac:dyDescent="0.2">
      <c r="A214" s="51">
        <v>359</v>
      </c>
      <c r="B214" s="52"/>
      <c r="C214" s="196" t="s">
        <v>422</v>
      </c>
      <c r="D214" s="197" t="s">
        <v>389</v>
      </c>
      <c r="E214" s="198" t="s">
        <v>39</v>
      </c>
      <c r="F214" s="199">
        <v>0</v>
      </c>
      <c r="G214" s="200">
        <v>65535</v>
      </c>
      <c r="H214" s="201">
        <v>0</v>
      </c>
      <c r="I214" s="202">
        <v>1</v>
      </c>
      <c r="J214" s="203"/>
      <c r="K214" s="60"/>
      <c r="L214" s="204"/>
      <c r="M214" s="60">
        <v>4</v>
      </c>
      <c r="N214" s="54">
        <v>5</v>
      </c>
      <c r="O214" s="61">
        <f t="shared" si="16"/>
        <v>2407</v>
      </c>
      <c r="P214" s="62" t="str">
        <f t="shared" si="17"/>
        <v>0x0967</v>
      </c>
      <c r="Q214" s="205" t="s">
        <v>102</v>
      </c>
      <c r="R214" s="206"/>
      <c r="S214" s="206"/>
      <c r="T214" s="206"/>
      <c r="U214" s="207" t="s">
        <v>60</v>
      </c>
      <c r="V214" s="208"/>
      <c r="W214" s="209"/>
      <c r="Y214" s="209"/>
      <c r="Z214" s="209"/>
      <c r="AB214" s="208"/>
      <c r="AC214" s="208"/>
    </row>
    <row r="215" spans="1:29" x14ac:dyDescent="0.2">
      <c r="A215" s="51">
        <v>360</v>
      </c>
      <c r="B215" s="52"/>
      <c r="C215" s="196" t="s">
        <v>423</v>
      </c>
      <c r="D215" s="197" t="s">
        <v>389</v>
      </c>
      <c r="E215" s="198" t="s">
        <v>39</v>
      </c>
      <c r="F215" s="199">
        <v>0</v>
      </c>
      <c r="G215" s="200">
        <v>65535</v>
      </c>
      <c r="H215" s="201">
        <v>0</v>
      </c>
      <c r="I215" s="202">
        <v>1</v>
      </c>
      <c r="J215" s="203"/>
      <c r="K215" s="60"/>
      <c r="L215" s="204"/>
      <c r="M215" s="60">
        <v>4</v>
      </c>
      <c r="N215" s="54">
        <v>5</v>
      </c>
      <c r="O215" s="61">
        <f t="shared" si="16"/>
        <v>2408</v>
      </c>
      <c r="P215" s="62" t="str">
        <f t="shared" si="17"/>
        <v>0x0968</v>
      </c>
      <c r="Q215" s="205" t="s">
        <v>102</v>
      </c>
      <c r="R215" s="206"/>
      <c r="S215" s="206"/>
      <c r="T215" s="206"/>
      <c r="U215" s="207" t="s">
        <v>60</v>
      </c>
      <c r="V215" s="208"/>
      <c r="W215" s="209"/>
      <c r="Y215" s="209"/>
      <c r="Z215" s="209"/>
      <c r="AB215" s="208"/>
      <c r="AC215" s="208"/>
    </row>
    <row r="216" spans="1:29" x14ac:dyDescent="0.2">
      <c r="A216" s="51">
        <v>361</v>
      </c>
      <c r="B216" s="52"/>
      <c r="C216" s="196" t="s">
        <v>424</v>
      </c>
      <c r="D216" s="197" t="s">
        <v>389</v>
      </c>
      <c r="E216" s="198" t="s">
        <v>39</v>
      </c>
      <c r="F216" s="199">
        <v>0</v>
      </c>
      <c r="G216" s="200">
        <v>65535</v>
      </c>
      <c r="H216" s="201">
        <v>0</v>
      </c>
      <c r="I216" s="202">
        <v>1</v>
      </c>
      <c r="J216" s="203"/>
      <c r="K216" s="60"/>
      <c r="L216" s="204"/>
      <c r="M216" s="60">
        <v>4</v>
      </c>
      <c r="N216" s="54">
        <v>5</v>
      </c>
      <c r="O216" s="61">
        <f t="shared" si="16"/>
        <v>2409</v>
      </c>
      <c r="P216" s="62" t="str">
        <f t="shared" si="17"/>
        <v>0x0969</v>
      </c>
      <c r="Q216" s="205" t="s">
        <v>102</v>
      </c>
      <c r="R216" s="206"/>
      <c r="S216" s="206"/>
      <c r="T216" s="206"/>
      <c r="U216" s="207" t="s">
        <v>60</v>
      </c>
      <c r="V216" s="208"/>
      <c r="W216" s="209"/>
      <c r="Y216" s="209"/>
      <c r="Z216" s="209"/>
      <c r="AB216" s="208"/>
      <c r="AC216" s="208"/>
    </row>
    <row r="217" spans="1:29" x14ac:dyDescent="0.2">
      <c r="A217" s="51">
        <v>362</v>
      </c>
      <c r="B217" s="52"/>
      <c r="C217" s="196" t="s">
        <v>425</v>
      </c>
      <c r="D217" s="197" t="s">
        <v>389</v>
      </c>
      <c r="E217" s="198" t="s">
        <v>39</v>
      </c>
      <c r="F217" s="199">
        <v>0</v>
      </c>
      <c r="G217" s="200">
        <v>65535</v>
      </c>
      <c r="H217" s="201">
        <v>0</v>
      </c>
      <c r="I217" s="202">
        <v>1</v>
      </c>
      <c r="J217" s="203"/>
      <c r="K217" s="60"/>
      <c r="L217" s="204"/>
      <c r="M217" s="60">
        <v>4</v>
      </c>
      <c r="N217" s="54">
        <v>5</v>
      </c>
      <c r="O217" s="61">
        <f t="shared" si="16"/>
        <v>2410</v>
      </c>
      <c r="P217" s="62" t="str">
        <f t="shared" si="17"/>
        <v>0x096A</v>
      </c>
      <c r="Q217" s="205" t="s">
        <v>102</v>
      </c>
      <c r="R217" s="206"/>
      <c r="S217" s="206"/>
      <c r="T217" s="206"/>
      <c r="U217" s="207" t="s">
        <v>60</v>
      </c>
      <c r="V217" s="208"/>
      <c r="W217" s="209"/>
      <c r="Y217" s="209"/>
      <c r="Z217" s="209"/>
      <c r="AB217" s="208"/>
      <c r="AC217" s="208"/>
    </row>
    <row r="218" spans="1:29" x14ac:dyDescent="0.2">
      <c r="A218" s="51">
        <v>363</v>
      </c>
      <c r="B218" s="52"/>
      <c r="C218" s="196" t="s">
        <v>426</v>
      </c>
      <c r="D218" s="197" t="s">
        <v>389</v>
      </c>
      <c r="E218" s="198" t="s">
        <v>39</v>
      </c>
      <c r="F218" s="199">
        <v>0</v>
      </c>
      <c r="G218" s="200">
        <v>65535</v>
      </c>
      <c r="H218" s="201">
        <v>0</v>
      </c>
      <c r="I218" s="202">
        <v>1</v>
      </c>
      <c r="J218" s="203"/>
      <c r="K218" s="60"/>
      <c r="L218" s="204"/>
      <c r="M218" s="60">
        <v>4</v>
      </c>
      <c r="N218" s="54">
        <v>5</v>
      </c>
      <c r="O218" s="61">
        <f t="shared" si="16"/>
        <v>2411</v>
      </c>
      <c r="P218" s="62" t="str">
        <f t="shared" si="17"/>
        <v>0x096B</v>
      </c>
      <c r="Q218" s="205" t="s">
        <v>102</v>
      </c>
      <c r="R218" s="206"/>
      <c r="S218" s="206"/>
      <c r="T218" s="206"/>
      <c r="U218" s="207" t="s">
        <v>60</v>
      </c>
      <c r="V218" s="208"/>
      <c r="W218" s="209"/>
      <c r="Y218" s="209"/>
      <c r="Z218" s="209"/>
      <c r="AB218" s="208"/>
      <c r="AC218" s="208"/>
    </row>
    <row r="219" spans="1:29" x14ac:dyDescent="0.2">
      <c r="A219" s="51">
        <v>364</v>
      </c>
      <c r="B219" s="52"/>
      <c r="C219" s="196" t="s">
        <v>427</v>
      </c>
      <c r="D219" s="197" t="s">
        <v>389</v>
      </c>
      <c r="E219" s="198" t="s">
        <v>39</v>
      </c>
      <c r="F219" s="199">
        <v>0</v>
      </c>
      <c r="G219" s="200">
        <v>65535</v>
      </c>
      <c r="H219" s="201">
        <v>0</v>
      </c>
      <c r="I219" s="202">
        <v>1</v>
      </c>
      <c r="J219" s="203"/>
      <c r="K219" s="60"/>
      <c r="L219" s="204"/>
      <c r="M219" s="60">
        <v>4</v>
      </c>
      <c r="N219" s="54">
        <v>5</v>
      </c>
      <c r="O219" s="61">
        <f t="shared" si="16"/>
        <v>2412</v>
      </c>
      <c r="P219" s="62" t="str">
        <f t="shared" si="17"/>
        <v>0x096C</v>
      </c>
      <c r="Q219" s="205" t="s">
        <v>102</v>
      </c>
      <c r="R219" s="206"/>
      <c r="S219" s="206"/>
      <c r="T219" s="206"/>
      <c r="U219" s="207" t="s">
        <v>60</v>
      </c>
      <c r="V219" s="208"/>
      <c r="W219" s="209"/>
      <c r="Y219" s="209"/>
      <c r="Z219" s="209"/>
      <c r="AB219" s="208"/>
      <c r="AC219" s="208"/>
    </row>
    <row r="220" spans="1:29" x14ac:dyDescent="0.2">
      <c r="A220" s="51">
        <v>365</v>
      </c>
      <c r="B220" s="52"/>
      <c r="C220" s="196" t="s">
        <v>428</v>
      </c>
      <c r="D220" s="197" t="s">
        <v>389</v>
      </c>
      <c r="E220" s="198" t="s">
        <v>39</v>
      </c>
      <c r="F220" s="199">
        <v>0</v>
      </c>
      <c r="G220" s="200">
        <v>65535</v>
      </c>
      <c r="H220" s="201">
        <v>0</v>
      </c>
      <c r="I220" s="202">
        <v>1</v>
      </c>
      <c r="J220" s="203"/>
      <c r="K220" s="60"/>
      <c r="L220" s="204"/>
      <c r="M220" s="60">
        <v>4</v>
      </c>
      <c r="N220" s="54">
        <v>5</v>
      </c>
      <c r="O220" s="61">
        <f t="shared" si="16"/>
        <v>2413</v>
      </c>
      <c r="P220" s="62" t="str">
        <f t="shared" si="17"/>
        <v>0x096D</v>
      </c>
      <c r="Q220" s="205" t="s">
        <v>102</v>
      </c>
      <c r="R220" s="206"/>
      <c r="S220" s="206"/>
      <c r="T220" s="206"/>
      <c r="U220" s="207" t="s">
        <v>60</v>
      </c>
      <c r="V220" s="208"/>
      <c r="W220" s="209"/>
      <c r="Y220" s="209"/>
      <c r="Z220" s="209"/>
      <c r="AB220" s="208"/>
      <c r="AC220" s="208"/>
    </row>
    <row r="221" spans="1:29" x14ac:dyDescent="0.2">
      <c r="A221" s="51">
        <v>366</v>
      </c>
      <c r="B221" s="52"/>
      <c r="C221" s="196" t="s">
        <v>429</v>
      </c>
      <c r="D221" s="197" t="s">
        <v>389</v>
      </c>
      <c r="E221" s="198" t="s">
        <v>39</v>
      </c>
      <c r="F221" s="199">
        <v>0</v>
      </c>
      <c r="G221" s="200">
        <v>65535</v>
      </c>
      <c r="H221" s="201">
        <v>0</v>
      </c>
      <c r="I221" s="202">
        <v>1</v>
      </c>
      <c r="J221" s="203"/>
      <c r="K221" s="60"/>
      <c r="L221" s="204"/>
      <c r="M221" s="60">
        <v>4</v>
      </c>
      <c r="N221" s="54">
        <v>5</v>
      </c>
      <c r="O221" s="61">
        <f t="shared" si="16"/>
        <v>2414</v>
      </c>
      <c r="P221" s="62" t="str">
        <f t="shared" si="17"/>
        <v>0x096E</v>
      </c>
      <c r="Q221" s="205" t="s">
        <v>102</v>
      </c>
      <c r="R221" s="206"/>
      <c r="S221" s="206"/>
      <c r="T221" s="206"/>
      <c r="U221" s="207" t="s">
        <v>60</v>
      </c>
      <c r="V221" s="208"/>
      <c r="W221" s="209"/>
      <c r="Y221" s="209"/>
      <c r="Z221" s="209"/>
      <c r="AB221" s="208"/>
      <c r="AC221" s="208"/>
    </row>
    <row r="222" spans="1:29" x14ac:dyDescent="0.2">
      <c r="A222" s="51">
        <v>367</v>
      </c>
      <c r="B222" s="52"/>
      <c r="C222" s="196" t="s">
        <v>430</v>
      </c>
      <c r="D222" s="197" t="s">
        <v>389</v>
      </c>
      <c r="E222" s="198" t="s">
        <v>39</v>
      </c>
      <c r="F222" s="199">
        <v>0</v>
      </c>
      <c r="G222" s="200">
        <v>65535</v>
      </c>
      <c r="H222" s="201">
        <v>0</v>
      </c>
      <c r="I222" s="202">
        <v>1</v>
      </c>
      <c r="J222" s="203"/>
      <c r="K222" s="60"/>
      <c r="L222" s="204"/>
      <c r="M222" s="60">
        <v>4</v>
      </c>
      <c r="N222" s="54">
        <v>5</v>
      </c>
      <c r="O222" s="61">
        <f t="shared" si="16"/>
        <v>2415</v>
      </c>
      <c r="P222" s="62" t="str">
        <f t="shared" si="17"/>
        <v>0x096F</v>
      </c>
      <c r="Q222" s="205" t="s">
        <v>102</v>
      </c>
      <c r="R222" s="206"/>
      <c r="S222" s="206"/>
      <c r="T222" s="206"/>
      <c r="U222" s="207" t="s">
        <v>60</v>
      </c>
      <c r="V222" s="208"/>
      <c r="W222" s="209"/>
      <c r="Y222" s="209"/>
      <c r="Z222" s="209"/>
      <c r="AB222" s="208"/>
      <c r="AC222" s="208"/>
    </row>
    <row r="223" spans="1:29" x14ac:dyDescent="0.2">
      <c r="A223" s="51">
        <v>368</v>
      </c>
      <c r="B223" s="52"/>
      <c r="C223" s="196" t="s">
        <v>431</v>
      </c>
      <c r="D223" s="197" t="s">
        <v>389</v>
      </c>
      <c r="E223" s="198" t="s">
        <v>39</v>
      </c>
      <c r="F223" s="199">
        <v>0</v>
      </c>
      <c r="G223" s="200">
        <v>65535</v>
      </c>
      <c r="H223" s="201">
        <v>0</v>
      </c>
      <c r="I223" s="202">
        <v>1</v>
      </c>
      <c r="J223" s="203"/>
      <c r="K223" s="60"/>
      <c r="L223" s="204"/>
      <c r="M223" s="60">
        <v>4</v>
      </c>
      <c r="N223" s="54">
        <v>5</v>
      </c>
      <c r="O223" s="61">
        <f t="shared" si="16"/>
        <v>2416</v>
      </c>
      <c r="P223" s="62" t="str">
        <f t="shared" si="17"/>
        <v>0x0970</v>
      </c>
      <c r="Q223" s="205" t="s">
        <v>102</v>
      </c>
      <c r="R223" s="206"/>
      <c r="S223" s="206"/>
      <c r="T223" s="206"/>
      <c r="U223" s="207" t="s">
        <v>60</v>
      </c>
      <c r="V223" s="208"/>
      <c r="W223" s="209"/>
      <c r="Y223" s="209"/>
      <c r="Z223" s="209"/>
      <c r="AB223" s="208"/>
      <c r="AC223" s="208"/>
    </row>
    <row r="224" spans="1:29" x14ac:dyDescent="0.2">
      <c r="A224" s="51">
        <v>369</v>
      </c>
      <c r="B224" s="52"/>
      <c r="C224" s="196" t="s">
        <v>432</v>
      </c>
      <c r="D224" s="197" t="s">
        <v>389</v>
      </c>
      <c r="E224" s="198" t="s">
        <v>39</v>
      </c>
      <c r="F224" s="199">
        <v>0</v>
      </c>
      <c r="G224" s="200">
        <v>65535</v>
      </c>
      <c r="H224" s="201">
        <v>0</v>
      </c>
      <c r="I224" s="202">
        <v>1</v>
      </c>
      <c r="J224" s="203"/>
      <c r="K224" s="60"/>
      <c r="L224" s="204"/>
      <c r="M224" s="60">
        <v>4</v>
      </c>
      <c r="N224" s="54">
        <v>5</v>
      </c>
      <c r="O224" s="61">
        <f t="shared" si="16"/>
        <v>2417</v>
      </c>
      <c r="P224" s="62" t="str">
        <f t="shared" si="17"/>
        <v>0x0971</v>
      </c>
      <c r="Q224" s="205" t="s">
        <v>102</v>
      </c>
      <c r="R224" s="206"/>
      <c r="S224" s="206"/>
      <c r="T224" s="206"/>
      <c r="U224" s="207" t="s">
        <v>60</v>
      </c>
      <c r="V224" s="208"/>
      <c r="W224" s="209"/>
      <c r="Y224" s="209"/>
      <c r="Z224" s="209"/>
      <c r="AB224" s="208"/>
      <c r="AC224" s="208"/>
    </row>
    <row r="225" spans="1:29" x14ac:dyDescent="0.2">
      <c r="A225" s="51"/>
      <c r="B225" s="52"/>
      <c r="C225" s="154"/>
      <c r="D225" s="73"/>
      <c r="E225" s="105"/>
      <c r="F225" s="73"/>
      <c r="G225" s="106"/>
      <c r="H225" s="107"/>
      <c r="I225" s="150"/>
      <c r="J225" s="77"/>
      <c r="K225" s="60"/>
      <c r="L225" s="162"/>
      <c r="M225" s="54"/>
      <c r="N225" s="54"/>
      <c r="O225" s="61" t="str">
        <f t="shared" si="16"/>
        <v/>
      </c>
      <c r="P225" s="62" t="str">
        <f t="shared" si="17"/>
        <v/>
      </c>
      <c r="Q225" s="63"/>
      <c r="R225" s="38"/>
      <c r="S225" s="38"/>
      <c r="T225" s="38"/>
      <c r="U225" s="69"/>
      <c r="V225" s="12"/>
      <c r="AB225" s="12"/>
      <c r="AC225" s="12"/>
    </row>
    <row r="226" spans="1:29" x14ac:dyDescent="0.2">
      <c r="A226" s="73">
        <v>410</v>
      </c>
      <c r="B226" s="52"/>
      <c r="C226" s="82" t="s">
        <v>275</v>
      </c>
      <c r="D226" s="73"/>
      <c r="E226" s="147" t="s">
        <v>66</v>
      </c>
      <c r="F226" s="152">
        <v>0</v>
      </c>
      <c r="G226" s="106">
        <v>65535</v>
      </c>
      <c r="H226" s="107">
        <v>0</v>
      </c>
      <c r="I226" s="153">
        <v>1</v>
      </c>
      <c r="J226" s="77"/>
      <c r="K226" s="60"/>
      <c r="L226" s="80"/>
      <c r="M226" s="54">
        <f t="shared" si="18"/>
        <v>4</v>
      </c>
      <c r="N226" s="54">
        <f t="shared" si="19"/>
        <v>5</v>
      </c>
      <c r="O226" s="61">
        <f t="shared" si="16"/>
        <v>2458</v>
      </c>
      <c r="P226" s="62" t="str">
        <f t="shared" si="17"/>
        <v>0x099A</v>
      </c>
      <c r="Q226" s="63" t="s">
        <v>102</v>
      </c>
      <c r="R226" s="38"/>
      <c r="S226" s="38"/>
      <c r="T226" s="38"/>
      <c r="U226" s="71" t="s">
        <v>60</v>
      </c>
      <c r="V226" s="12"/>
      <c r="AC226" s="12"/>
    </row>
    <row r="227" spans="1:29" x14ac:dyDescent="0.2">
      <c r="A227" s="73">
        <v>411</v>
      </c>
      <c r="B227" s="52"/>
      <c r="C227" s="82" t="s">
        <v>276</v>
      </c>
      <c r="D227" s="73"/>
      <c r="E227" s="147" t="s">
        <v>66</v>
      </c>
      <c r="F227" s="152">
        <v>0</v>
      </c>
      <c r="G227" s="106">
        <v>65535</v>
      </c>
      <c r="H227" s="107">
        <v>0</v>
      </c>
      <c r="I227" s="153">
        <v>1</v>
      </c>
      <c r="J227" s="77"/>
      <c r="K227" s="60"/>
      <c r="L227" s="80"/>
      <c r="M227" s="54">
        <f t="shared" si="18"/>
        <v>4</v>
      </c>
      <c r="N227" s="54">
        <f t="shared" si="19"/>
        <v>5</v>
      </c>
      <c r="O227" s="61">
        <f t="shared" si="16"/>
        <v>2459</v>
      </c>
      <c r="P227" s="62" t="str">
        <f t="shared" si="17"/>
        <v>0x099B</v>
      </c>
      <c r="Q227" s="63" t="s">
        <v>102</v>
      </c>
      <c r="R227" s="38"/>
      <c r="S227" s="38"/>
      <c r="T227" s="38"/>
      <c r="U227" s="69"/>
      <c r="V227" s="12"/>
      <c r="AC227" s="12"/>
    </row>
    <row r="228" spans="1:29" x14ac:dyDescent="0.2">
      <c r="A228" s="73">
        <v>412</v>
      </c>
      <c r="B228" s="52"/>
      <c r="C228" s="82" t="s">
        <v>277</v>
      </c>
      <c r="D228" s="73"/>
      <c r="E228" s="147" t="s">
        <v>66</v>
      </c>
      <c r="F228" s="152">
        <v>0</v>
      </c>
      <c r="G228" s="106">
        <v>65535</v>
      </c>
      <c r="H228" s="107">
        <v>0</v>
      </c>
      <c r="I228" s="153">
        <v>1</v>
      </c>
      <c r="J228" s="77"/>
      <c r="K228" s="60"/>
      <c r="L228" s="80"/>
      <c r="M228" s="54">
        <f t="shared" si="18"/>
        <v>4</v>
      </c>
      <c r="N228" s="54">
        <f t="shared" si="19"/>
        <v>5</v>
      </c>
      <c r="O228" s="61">
        <f t="shared" si="16"/>
        <v>2460</v>
      </c>
      <c r="P228" s="62" t="str">
        <f t="shared" si="17"/>
        <v>0x099C</v>
      </c>
      <c r="Q228" s="63" t="s">
        <v>102</v>
      </c>
      <c r="R228" s="38"/>
      <c r="S228" s="38"/>
      <c r="T228" s="38"/>
      <c r="U228" s="71" t="s">
        <v>60</v>
      </c>
      <c r="V228" s="82" t="s">
        <v>277</v>
      </c>
      <c r="W228" s="80" t="s">
        <v>278</v>
      </c>
      <c r="X228" s="85">
        <v>52224</v>
      </c>
      <c r="AC228" s="12"/>
    </row>
    <row r="229" spans="1:29" x14ac:dyDescent="0.2">
      <c r="A229" s="73"/>
      <c r="B229" s="52"/>
      <c r="C229" s="60" t="s">
        <v>69</v>
      </c>
      <c r="D229" s="73"/>
      <c r="E229" s="147"/>
      <c r="F229" s="152"/>
      <c r="G229" s="106"/>
      <c r="H229" s="107"/>
      <c r="I229" s="153"/>
      <c r="J229" s="77"/>
      <c r="K229" s="60"/>
      <c r="L229" s="80"/>
      <c r="M229" s="54">
        <f t="shared" si="18"/>
        <v>4</v>
      </c>
      <c r="N229" s="54">
        <f t="shared" si="19"/>
        <v>5</v>
      </c>
      <c r="O229" s="61" t="str">
        <f t="shared" si="16"/>
        <v/>
      </c>
      <c r="P229" s="62" t="str">
        <f t="shared" si="17"/>
        <v/>
      </c>
      <c r="Q229" s="63"/>
      <c r="R229" s="38"/>
      <c r="S229" s="38"/>
      <c r="T229" s="38"/>
      <c r="U229" s="71"/>
      <c r="V229" s="82" t="s">
        <v>277</v>
      </c>
      <c r="W229" s="80" t="s">
        <v>279</v>
      </c>
      <c r="X229" s="85">
        <v>52225</v>
      </c>
      <c r="AC229" s="12"/>
    </row>
    <row r="230" spans="1:29" x14ac:dyDescent="0.2">
      <c r="A230" s="73"/>
      <c r="B230" s="52"/>
      <c r="C230" s="60" t="s">
        <v>69</v>
      </c>
      <c r="D230" s="73"/>
      <c r="E230" s="147"/>
      <c r="F230" s="152"/>
      <c r="G230" s="106"/>
      <c r="H230" s="107"/>
      <c r="I230" s="153"/>
      <c r="J230" s="77"/>
      <c r="K230" s="60"/>
      <c r="L230" s="80"/>
      <c r="M230" s="54">
        <f t="shared" si="18"/>
        <v>4</v>
      </c>
      <c r="N230" s="54">
        <f t="shared" si="19"/>
        <v>5</v>
      </c>
      <c r="O230" s="61" t="str">
        <f t="shared" si="16"/>
        <v/>
      </c>
      <c r="P230" s="62" t="str">
        <f t="shared" si="17"/>
        <v/>
      </c>
      <c r="Q230" s="63"/>
      <c r="R230" s="38"/>
      <c r="S230" s="38"/>
      <c r="T230" s="38"/>
      <c r="U230" s="71"/>
      <c r="V230" s="82" t="s">
        <v>277</v>
      </c>
      <c r="W230" s="80" t="s">
        <v>280</v>
      </c>
      <c r="X230" s="85">
        <v>52226</v>
      </c>
      <c r="AC230" s="12"/>
    </row>
    <row r="231" spans="1:29" x14ac:dyDescent="0.2">
      <c r="A231" s="73"/>
      <c r="B231" s="52"/>
      <c r="C231" s="60" t="s">
        <v>69</v>
      </c>
      <c r="D231" s="73"/>
      <c r="E231" s="147"/>
      <c r="F231" s="152"/>
      <c r="G231" s="106"/>
      <c r="H231" s="107"/>
      <c r="I231" s="153"/>
      <c r="J231" s="77"/>
      <c r="K231" s="60"/>
      <c r="L231" s="80"/>
      <c r="M231" s="54">
        <f t="shared" si="18"/>
        <v>4</v>
      </c>
      <c r="N231" s="54">
        <f t="shared" si="19"/>
        <v>5</v>
      </c>
      <c r="O231" s="61" t="str">
        <f t="shared" si="16"/>
        <v/>
      </c>
      <c r="P231" s="62" t="str">
        <f t="shared" si="17"/>
        <v/>
      </c>
      <c r="Q231" s="63"/>
      <c r="R231" s="38"/>
      <c r="S231" s="38"/>
      <c r="T231" s="38"/>
      <c r="U231" s="71"/>
      <c r="V231" s="82" t="s">
        <v>277</v>
      </c>
      <c r="W231" s="80" t="s">
        <v>281</v>
      </c>
      <c r="X231" s="85">
        <v>52227</v>
      </c>
      <c r="AC231" s="12"/>
    </row>
    <row r="232" spans="1:29" x14ac:dyDescent="0.2">
      <c r="A232" s="73"/>
      <c r="B232" s="52"/>
      <c r="C232" s="60" t="s">
        <v>69</v>
      </c>
      <c r="D232" s="73"/>
      <c r="E232" s="147"/>
      <c r="F232" s="152"/>
      <c r="G232" s="106"/>
      <c r="H232" s="107"/>
      <c r="I232" s="153"/>
      <c r="J232" s="77"/>
      <c r="K232" s="60"/>
      <c r="L232" s="80"/>
      <c r="M232" s="54">
        <f t="shared" si="18"/>
        <v>4</v>
      </c>
      <c r="N232" s="54">
        <f t="shared" si="19"/>
        <v>5</v>
      </c>
      <c r="O232" s="61" t="str">
        <f t="shared" si="16"/>
        <v/>
      </c>
      <c r="P232" s="62" t="str">
        <f t="shared" si="17"/>
        <v/>
      </c>
      <c r="Q232" s="63"/>
      <c r="R232" s="38"/>
      <c r="S232" s="38"/>
      <c r="T232" s="38"/>
      <c r="U232" s="71"/>
      <c r="V232" s="82" t="s">
        <v>277</v>
      </c>
      <c r="W232" s="80" t="s">
        <v>282</v>
      </c>
      <c r="X232" s="85">
        <v>56576</v>
      </c>
      <c r="AC232" s="12"/>
    </row>
    <row r="233" spans="1:29" x14ac:dyDescent="0.2">
      <c r="A233" s="73"/>
      <c r="B233" s="52"/>
      <c r="C233" s="60" t="s">
        <v>69</v>
      </c>
      <c r="D233" s="73"/>
      <c r="E233" s="147"/>
      <c r="F233" s="152"/>
      <c r="G233" s="106"/>
      <c r="H233" s="107"/>
      <c r="I233" s="153"/>
      <c r="J233" s="77"/>
      <c r="K233" s="60"/>
      <c r="L233" s="80"/>
      <c r="M233" s="54">
        <f t="shared" si="18"/>
        <v>4</v>
      </c>
      <c r="N233" s="54">
        <f t="shared" si="19"/>
        <v>5</v>
      </c>
      <c r="O233" s="61" t="str">
        <f t="shared" si="16"/>
        <v/>
      </c>
      <c r="P233" s="62" t="str">
        <f t="shared" si="17"/>
        <v/>
      </c>
      <c r="Q233" s="63"/>
      <c r="R233" s="38"/>
      <c r="S233" s="38"/>
      <c r="T233" s="38"/>
      <c r="U233" s="71"/>
      <c r="V233" s="82" t="s">
        <v>277</v>
      </c>
      <c r="W233" s="100" t="s">
        <v>283</v>
      </c>
      <c r="X233" s="13">
        <v>60928</v>
      </c>
      <c r="AC233" s="12"/>
    </row>
    <row r="234" spans="1:29" x14ac:dyDescent="0.2">
      <c r="A234" s="73">
        <v>413</v>
      </c>
      <c r="B234" s="52"/>
      <c r="C234" s="82" t="s">
        <v>284</v>
      </c>
      <c r="D234" s="73"/>
      <c r="E234" s="147" t="s">
        <v>66</v>
      </c>
      <c r="F234" s="152">
        <v>0</v>
      </c>
      <c r="G234" s="106">
        <v>65535</v>
      </c>
      <c r="H234" s="107">
        <v>0</v>
      </c>
      <c r="I234" s="153">
        <v>1</v>
      </c>
      <c r="J234" s="77"/>
      <c r="K234" s="60"/>
      <c r="L234" s="80"/>
      <c r="M234" s="54">
        <f t="shared" si="18"/>
        <v>4</v>
      </c>
      <c r="N234" s="54">
        <f t="shared" si="19"/>
        <v>5</v>
      </c>
      <c r="O234" s="61">
        <f t="shared" si="16"/>
        <v>2461</v>
      </c>
      <c r="P234" s="62" t="str">
        <f t="shared" si="17"/>
        <v>0x099D</v>
      </c>
      <c r="Q234" s="63" t="s">
        <v>102</v>
      </c>
      <c r="R234" s="38"/>
      <c r="S234" s="38"/>
      <c r="T234" s="38"/>
      <c r="U234" s="69"/>
      <c r="V234" s="82" t="s">
        <v>284</v>
      </c>
      <c r="W234" s="80" t="s">
        <v>285</v>
      </c>
      <c r="X234" s="85">
        <v>1</v>
      </c>
      <c r="AC234" s="12"/>
    </row>
    <row r="235" spans="1:29" x14ac:dyDescent="0.2">
      <c r="A235" s="73"/>
      <c r="B235" s="52"/>
      <c r="C235" s="60" t="s">
        <v>69</v>
      </c>
      <c r="D235" s="73"/>
      <c r="E235" s="147"/>
      <c r="F235" s="152"/>
      <c r="G235" s="106"/>
      <c r="H235" s="107"/>
      <c r="I235" s="153"/>
      <c r="J235" s="77"/>
      <c r="K235" s="60"/>
      <c r="L235" s="80"/>
      <c r="M235" s="54">
        <f t="shared" si="18"/>
        <v>4</v>
      </c>
      <c r="N235" s="54">
        <f t="shared" si="19"/>
        <v>5</v>
      </c>
      <c r="O235" s="61" t="str">
        <f t="shared" si="16"/>
        <v/>
      </c>
      <c r="P235" s="62" t="str">
        <f t="shared" si="17"/>
        <v/>
      </c>
      <c r="Q235" s="63"/>
      <c r="R235" s="38"/>
      <c r="S235" s="38"/>
      <c r="T235" s="38"/>
      <c r="U235" s="69"/>
      <c r="V235" s="82" t="s">
        <v>284</v>
      </c>
      <c r="W235" s="80" t="s">
        <v>286</v>
      </c>
      <c r="X235" s="85">
        <v>2</v>
      </c>
      <c r="AC235" s="12"/>
    </row>
    <row r="236" spans="1:29" x14ac:dyDescent="0.2">
      <c r="A236" s="73"/>
      <c r="B236" s="52"/>
      <c r="C236" s="60" t="s">
        <v>69</v>
      </c>
      <c r="D236" s="73"/>
      <c r="E236" s="147"/>
      <c r="F236" s="152"/>
      <c r="G236" s="106"/>
      <c r="H236" s="107"/>
      <c r="I236" s="153"/>
      <c r="J236" s="77"/>
      <c r="K236" s="60"/>
      <c r="L236" s="80"/>
      <c r="M236" s="54">
        <f t="shared" si="18"/>
        <v>4</v>
      </c>
      <c r="N236" s="54">
        <f t="shared" si="19"/>
        <v>5</v>
      </c>
      <c r="O236" s="61" t="str">
        <f t="shared" si="16"/>
        <v/>
      </c>
      <c r="P236" s="62" t="str">
        <f t="shared" si="17"/>
        <v/>
      </c>
      <c r="Q236" s="63"/>
      <c r="R236" s="38"/>
      <c r="S236" s="38"/>
      <c r="T236" s="38"/>
      <c r="U236" s="69"/>
      <c r="V236" s="82" t="s">
        <v>284</v>
      </c>
      <c r="W236" s="80" t="s">
        <v>287</v>
      </c>
      <c r="X236" s="85">
        <v>3</v>
      </c>
      <c r="AC236" s="12"/>
    </row>
    <row r="237" spans="1:29" x14ac:dyDescent="0.2">
      <c r="A237" s="73"/>
      <c r="B237" s="52"/>
      <c r="C237" s="60" t="s">
        <v>69</v>
      </c>
      <c r="D237" s="73"/>
      <c r="E237" s="147"/>
      <c r="F237" s="152"/>
      <c r="G237" s="106"/>
      <c r="H237" s="107"/>
      <c r="I237" s="153"/>
      <c r="J237" s="77"/>
      <c r="K237" s="60"/>
      <c r="L237" s="80"/>
      <c r="M237" s="54">
        <f t="shared" si="18"/>
        <v>4</v>
      </c>
      <c r="N237" s="54">
        <f t="shared" si="19"/>
        <v>5</v>
      </c>
      <c r="O237" s="61" t="str">
        <f t="shared" si="16"/>
        <v/>
      </c>
      <c r="P237" s="62" t="str">
        <f t="shared" si="17"/>
        <v/>
      </c>
      <c r="Q237" s="63"/>
      <c r="R237" s="38"/>
      <c r="S237" s="38"/>
      <c r="T237" s="38"/>
      <c r="U237" s="69"/>
      <c r="V237" s="82" t="s">
        <v>284</v>
      </c>
      <c r="W237" s="80" t="s">
        <v>288</v>
      </c>
      <c r="X237" s="85">
        <v>0</v>
      </c>
      <c r="AC237" s="12"/>
    </row>
    <row r="238" spans="1:29" x14ac:dyDescent="0.2">
      <c r="A238" s="73"/>
      <c r="B238" s="52"/>
      <c r="C238" s="60" t="s">
        <v>69</v>
      </c>
      <c r="D238" s="73"/>
      <c r="E238" s="147"/>
      <c r="F238" s="152"/>
      <c r="G238" s="106"/>
      <c r="H238" s="107"/>
      <c r="I238" s="153"/>
      <c r="J238" s="77"/>
      <c r="K238" s="60"/>
      <c r="L238" s="80"/>
      <c r="M238" s="54">
        <f t="shared" si="18"/>
        <v>4</v>
      </c>
      <c r="N238" s="54">
        <f t="shared" si="19"/>
        <v>5</v>
      </c>
      <c r="O238" s="61" t="str">
        <f t="shared" si="16"/>
        <v/>
      </c>
      <c r="P238" s="62" t="str">
        <f t="shared" si="17"/>
        <v/>
      </c>
      <c r="Q238" s="63"/>
      <c r="R238" s="38"/>
      <c r="S238" s="38"/>
      <c r="T238" s="38"/>
      <c r="U238" s="69"/>
      <c r="V238" s="82" t="s">
        <v>284</v>
      </c>
      <c r="W238" s="80" t="s">
        <v>289</v>
      </c>
      <c r="X238" s="85">
        <v>65281</v>
      </c>
      <c r="AC238" s="12"/>
    </row>
    <row r="239" spans="1:29" x14ac:dyDescent="0.2">
      <c r="A239" s="73"/>
      <c r="B239" s="52"/>
      <c r="C239" s="60" t="s">
        <v>69</v>
      </c>
      <c r="D239" s="73"/>
      <c r="E239" s="147"/>
      <c r="F239" s="152"/>
      <c r="G239" s="106"/>
      <c r="H239" s="107"/>
      <c r="I239" s="153"/>
      <c r="J239" s="77"/>
      <c r="K239" s="60"/>
      <c r="L239" s="80"/>
      <c r="M239" s="54">
        <f t="shared" si="18"/>
        <v>4</v>
      </c>
      <c r="N239" s="54">
        <f t="shared" si="19"/>
        <v>5</v>
      </c>
      <c r="O239" s="61" t="str">
        <f t="shared" si="16"/>
        <v/>
      </c>
      <c r="P239" s="62" t="str">
        <f t="shared" si="17"/>
        <v/>
      </c>
      <c r="Q239" s="63"/>
      <c r="R239" s="38"/>
      <c r="S239" s="38"/>
      <c r="T239" s="38"/>
      <c r="U239" s="69"/>
      <c r="V239" s="82" t="s">
        <v>284</v>
      </c>
      <c r="W239" s="80" t="s">
        <v>290</v>
      </c>
      <c r="X239" s="85">
        <v>65282</v>
      </c>
      <c r="AC239" s="12"/>
    </row>
    <row r="240" spans="1:29" x14ac:dyDescent="0.2">
      <c r="A240" s="73"/>
      <c r="B240" s="52"/>
      <c r="C240" s="60" t="s">
        <v>69</v>
      </c>
      <c r="D240" s="73"/>
      <c r="E240" s="147"/>
      <c r="F240" s="152"/>
      <c r="G240" s="106"/>
      <c r="H240" s="107"/>
      <c r="I240" s="153"/>
      <c r="J240" s="77"/>
      <c r="K240" s="60"/>
      <c r="L240" s="80"/>
      <c r="M240" s="54">
        <f t="shared" si="18"/>
        <v>4</v>
      </c>
      <c r="N240" s="54">
        <f t="shared" si="19"/>
        <v>5</v>
      </c>
      <c r="O240" s="61" t="str">
        <f t="shared" si="16"/>
        <v/>
      </c>
      <c r="P240" s="62" t="str">
        <f t="shared" si="17"/>
        <v/>
      </c>
      <c r="Q240" s="63"/>
      <c r="R240" s="38"/>
      <c r="S240" s="38"/>
      <c r="T240" s="38"/>
      <c r="U240" s="69"/>
      <c r="V240" s="82" t="s">
        <v>284</v>
      </c>
      <c r="W240" s="80" t="s">
        <v>291</v>
      </c>
      <c r="X240" s="85">
        <v>65280</v>
      </c>
      <c r="AC240" s="12"/>
    </row>
    <row r="241" spans="1:29" x14ac:dyDescent="0.2">
      <c r="A241" s="73">
        <v>414</v>
      </c>
      <c r="B241" s="52"/>
      <c r="C241" s="82" t="s">
        <v>292</v>
      </c>
      <c r="D241" s="73"/>
      <c r="E241" s="147" t="s">
        <v>66</v>
      </c>
      <c r="F241" s="152">
        <v>0</v>
      </c>
      <c r="G241" s="106">
        <v>65535</v>
      </c>
      <c r="H241" s="107">
        <v>0</v>
      </c>
      <c r="I241" s="153">
        <v>1</v>
      </c>
      <c r="J241" s="77"/>
      <c r="K241" s="60"/>
      <c r="L241" s="59"/>
      <c r="M241" s="54">
        <f t="shared" si="18"/>
        <v>4</v>
      </c>
      <c r="N241" s="54">
        <f t="shared" si="19"/>
        <v>5</v>
      </c>
      <c r="O241" s="61">
        <f t="shared" si="16"/>
        <v>2462</v>
      </c>
      <c r="P241" s="62" t="str">
        <f t="shared" si="17"/>
        <v>0x099E</v>
      </c>
      <c r="Q241" s="63"/>
      <c r="R241" s="38"/>
      <c r="S241" s="38"/>
      <c r="T241" s="38"/>
      <c r="U241" s="71" t="s">
        <v>60</v>
      </c>
      <c r="V241" s="12"/>
      <c r="AC241" s="12"/>
    </row>
    <row r="242" spans="1:29" x14ac:dyDescent="0.2">
      <c r="A242" s="73">
        <v>415</v>
      </c>
      <c r="B242" s="52"/>
      <c r="C242" s="82" t="s">
        <v>293</v>
      </c>
      <c r="D242" s="73"/>
      <c r="E242" s="147" t="s">
        <v>66</v>
      </c>
      <c r="F242" s="152">
        <v>0</v>
      </c>
      <c r="G242" s="106">
        <v>65535</v>
      </c>
      <c r="H242" s="107">
        <v>0</v>
      </c>
      <c r="I242" s="153">
        <v>1</v>
      </c>
      <c r="J242" s="77"/>
      <c r="K242" s="60"/>
      <c r="L242" s="59"/>
      <c r="M242" s="54">
        <f t="shared" si="18"/>
        <v>4</v>
      </c>
      <c r="N242" s="54">
        <f t="shared" si="19"/>
        <v>5</v>
      </c>
      <c r="O242" s="61">
        <f t="shared" si="16"/>
        <v>2463</v>
      </c>
      <c r="P242" s="62" t="str">
        <f t="shared" si="17"/>
        <v>0x099F</v>
      </c>
      <c r="Q242" s="63"/>
      <c r="R242" s="38"/>
      <c r="S242" s="38"/>
      <c r="T242" s="38"/>
      <c r="U242" s="69"/>
      <c r="V242" s="12"/>
      <c r="AC242" s="12"/>
    </row>
    <row r="243" spans="1:29" x14ac:dyDescent="0.2">
      <c r="A243" s="51">
        <v>416</v>
      </c>
      <c r="B243" s="52"/>
      <c r="C243" s="149" t="s">
        <v>294</v>
      </c>
      <c r="D243" s="73"/>
      <c r="E243" s="147" t="s">
        <v>66</v>
      </c>
      <c r="F243" s="152">
        <v>0</v>
      </c>
      <c r="G243" s="106">
        <v>65535</v>
      </c>
      <c r="H243" s="107">
        <v>0</v>
      </c>
      <c r="I243" s="153">
        <v>1</v>
      </c>
      <c r="J243" s="77"/>
      <c r="K243" s="60"/>
      <c r="L243" s="59"/>
      <c r="M243" s="54">
        <f t="shared" si="18"/>
        <v>4</v>
      </c>
      <c r="N243" s="54">
        <f t="shared" si="19"/>
        <v>5</v>
      </c>
      <c r="O243" s="61">
        <f t="shared" si="16"/>
        <v>2464</v>
      </c>
      <c r="P243" s="62" t="str">
        <f t="shared" si="17"/>
        <v>0x09A0</v>
      </c>
      <c r="Q243" s="63"/>
      <c r="R243" s="38"/>
      <c r="S243" s="38"/>
      <c r="T243" s="38"/>
      <c r="U243" s="71" t="s">
        <v>60</v>
      </c>
      <c r="V243" s="12"/>
      <c r="AC243" s="12"/>
    </row>
    <row r="244" spans="1:29" x14ac:dyDescent="0.2">
      <c r="A244" s="51">
        <v>417</v>
      </c>
      <c r="B244" s="52"/>
      <c r="C244" s="149" t="s">
        <v>295</v>
      </c>
      <c r="D244" s="73"/>
      <c r="E244" s="147" t="s">
        <v>66</v>
      </c>
      <c r="F244" s="152">
        <v>0</v>
      </c>
      <c r="G244" s="106">
        <v>65535</v>
      </c>
      <c r="H244" s="107">
        <v>0</v>
      </c>
      <c r="I244" s="153">
        <v>1</v>
      </c>
      <c r="J244" s="77"/>
      <c r="K244" s="60"/>
      <c r="L244" s="59"/>
      <c r="M244" s="54">
        <f t="shared" si="18"/>
        <v>4</v>
      </c>
      <c r="N244" s="54">
        <f t="shared" si="19"/>
        <v>5</v>
      </c>
      <c r="O244" s="61">
        <f t="shared" si="16"/>
        <v>2465</v>
      </c>
      <c r="P244" s="62" t="str">
        <f t="shared" si="17"/>
        <v>0x09A1</v>
      </c>
      <c r="Q244" s="63"/>
      <c r="R244" s="38"/>
      <c r="S244" s="38"/>
      <c r="T244" s="38"/>
      <c r="U244" s="69"/>
      <c r="V244" s="12"/>
      <c r="AC244" s="12"/>
    </row>
    <row r="245" spans="1:29" x14ac:dyDescent="0.2">
      <c r="A245" s="51"/>
      <c r="B245" s="52"/>
      <c r="C245" s="149"/>
      <c r="D245" s="73"/>
      <c r="E245" s="147"/>
      <c r="F245" s="152"/>
      <c r="G245" s="106"/>
      <c r="H245" s="107"/>
      <c r="I245" s="153"/>
      <c r="J245" s="77"/>
      <c r="K245" s="60"/>
      <c r="L245" s="59"/>
      <c r="M245" s="54">
        <f t="shared" si="18"/>
        <v>4</v>
      </c>
      <c r="N245" s="54">
        <f t="shared" si="19"/>
        <v>5</v>
      </c>
      <c r="O245" s="61" t="str">
        <f t="shared" si="16"/>
        <v/>
      </c>
      <c r="P245" s="62" t="str">
        <f t="shared" si="17"/>
        <v/>
      </c>
      <c r="Q245" s="63"/>
      <c r="R245" s="38"/>
      <c r="S245" s="38"/>
      <c r="T245" s="38"/>
      <c r="U245" s="163"/>
      <c r="AC245" s="12"/>
    </row>
    <row r="246" spans="1:29" x14ac:dyDescent="0.2">
      <c r="A246" s="51">
        <v>420</v>
      </c>
      <c r="B246" s="52"/>
      <c r="C246" s="149" t="s">
        <v>296</v>
      </c>
      <c r="D246" s="73"/>
      <c r="E246" s="147" t="s">
        <v>66</v>
      </c>
      <c r="F246" s="152">
        <v>0</v>
      </c>
      <c r="G246" s="106">
        <v>65535</v>
      </c>
      <c r="H246" s="107">
        <v>0</v>
      </c>
      <c r="I246" s="153">
        <v>1</v>
      </c>
      <c r="J246" s="77"/>
      <c r="K246" s="60"/>
      <c r="L246" s="59"/>
      <c r="M246" s="54">
        <f t="shared" si="18"/>
        <v>4</v>
      </c>
      <c r="N246" s="54">
        <f t="shared" si="19"/>
        <v>5</v>
      </c>
      <c r="O246" s="61">
        <f t="shared" si="16"/>
        <v>2468</v>
      </c>
      <c r="P246" s="62" t="str">
        <f t="shared" si="17"/>
        <v>0x09A4</v>
      </c>
      <c r="Q246" s="63" t="s">
        <v>102</v>
      </c>
      <c r="R246" s="38"/>
      <c r="S246" s="38"/>
      <c r="T246" s="38"/>
      <c r="U246" s="163"/>
      <c r="V246" s="79" t="s">
        <v>296</v>
      </c>
      <c r="W246" s="80" t="s">
        <v>278</v>
      </c>
      <c r="X246" s="85">
        <v>52224</v>
      </c>
      <c r="AC246" s="12"/>
    </row>
    <row r="247" spans="1:29" x14ac:dyDescent="0.2">
      <c r="A247" s="51"/>
      <c r="B247" s="52"/>
      <c r="C247" s="60" t="s">
        <v>69</v>
      </c>
      <c r="D247" s="73"/>
      <c r="E247" s="147"/>
      <c r="F247" s="152"/>
      <c r="G247" s="106"/>
      <c r="H247" s="107"/>
      <c r="I247" s="153"/>
      <c r="J247" s="77"/>
      <c r="K247" s="60"/>
      <c r="L247" s="59"/>
      <c r="M247" s="54">
        <f t="shared" si="18"/>
        <v>4</v>
      </c>
      <c r="N247" s="54">
        <f t="shared" si="19"/>
        <v>5</v>
      </c>
      <c r="O247" s="61" t="str">
        <f t="shared" si="16"/>
        <v/>
      </c>
      <c r="P247" s="62" t="str">
        <f t="shared" si="17"/>
        <v/>
      </c>
      <c r="Q247" s="63"/>
      <c r="R247" s="38"/>
      <c r="S247" s="38"/>
      <c r="T247" s="38"/>
      <c r="U247" s="163"/>
      <c r="V247" s="79" t="s">
        <v>296</v>
      </c>
      <c r="W247" s="80" t="s">
        <v>279</v>
      </c>
      <c r="X247" s="85">
        <v>52225</v>
      </c>
      <c r="AC247" s="12"/>
    </row>
    <row r="248" spans="1:29" x14ac:dyDescent="0.2">
      <c r="A248" s="51"/>
      <c r="B248" s="52"/>
      <c r="C248" s="60" t="s">
        <v>69</v>
      </c>
      <c r="D248" s="73"/>
      <c r="E248" s="147"/>
      <c r="F248" s="152"/>
      <c r="G248" s="106"/>
      <c r="H248" s="107"/>
      <c r="I248" s="153"/>
      <c r="J248" s="77"/>
      <c r="K248" s="60"/>
      <c r="L248" s="59"/>
      <c r="M248" s="54">
        <f t="shared" si="18"/>
        <v>4</v>
      </c>
      <c r="N248" s="54">
        <f t="shared" si="19"/>
        <v>5</v>
      </c>
      <c r="O248" s="61" t="str">
        <f t="shared" si="16"/>
        <v/>
      </c>
      <c r="P248" s="62" t="str">
        <f t="shared" si="17"/>
        <v/>
      </c>
      <c r="Q248" s="63"/>
      <c r="R248" s="38"/>
      <c r="S248" s="38"/>
      <c r="T248" s="38"/>
      <c r="U248" s="163"/>
      <c r="V248" s="79" t="s">
        <v>296</v>
      </c>
      <c r="W248" s="80" t="s">
        <v>280</v>
      </c>
      <c r="X248" s="85">
        <v>52226</v>
      </c>
      <c r="AC248" s="12"/>
    </row>
    <row r="249" spans="1:29" x14ac:dyDescent="0.2">
      <c r="A249" s="51"/>
      <c r="B249" s="52"/>
      <c r="C249" s="60" t="s">
        <v>69</v>
      </c>
      <c r="D249" s="73"/>
      <c r="E249" s="147"/>
      <c r="F249" s="152"/>
      <c r="G249" s="106"/>
      <c r="H249" s="107"/>
      <c r="I249" s="153"/>
      <c r="J249" s="77"/>
      <c r="K249" s="60"/>
      <c r="L249" s="59"/>
      <c r="M249" s="54">
        <f t="shared" si="18"/>
        <v>4</v>
      </c>
      <c r="N249" s="54">
        <f t="shared" si="19"/>
        <v>5</v>
      </c>
      <c r="O249" s="61" t="str">
        <f t="shared" si="16"/>
        <v/>
      </c>
      <c r="P249" s="62" t="str">
        <f t="shared" si="17"/>
        <v/>
      </c>
      <c r="Q249" s="63"/>
      <c r="R249" s="38"/>
      <c r="S249" s="38"/>
      <c r="T249" s="38"/>
      <c r="U249" s="163"/>
      <c r="V249" s="79" t="s">
        <v>296</v>
      </c>
      <c r="W249" s="80" t="s">
        <v>297</v>
      </c>
      <c r="X249" s="85">
        <v>52227</v>
      </c>
      <c r="AC249" s="12"/>
    </row>
    <row r="250" spans="1:29" x14ac:dyDescent="0.2">
      <c r="A250" s="51"/>
      <c r="B250" s="52"/>
      <c r="C250" s="60" t="s">
        <v>69</v>
      </c>
      <c r="D250" s="73"/>
      <c r="E250" s="147"/>
      <c r="F250" s="152"/>
      <c r="G250" s="106"/>
      <c r="H250" s="107"/>
      <c r="I250" s="153"/>
      <c r="J250" s="77"/>
      <c r="K250" s="60"/>
      <c r="L250" s="59"/>
      <c r="M250" s="54">
        <f t="shared" si="18"/>
        <v>4</v>
      </c>
      <c r="N250" s="54">
        <f t="shared" si="19"/>
        <v>5</v>
      </c>
      <c r="O250" s="61" t="str">
        <f t="shared" si="16"/>
        <v/>
      </c>
      <c r="P250" s="62" t="str">
        <f t="shared" si="17"/>
        <v/>
      </c>
      <c r="Q250" s="63"/>
      <c r="R250" s="38"/>
      <c r="S250" s="38"/>
      <c r="T250" s="38"/>
      <c r="U250" s="163"/>
      <c r="V250" s="79" t="s">
        <v>296</v>
      </c>
      <c r="W250" s="80" t="s">
        <v>298</v>
      </c>
      <c r="X250" s="85">
        <v>52228</v>
      </c>
      <c r="AC250" s="12"/>
    </row>
    <row r="251" spans="1:29" x14ac:dyDescent="0.2">
      <c r="A251" s="51"/>
      <c r="B251" s="52"/>
      <c r="C251" s="60" t="s">
        <v>69</v>
      </c>
      <c r="D251" s="73"/>
      <c r="E251" s="147"/>
      <c r="F251" s="152"/>
      <c r="G251" s="106"/>
      <c r="H251" s="107"/>
      <c r="I251" s="153"/>
      <c r="J251" s="77"/>
      <c r="K251" s="60"/>
      <c r="L251" s="59"/>
      <c r="M251" s="54">
        <f t="shared" si="18"/>
        <v>4</v>
      </c>
      <c r="N251" s="54">
        <f t="shared" si="19"/>
        <v>5</v>
      </c>
      <c r="O251" s="61" t="str">
        <f t="shared" si="16"/>
        <v/>
      </c>
      <c r="P251" s="62" t="str">
        <f t="shared" si="17"/>
        <v/>
      </c>
      <c r="Q251" s="63"/>
      <c r="R251" s="38"/>
      <c r="S251" s="38"/>
      <c r="T251" s="38"/>
      <c r="U251" s="163"/>
      <c r="V251" s="79" t="s">
        <v>296</v>
      </c>
      <c r="W251" s="80" t="s">
        <v>299</v>
      </c>
      <c r="X251" s="85">
        <v>60928</v>
      </c>
      <c r="AC251" s="12"/>
    </row>
    <row r="252" spans="1:29" x14ac:dyDescent="0.2">
      <c r="A252" s="51"/>
      <c r="B252" s="52"/>
      <c r="C252" s="60" t="s">
        <v>69</v>
      </c>
      <c r="D252" s="73"/>
      <c r="E252" s="147"/>
      <c r="F252" s="152"/>
      <c r="G252" s="106"/>
      <c r="H252" s="107"/>
      <c r="I252" s="153"/>
      <c r="J252" s="77"/>
      <c r="K252" s="60"/>
      <c r="L252" s="59"/>
      <c r="M252" s="54">
        <f t="shared" si="18"/>
        <v>4</v>
      </c>
      <c r="N252" s="54">
        <f t="shared" si="19"/>
        <v>5</v>
      </c>
      <c r="O252" s="61" t="str">
        <f t="shared" si="16"/>
        <v/>
      </c>
      <c r="P252" s="62" t="str">
        <f t="shared" si="17"/>
        <v/>
      </c>
      <c r="Q252" s="63"/>
      <c r="R252" s="38"/>
      <c r="S252" s="38"/>
      <c r="T252" s="38"/>
      <c r="U252" s="163"/>
      <c r="V252" s="79" t="s">
        <v>296</v>
      </c>
      <c r="W252" s="80" t="s">
        <v>300</v>
      </c>
      <c r="X252" s="85">
        <v>56576</v>
      </c>
      <c r="AC252" s="12"/>
    </row>
    <row r="253" spans="1:29" x14ac:dyDescent="0.2">
      <c r="A253" s="51">
        <v>421</v>
      </c>
      <c r="B253" s="52"/>
      <c r="C253" s="149" t="s">
        <v>301</v>
      </c>
      <c r="D253" s="73"/>
      <c r="E253" s="147" t="s">
        <v>66</v>
      </c>
      <c r="F253" s="152">
        <v>0</v>
      </c>
      <c r="G253" s="106">
        <v>65535</v>
      </c>
      <c r="H253" s="107">
        <v>0</v>
      </c>
      <c r="I253" s="153">
        <v>1</v>
      </c>
      <c r="J253" s="77"/>
      <c r="K253" s="60"/>
      <c r="L253" s="59"/>
      <c r="M253" s="54">
        <f t="shared" si="18"/>
        <v>4</v>
      </c>
      <c r="N253" s="54">
        <f t="shared" si="19"/>
        <v>5</v>
      </c>
      <c r="O253" s="61">
        <f t="shared" si="16"/>
        <v>2469</v>
      </c>
      <c r="P253" s="62" t="str">
        <f t="shared" si="17"/>
        <v>0x09A5</v>
      </c>
      <c r="Q253" s="63" t="s">
        <v>102</v>
      </c>
      <c r="R253" s="38"/>
      <c r="S253" s="38"/>
      <c r="T253" s="38"/>
      <c r="U253" s="163"/>
      <c r="V253" s="79" t="s">
        <v>301</v>
      </c>
      <c r="W253" s="80" t="s">
        <v>302</v>
      </c>
      <c r="X253" s="85">
        <v>1</v>
      </c>
      <c r="AC253" s="12"/>
    </row>
    <row r="254" spans="1:29" x14ac:dyDescent="0.2">
      <c r="A254" s="51"/>
      <c r="B254" s="52"/>
      <c r="C254" s="60" t="s">
        <v>69</v>
      </c>
      <c r="D254" s="73"/>
      <c r="E254" s="147"/>
      <c r="F254" s="152"/>
      <c r="G254" s="106"/>
      <c r="H254" s="107"/>
      <c r="I254" s="153"/>
      <c r="J254" s="77"/>
      <c r="K254" s="60"/>
      <c r="L254" s="59"/>
      <c r="M254" s="54">
        <f t="shared" si="18"/>
        <v>4</v>
      </c>
      <c r="N254" s="54">
        <f t="shared" si="19"/>
        <v>5</v>
      </c>
      <c r="O254" s="61" t="str">
        <f t="shared" si="16"/>
        <v/>
      </c>
      <c r="P254" s="62" t="str">
        <f t="shared" si="17"/>
        <v/>
      </c>
      <c r="Q254" s="63"/>
      <c r="R254" s="38"/>
      <c r="S254" s="38"/>
      <c r="T254" s="38"/>
      <c r="U254" s="163"/>
      <c r="V254" s="79" t="s">
        <v>301</v>
      </c>
      <c r="W254" s="80" t="s">
        <v>303</v>
      </c>
      <c r="X254" s="85">
        <v>2</v>
      </c>
      <c r="AC254" s="12"/>
    </row>
    <row r="255" spans="1:29" x14ac:dyDescent="0.2">
      <c r="A255" s="51"/>
      <c r="B255" s="52"/>
      <c r="C255" s="60" t="s">
        <v>69</v>
      </c>
      <c r="D255" s="73"/>
      <c r="E255" s="147"/>
      <c r="F255" s="152"/>
      <c r="G255" s="106"/>
      <c r="H255" s="107"/>
      <c r="I255" s="153"/>
      <c r="J255" s="77"/>
      <c r="K255" s="60"/>
      <c r="L255" s="59"/>
      <c r="M255" s="54">
        <f t="shared" si="18"/>
        <v>4</v>
      </c>
      <c r="N255" s="54">
        <f t="shared" si="19"/>
        <v>5</v>
      </c>
      <c r="O255" s="61" t="str">
        <f t="shared" si="16"/>
        <v/>
      </c>
      <c r="P255" s="62" t="str">
        <f t="shared" si="17"/>
        <v/>
      </c>
      <c r="Q255" s="63"/>
      <c r="R255" s="38"/>
      <c r="S255" s="38"/>
      <c r="T255" s="38"/>
      <c r="U255" s="163"/>
      <c r="V255" s="79" t="s">
        <v>301</v>
      </c>
      <c r="W255" s="80" t="s">
        <v>304</v>
      </c>
      <c r="X255" s="85">
        <v>3</v>
      </c>
      <c r="AC255" s="12"/>
    </row>
    <row r="256" spans="1:29" x14ac:dyDescent="0.2">
      <c r="A256" s="51"/>
      <c r="B256" s="52"/>
      <c r="C256" s="60" t="s">
        <v>69</v>
      </c>
      <c r="D256" s="73"/>
      <c r="E256" s="147"/>
      <c r="F256" s="152"/>
      <c r="G256" s="106"/>
      <c r="H256" s="107"/>
      <c r="I256" s="153"/>
      <c r="J256" s="77"/>
      <c r="K256" s="60"/>
      <c r="L256" s="59"/>
      <c r="M256" s="54">
        <f t="shared" si="18"/>
        <v>4</v>
      </c>
      <c r="N256" s="54">
        <f t="shared" si="19"/>
        <v>5</v>
      </c>
      <c r="O256" s="61" t="str">
        <f t="shared" si="16"/>
        <v/>
      </c>
      <c r="P256" s="62" t="str">
        <f t="shared" si="17"/>
        <v/>
      </c>
      <c r="Q256" s="63"/>
      <c r="R256" s="38"/>
      <c r="S256" s="38"/>
      <c r="T256" s="38"/>
      <c r="U256" s="163"/>
      <c r="V256" s="79" t="s">
        <v>301</v>
      </c>
      <c r="W256" s="80" t="s">
        <v>305</v>
      </c>
      <c r="X256" s="85">
        <v>4</v>
      </c>
      <c r="AC256" s="12"/>
    </row>
    <row r="257" spans="1:29" x14ac:dyDescent="0.2">
      <c r="A257" s="51"/>
      <c r="B257" s="52"/>
      <c r="C257" s="60" t="s">
        <v>69</v>
      </c>
      <c r="D257" s="73"/>
      <c r="E257" s="147"/>
      <c r="F257" s="152"/>
      <c r="G257" s="106"/>
      <c r="H257" s="107"/>
      <c r="I257" s="153"/>
      <c r="J257" s="77"/>
      <c r="K257" s="60"/>
      <c r="L257" s="59"/>
      <c r="M257" s="54">
        <f t="shared" si="18"/>
        <v>4</v>
      </c>
      <c r="N257" s="54">
        <f t="shared" si="19"/>
        <v>5</v>
      </c>
      <c r="O257" s="61" t="str">
        <f t="shared" si="16"/>
        <v/>
      </c>
      <c r="P257" s="62" t="str">
        <f t="shared" si="17"/>
        <v/>
      </c>
      <c r="Q257" s="63"/>
      <c r="R257" s="38"/>
      <c r="S257" s="38"/>
      <c r="T257" s="38"/>
      <c r="U257" s="163"/>
      <c r="V257" s="79" t="s">
        <v>301</v>
      </c>
      <c r="W257" s="80" t="s">
        <v>288</v>
      </c>
      <c r="X257" s="85">
        <v>0</v>
      </c>
      <c r="AC257" s="12"/>
    </row>
    <row r="258" spans="1:29" x14ac:dyDescent="0.2">
      <c r="A258" s="51"/>
      <c r="B258" s="52"/>
      <c r="C258" s="60" t="s">
        <v>69</v>
      </c>
      <c r="D258" s="73"/>
      <c r="E258" s="147"/>
      <c r="F258" s="152"/>
      <c r="G258" s="106"/>
      <c r="H258" s="107"/>
      <c r="I258" s="153"/>
      <c r="J258" s="77"/>
      <c r="K258" s="60"/>
      <c r="L258" s="59"/>
      <c r="M258" s="54">
        <f t="shared" si="18"/>
        <v>4</v>
      </c>
      <c r="N258" s="54">
        <f t="shared" si="19"/>
        <v>5</v>
      </c>
      <c r="O258" s="61" t="str">
        <f t="shared" si="16"/>
        <v/>
      </c>
      <c r="P258" s="62" t="str">
        <f t="shared" si="17"/>
        <v/>
      </c>
      <c r="Q258" s="63"/>
      <c r="R258" s="38"/>
      <c r="S258" s="38"/>
      <c r="T258" s="38"/>
      <c r="U258" s="163"/>
      <c r="V258" s="79" t="s">
        <v>301</v>
      </c>
      <c r="W258" s="80" t="s">
        <v>291</v>
      </c>
      <c r="X258" s="85">
        <v>65280</v>
      </c>
      <c r="AC258" s="12"/>
    </row>
    <row r="259" spans="1:29" x14ac:dyDescent="0.2">
      <c r="A259" s="51">
        <v>422</v>
      </c>
      <c r="B259" s="52"/>
      <c r="C259" s="149" t="s">
        <v>306</v>
      </c>
      <c r="D259" s="73"/>
      <c r="E259" s="147" t="s">
        <v>66</v>
      </c>
      <c r="F259" s="152">
        <v>0</v>
      </c>
      <c r="G259" s="106">
        <v>65535</v>
      </c>
      <c r="H259" s="107">
        <v>0</v>
      </c>
      <c r="I259" s="153">
        <v>0.1</v>
      </c>
      <c r="J259" s="126" t="s">
        <v>307</v>
      </c>
      <c r="K259" s="60"/>
      <c r="L259" s="59"/>
      <c r="M259" s="54">
        <f t="shared" si="18"/>
        <v>4</v>
      </c>
      <c r="N259" s="54">
        <f t="shared" si="19"/>
        <v>5</v>
      </c>
      <c r="O259" s="61">
        <f t="shared" si="16"/>
        <v>2470</v>
      </c>
      <c r="P259" s="62" t="str">
        <f t="shared" si="17"/>
        <v>0x09A6</v>
      </c>
      <c r="Q259" s="63" t="s">
        <v>102</v>
      </c>
      <c r="R259" s="38"/>
      <c r="S259" s="38"/>
      <c r="T259" s="38"/>
      <c r="U259" s="163"/>
      <c r="V259" s="12"/>
      <c r="AC259" s="12"/>
    </row>
    <row r="260" spans="1:29" x14ac:dyDescent="0.2">
      <c r="M260" s="54">
        <f t="shared" si="18"/>
        <v>4</v>
      </c>
      <c r="N260" s="54">
        <f t="shared" si="19"/>
        <v>5</v>
      </c>
      <c r="O260" s="61" t="str">
        <f t="shared" si="16"/>
        <v/>
      </c>
      <c r="P260" s="62" t="str">
        <f t="shared" si="17"/>
        <v/>
      </c>
      <c r="U260" s="167"/>
      <c r="V260" s="12"/>
    </row>
    <row r="261" spans="1:29" x14ac:dyDescent="0.2">
      <c r="A261" s="51">
        <v>423</v>
      </c>
      <c r="B261" s="52"/>
      <c r="C261" s="149" t="s">
        <v>308</v>
      </c>
      <c r="D261" s="73"/>
      <c r="E261" s="147" t="s">
        <v>66</v>
      </c>
      <c r="F261" s="152">
        <v>0</v>
      </c>
      <c r="G261" s="106">
        <v>65535</v>
      </c>
      <c r="H261" s="107">
        <v>0</v>
      </c>
      <c r="I261" s="153">
        <v>1</v>
      </c>
      <c r="J261" s="77"/>
      <c r="K261" s="60"/>
      <c r="L261" s="59"/>
      <c r="M261" s="54">
        <f t="shared" si="18"/>
        <v>4</v>
      </c>
      <c r="N261" s="54">
        <f t="shared" si="19"/>
        <v>5</v>
      </c>
      <c r="O261" s="61">
        <f t="shared" si="16"/>
        <v>2471</v>
      </c>
      <c r="P261" s="62" t="str">
        <f t="shared" si="17"/>
        <v>0x09A7</v>
      </c>
      <c r="Q261" s="63" t="s">
        <v>102</v>
      </c>
      <c r="R261" s="38"/>
      <c r="S261" s="38"/>
      <c r="T261" s="38"/>
      <c r="U261" s="163"/>
      <c r="V261" s="79" t="s">
        <v>308</v>
      </c>
      <c r="W261" s="80" t="s">
        <v>278</v>
      </c>
      <c r="X261" s="85">
        <v>52224</v>
      </c>
      <c r="AC261" s="12"/>
    </row>
    <row r="262" spans="1:29" x14ac:dyDescent="0.2">
      <c r="A262" s="51"/>
      <c r="B262" s="52"/>
      <c r="C262" s="60" t="s">
        <v>69</v>
      </c>
      <c r="D262" s="73"/>
      <c r="E262" s="147"/>
      <c r="F262" s="152"/>
      <c r="G262" s="106"/>
      <c r="H262" s="107"/>
      <c r="I262" s="153"/>
      <c r="J262" s="77"/>
      <c r="K262" s="60"/>
      <c r="L262" s="59"/>
      <c r="M262" s="54">
        <f t="shared" si="18"/>
        <v>4</v>
      </c>
      <c r="N262" s="54">
        <f t="shared" si="19"/>
        <v>5</v>
      </c>
      <c r="O262" s="61" t="str">
        <f t="shared" si="16"/>
        <v/>
      </c>
      <c r="P262" s="62" t="str">
        <f t="shared" si="17"/>
        <v/>
      </c>
      <c r="Q262" s="63"/>
      <c r="R262" s="38"/>
      <c r="S262" s="38"/>
      <c r="T262" s="38"/>
      <c r="U262" s="163"/>
      <c r="V262" s="79" t="s">
        <v>308</v>
      </c>
      <c r="W262" s="80" t="s">
        <v>433</v>
      </c>
      <c r="X262" s="85">
        <v>52225</v>
      </c>
      <c r="AC262" s="12"/>
    </row>
    <row r="263" spans="1:29" x14ac:dyDescent="0.2">
      <c r="A263" s="51"/>
      <c r="B263" s="52"/>
      <c r="C263" s="60" t="s">
        <v>69</v>
      </c>
      <c r="D263" s="73"/>
      <c r="E263" s="147"/>
      <c r="F263" s="152"/>
      <c r="G263" s="106"/>
      <c r="H263" s="107"/>
      <c r="I263" s="153"/>
      <c r="J263" s="77"/>
      <c r="K263" s="60"/>
      <c r="L263" s="59"/>
      <c r="M263" s="54">
        <f t="shared" si="18"/>
        <v>4</v>
      </c>
      <c r="N263" s="54">
        <f t="shared" si="19"/>
        <v>5</v>
      </c>
      <c r="O263" s="61" t="str">
        <f t="shared" si="16"/>
        <v/>
      </c>
      <c r="P263" s="62" t="str">
        <f t="shared" si="17"/>
        <v/>
      </c>
      <c r="Q263" s="63"/>
      <c r="R263" s="38"/>
      <c r="S263" s="38"/>
      <c r="T263" s="38"/>
      <c r="U263" s="163"/>
      <c r="V263" s="79" t="s">
        <v>308</v>
      </c>
      <c r="W263" s="80" t="s">
        <v>434</v>
      </c>
      <c r="X263" s="85">
        <v>52226</v>
      </c>
      <c r="AC263" s="12"/>
    </row>
    <row r="264" spans="1:29" x14ac:dyDescent="0.2">
      <c r="A264" s="51"/>
      <c r="B264" s="52"/>
      <c r="C264" s="60" t="s">
        <v>69</v>
      </c>
      <c r="D264" s="73"/>
      <c r="E264" s="147"/>
      <c r="F264" s="152"/>
      <c r="G264" s="106"/>
      <c r="H264" s="107"/>
      <c r="I264" s="153"/>
      <c r="J264" s="77"/>
      <c r="K264" s="60"/>
      <c r="L264" s="59"/>
      <c r="M264" s="54">
        <f t="shared" si="18"/>
        <v>4</v>
      </c>
      <c r="N264" s="54">
        <f t="shared" si="19"/>
        <v>5</v>
      </c>
      <c r="O264" s="61" t="str">
        <f t="shared" si="16"/>
        <v/>
      </c>
      <c r="P264" s="62" t="str">
        <f t="shared" si="17"/>
        <v/>
      </c>
      <c r="Q264" s="63"/>
      <c r="R264" s="38"/>
      <c r="S264" s="38"/>
      <c r="T264" s="38"/>
      <c r="U264" s="163"/>
      <c r="V264" s="79" t="s">
        <v>308</v>
      </c>
      <c r="W264" s="80" t="s">
        <v>435</v>
      </c>
      <c r="X264" s="85">
        <v>60928</v>
      </c>
      <c r="AC264" s="12"/>
    </row>
    <row r="265" spans="1:29" x14ac:dyDescent="0.2">
      <c r="A265" s="51"/>
      <c r="B265" s="52"/>
      <c r="C265" s="60" t="s">
        <v>69</v>
      </c>
      <c r="D265" s="73"/>
      <c r="E265" s="147"/>
      <c r="F265" s="152"/>
      <c r="G265" s="106"/>
      <c r="H265" s="107"/>
      <c r="I265" s="153"/>
      <c r="J265" s="77"/>
      <c r="K265" s="60"/>
      <c r="L265" s="59"/>
      <c r="M265" s="54">
        <f t="shared" si="18"/>
        <v>4</v>
      </c>
      <c r="N265" s="54">
        <f t="shared" si="19"/>
        <v>5</v>
      </c>
      <c r="O265" s="61" t="str">
        <f t="shared" si="16"/>
        <v/>
      </c>
      <c r="P265" s="62" t="str">
        <f t="shared" si="17"/>
        <v/>
      </c>
      <c r="Q265" s="63"/>
      <c r="R265" s="38"/>
      <c r="S265" s="38"/>
      <c r="T265" s="38"/>
      <c r="U265" s="163"/>
      <c r="V265" s="79" t="s">
        <v>308</v>
      </c>
      <c r="W265" s="80" t="s">
        <v>300</v>
      </c>
      <c r="X265" s="85">
        <v>56576</v>
      </c>
      <c r="AC265" s="12"/>
    </row>
    <row r="266" spans="1:29" x14ac:dyDescent="0.2">
      <c r="A266" s="51">
        <v>424</v>
      </c>
      <c r="B266" s="52"/>
      <c r="C266" s="149" t="s">
        <v>309</v>
      </c>
      <c r="D266" s="73"/>
      <c r="E266" s="147" t="s">
        <v>66</v>
      </c>
      <c r="F266" s="152">
        <v>0</v>
      </c>
      <c r="G266" s="106">
        <v>65535</v>
      </c>
      <c r="H266" s="107">
        <v>0</v>
      </c>
      <c r="I266" s="153">
        <v>1</v>
      </c>
      <c r="J266" s="77"/>
      <c r="K266" s="60"/>
      <c r="L266" s="59"/>
      <c r="M266" s="54">
        <f t="shared" si="18"/>
        <v>4</v>
      </c>
      <c r="N266" s="54">
        <f t="shared" si="19"/>
        <v>5</v>
      </c>
      <c r="O266" s="61">
        <f t="shared" si="16"/>
        <v>2472</v>
      </c>
      <c r="P266" s="62" t="str">
        <f t="shared" si="17"/>
        <v>0x09A8</v>
      </c>
      <c r="Q266" s="63" t="s">
        <v>102</v>
      </c>
      <c r="R266" s="38"/>
      <c r="S266" s="38"/>
      <c r="T266" s="38"/>
      <c r="U266" s="163"/>
      <c r="V266" s="79" t="s">
        <v>309</v>
      </c>
      <c r="W266" s="80" t="s">
        <v>436</v>
      </c>
      <c r="X266" s="85">
        <v>1</v>
      </c>
      <c r="AC266" s="12"/>
    </row>
    <row r="267" spans="1:29" x14ac:dyDescent="0.2">
      <c r="A267" s="51"/>
      <c r="B267" s="52"/>
      <c r="C267" s="60" t="s">
        <v>69</v>
      </c>
      <c r="D267" s="73"/>
      <c r="E267" s="147"/>
      <c r="F267" s="152"/>
      <c r="G267" s="106"/>
      <c r="H267" s="107"/>
      <c r="I267" s="153"/>
      <c r="J267" s="77"/>
      <c r="K267" s="60"/>
      <c r="L267" s="59"/>
      <c r="M267" s="54">
        <f t="shared" si="18"/>
        <v>4</v>
      </c>
      <c r="N267" s="54">
        <f t="shared" si="19"/>
        <v>5</v>
      </c>
      <c r="O267" s="61" t="str">
        <f t="shared" si="16"/>
        <v/>
      </c>
      <c r="P267" s="62" t="str">
        <f t="shared" si="17"/>
        <v/>
      </c>
      <c r="Q267" s="63"/>
      <c r="R267" s="38"/>
      <c r="S267" s="38"/>
      <c r="T267" s="38"/>
      <c r="U267" s="163"/>
      <c r="V267" s="79" t="s">
        <v>309</v>
      </c>
      <c r="W267" s="80" t="s">
        <v>437</v>
      </c>
      <c r="X267" s="85">
        <v>2</v>
      </c>
      <c r="AC267" s="12"/>
    </row>
    <row r="268" spans="1:29" x14ac:dyDescent="0.2">
      <c r="A268" s="51"/>
      <c r="B268" s="52"/>
      <c r="C268" s="60" t="s">
        <v>69</v>
      </c>
      <c r="D268" s="73"/>
      <c r="E268" s="147"/>
      <c r="F268" s="152"/>
      <c r="G268" s="106"/>
      <c r="H268" s="107"/>
      <c r="I268" s="153"/>
      <c r="J268" s="77"/>
      <c r="K268" s="60"/>
      <c r="L268" s="59"/>
      <c r="M268" s="54">
        <f t="shared" si="18"/>
        <v>4</v>
      </c>
      <c r="N268" s="54">
        <f t="shared" si="19"/>
        <v>5</v>
      </c>
      <c r="O268" s="61" t="str">
        <f t="shared" si="16"/>
        <v/>
      </c>
      <c r="P268" s="62" t="str">
        <f t="shared" si="17"/>
        <v/>
      </c>
      <c r="Q268" s="63"/>
      <c r="R268" s="38"/>
      <c r="S268" s="38"/>
      <c r="T268" s="38"/>
      <c r="U268" s="163"/>
      <c r="V268" s="79" t="s">
        <v>309</v>
      </c>
      <c r="W268" s="80" t="s">
        <v>288</v>
      </c>
      <c r="X268" s="85">
        <v>0</v>
      </c>
      <c r="AC268" s="12"/>
    </row>
    <row r="269" spans="1:29" x14ac:dyDescent="0.2">
      <c r="A269" s="51"/>
      <c r="B269" s="52"/>
      <c r="C269" s="60" t="s">
        <v>69</v>
      </c>
      <c r="D269" s="73"/>
      <c r="E269" s="147"/>
      <c r="F269" s="152"/>
      <c r="G269" s="106"/>
      <c r="H269" s="107"/>
      <c r="I269" s="153"/>
      <c r="J269" s="77"/>
      <c r="K269" s="60"/>
      <c r="L269" s="59"/>
      <c r="M269" s="54">
        <f t="shared" si="18"/>
        <v>4</v>
      </c>
      <c r="N269" s="54">
        <f t="shared" si="19"/>
        <v>5</v>
      </c>
      <c r="O269" s="61" t="str">
        <f t="shared" si="16"/>
        <v/>
      </c>
      <c r="P269" s="62" t="str">
        <f t="shared" si="17"/>
        <v/>
      </c>
      <c r="Q269" s="63"/>
      <c r="R269" s="38"/>
      <c r="S269" s="38"/>
      <c r="T269" s="38"/>
      <c r="U269" s="163"/>
      <c r="V269" s="79" t="s">
        <v>309</v>
      </c>
      <c r="W269" s="80" t="s">
        <v>291</v>
      </c>
      <c r="X269" s="85">
        <v>65280</v>
      </c>
      <c r="AC269" s="12"/>
    </row>
    <row r="270" spans="1:29" x14ac:dyDescent="0.2">
      <c r="A270" s="51">
        <v>425</v>
      </c>
      <c r="B270" s="52"/>
      <c r="C270" s="149" t="s">
        <v>310</v>
      </c>
      <c r="D270" s="73"/>
      <c r="E270" s="147" t="s">
        <v>66</v>
      </c>
      <c r="F270" s="152">
        <v>0</v>
      </c>
      <c r="G270" s="106">
        <v>65535</v>
      </c>
      <c r="H270" s="107">
        <v>0</v>
      </c>
      <c r="I270" s="153">
        <v>0.1</v>
      </c>
      <c r="J270" s="126" t="s">
        <v>307</v>
      </c>
      <c r="K270" s="60"/>
      <c r="L270" s="59"/>
      <c r="M270" s="54">
        <f t="shared" si="18"/>
        <v>4</v>
      </c>
      <c r="N270" s="54">
        <f t="shared" si="19"/>
        <v>5</v>
      </c>
      <c r="O270" s="61">
        <f t="shared" ref="O270:O328" si="20">IF(A270&lt;&gt;"",M270*2^9+A270,"")</f>
        <v>2473</v>
      </c>
      <c r="P270" s="62" t="str">
        <f t="shared" ref="P270:P328" si="21">IF(A270&lt;&gt;"","0x" &amp;DEC2HEX( O270,4),"")</f>
        <v>0x09A9</v>
      </c>
      <c r="Q270" s="63" t="s">
        <v>102</v>
      </c>
      <c r="R270" s="38"/>
      <c r="S270" s="38"/>
      <c r="T270" s="38"/>
      <c r="U270" s="163"/>
      <c r="V270" s="12"/>
      <c r="AC270" s="12"/>
    </row>
    <row r="271" spans="1:29" x14ac:dyDescent="0.2">
      <c r="A271" s="51"/>
      <c r="B271" s="52"/>
      <c r="C271" s="149"/>
      <c r="D271" s="73"/>
      <c r="E271" s="147"/>
      <c r="F271" s="152"/>
      <c r="G271" s="106"/>
      <c r="H271" s="107"/>
      <c r="I271" s="153"/>
      <c r="J271" s="77"/>
      <c r="K271" s="60"/>
      <c r="L271" s="59"/>
      <c r="M271" s="54">
        <f t="shared" si="18"/>
        <v>4</v>
      </c>
      <c r="N271" s="54">
        <f t="shared" si="19"/>
        <v>5</v>
      </c>
      <c r="O271" s="61" t="str">
        <f t="shared" si="20"/>
        <v/>
      </c>
      <c r="P271" s="62" t="str">
        <f t="shared" si="21"/>
        <v/>
      </c>
      <c r="Q271" s="63"/>
      <c r="R271" s="38"/>
      <c r="S271" s="38"/>
      <c r="T271" s="38"/>
      <c r="U271" s="163"/>
      <c r="V271" s="79"/>
      <c r="W271" s="80"/>
      <c r="X271" s="85"/>
      <c r="AC271" s="12"/>
    </row>
    <row r="272" spans="1:29" x14ac:dyDescent="0.2">
      <c r="A272" s="51">
        <v>426</v>
      </c>
      <c r="B272" s="52"/>
      <c r="C272" s="149" t="s">
        <v>311</v>
      </c>
      <c r="D272" s="73"/>
      <c r="E272" s="147" t="s">
        <v>66</v>
      </c>
      <c r="F272" s="152">
        <v>0</v>
      </c>
      <c r="G272" s="106">
        <v>65535</v>
      </c>
      <c r="H272" s="107">
        <v>0</v>
      </c>
      <c r="I272" s="153">
        <v>1</v>
      </c>
      <c r="J272" s="77"/>
      <c r="K272" s="60"/>
      <c r="L272" s="59"/>
      <c r="M272" s="54">
        <f t="shared" si="18"/>
        <v>4</v>
      </c>
      <c r="N272" s="54">
        <f t="shared" si="19"/>
        <v>5</v>
      </c>
      <c r="O272" s="61">
        <f t="shared" si="20"/>
        <v>2474</v>
      </c>
      <c r="P272" s="62" t="str">
        <f t="shared" si="21"/>
        <v>0x09AA</v>
      </c>
      <c r="Q272" s="63" t="s">
        <v>102</v>
      </c>
      <c r="R272" s="38"/>
      <c r="S272" s="38"/>
      <c r="T272" s="38"/>
      <c r="U272" s="163"/>
      <c r="V272" s="79" t="s">
        <v>311</v>
      </c>
      <c r="W272" s="80" t="s">
        <v>278</v>
      </c>
      <c r="X272" s="85">
        <v>52224</v>
      </c>
      <c r="AC272" s="12"/>
    </row>
    <row r="273" spans="1:29" x14ac:dyDescent="0.2">
      <c r="A273" s="51"/>
      <c r="B273" s="52"/>
      <c r="C273" s="60" t="s">
        <v>69</v>
      </c>
      <c r="D273" s="73"/>
      <c r="E273" s="147"/>
      <c r="F273" s="152"/>
      <c r="G273" s="106"/>
      <c r="H273" s="107"/>
      <c r="I273" s="153"/>
      <c r="J273" s="77"/>
      <c r="K273" s="60"/>
      <c r="L273" s="59"/>
      <c r="M273" s="54">
        <f t="shared" si="18"/>
        <v>4</v>
      </c>
      <c r="N273" s="54">
        <f t="shared" si="19"/>
        <v>5</v>
      </c>
      <c r="O273" s="61" t="str">
        <f t="shared" si="20"/>
        <v/>
      </c>
      <c r="P273" s="62" t="str">
        <f t="shared" si="21"/>
        <v/>
      </c>
      <c r="Q273" s="63"/>
      <c r="R273" s="38"/>
      <c r="S273" s="38"/>
      <c r="T273" s="38"/>
      <c r="U273" s="163"/>
      <c r="V273" s="79" t="s">
        <v>311</v>
      </c>
      <c r="W273" s="80" t="s">
        <v>279</v>
      </c>
      <c r="X273" s="85">
        <v>52225</v>
      </c>
      <c r="AC273" s="12"/>
    </row>
    <row r="274" spans="1:29" x14ac:dyDescent="0.2">
      <c r="A274" s="51"/>
      <c r="B274" s="52"/>
      <c r="C274" s="60" t="s">
        <v>69</v>
      </c>
      <c r="D274" s="73"/>
      <c r="E274" s="147"/>
      <c r="F274" s="152"/>
      <c r="G274" s="106"/>
      <c r="H274" s="107"/>
      <c r="I274" s="153"/>
      <c r="J274" s="77"/>
      <c r="K274" s="60"/>
      <c r="L274" s="59"/>
      <c r="M274" s="54">
        <f t="shared" si="18"/>
        <v>4</v>
      </c>
      <c r="N274" s="54">
        <f t="shared" si="19"/>
        <v>5</v>
      </c>
      <c r="O274" s="61" t="str">
        <f t="shared" si="20"/>
        <v/>
      </c>
      <c r="P274" s="62" t="str">
        <f t="shared" si="21"/>
        <v/>
      </c>
      <c r="Q274" s="63"/>
      <c r="R274" s="38"/>
      <c r="S274" s="38"/>
      <c r="T274" s="38"/>
      <c r="U274" s="163"/>
      <c r="V274" s="79" t="s">
        <v>311</v>
      </c>
      <c r="W274" s="80" t="s">
        <v>280</v>
      </c>
      <c r="X274" s="85">
        <v>52226</v>
      </c>
      <c r="AC274" s="12"/>
    </row>
    <row r="275" spans="1:29" x14ac:dyDescent="0.2">
      <c r="A275" s="51"/>
      <c r="B275" s="52"/>
      <c r="C275" s="60" t="s">
        <v>69</v>
      </c>
      <c r="D275" s="73"/>
      <c r="E275" s="147"/>
      <c r="F275" s="152"/>
      <c r="G275" s="106"/>
      <c r="H275" s="107"/>
      <c r="I275" s="153"/>
      <c r="J275" s="77"/>
      <c r="K275" s="60"/>
      <c r="L275" s="59"/>
      <c r="M275" s="54">
        <f t="shared" si="18"/>
        <v>4</v>
      </c>
      <c r="N275" s="54">
        <f t="shared" si="19"/>
        <v>5</v>
      </c>
      <c r="O275" s="61" t="str">
        <f t="shared" si="20"/>
        <v/>
      </c>
      <c r="P275" s="62" t="str">
        <f t="shared" si="21"/>
        <v/>
      </c>
      <c r="Q275" s="63"/>
      <c r="R275" s="38"/>
      <c r="S275" s="38"/>
      <c r="T275" s="38"/>
      <c r="U275" s="163"/>
      <c r="V275" s="79" t="s">
        <v>311</v>
      </c>
      <c r="W275" s="80" t="s">
        <v>297</v>
      </c>
      <c r="X275" s="85">
        <v>52227</v>
      </c>
      <c r="AC275" s="12"/>
    </row>
    <row r="276" spans="1:29" x14ac:dyDescent="0.2">
      <c r="A276" s="51"/>
      <c r="B276" s="52"/>
      <c r="C276" s="60" t="s">
        <v>69</v>
      </c>
      <c r="D276" s="73"/>
      <c r="E276" s="147"/>
      <c r="F276" s="152"/>
      <c r="G276" s="106"/>
      <c r="H276" s="107"/>
      <c r="I276" s="153"/>
      <c r="J276" s="77"/>
      <c r="K276" s="60"/>
      <c r="L276" s="59"/>
      <c r="M276" s="54">
        <f t="shared" si="18"/>
        <v>4</v>
      </c>
      <c r="N276" s="54">
        <f t="shared" si="19"/>
        <v>5</v>
      </c>
      <c r="O276" s="61" t="str">
        <f t="shared" si="20"/>
        <v/>
      </c>
      <c r="P276" s="62" t="str">
        <f t="shared" si="21"/>
        <v/>
      </c>
      <c r="Q276" s="63"/>
      <c r="R276" s="38"/>
      <c r="S276" s="38"/>
      <c r="T276" s="38"/>
      <c r="U276" s="163"/>
      <c r="V276" s="79" t="s">
        <v>311</v>
      </c>
      <c r="W276" s="80" t="s">
        <v>298</v>
      </c>
      <c r="X276" s="85">
        <v>52228</v>
      </c>
      <c r="AC276" s="12"/>
    </row>
    <row r="277" spans="1:29" x14ac:dyDescent="0.2">
      <c r="A277" s="51"/>
      <c r="B277" s="52"/>
      <c r="C277" s="60" t="s">
        <v>69</v>
      </c>
      <c r="D277" s="73"/>
      <c r="E277" s="147"/>
      <c r="F277" s="152"/>
      <c r="G277" s="106"/>
      <c r="H277" s="107"/>
      <c r="I277" s="153"/>
      <c r="J277" s="77"/>
      <c r="K277" s="60"/>
      <c r="L277" s="59"/>
      <c r="M277" s="54">
        <f t="shared" si="18"/>
        <v>4</v>
      </c>
      <c r="N277" s="54">
        <f t="shared" si="19"/>
        <v>5</v>
      </c>
      <c r="O277" s="61" t="str">
        <f t="shared" si="20"/>
        <v/>
      </c>
      <c r="P277" s="62" t="str">
        <f t="shared" si="21"/>
        <v/>
      </c>
      <c r="Q277" s="63"/>
      <c r="R277" s="38"/>
      <c r="S277" s="38"/>
      <c r="T277" s="38"/>
      <c r="U277" s="163"/>
      <c r="V277" s="79" t="s">
        <v>311</v>
      </c>
      <c r="W277" s="80" t="s">
        <v>299</v>
      </c>
      <c r="X277" s="85">
        <v>60928</v>
      </c>
      <c r="AC277" s="12"/>
    </row>
    <row r="278" spans="1:29" x14ac:dyDescent="0.2">
      <c r="A278" s="51"/>
      <c r="B278" s="52"/>
      <c r="C278" s="60" t="s">
        <v>69</v>
      </c>
      <c r="D278" s="73"/>
      <c r="E278" s="147"/>
      <c r="F278" s="152"/>
      <c r="G278" s="106"/>
      <c r="H278" s="107"/>
      <c r="I278" s="153"/>
      <c r="J278" s="77"/>
      <c r="K278" s="60"/>
      <c r="L278" s="59"/>
      <c r="M278" s="54">
        <f t="shared" si="18"/>
        <v>4</v>
      </c>
      <c r="N278" s="54">
        <f t="shared" si="19"/>
        <v>5</v>
      </c>
      <c r="O278" s="61" t="str">
        <f t="shared" si="20"/>
        <v/>
      </c>
      <c r="P278" s="62" t="str">
        <f t="shared" si="21"/>
        <v/>
      </c>
      <c r="Q278" s="63"/>
      <c r="R278" s="38"/>
      <c r="S278" s="38"/>
      <c r="T278" s="38"/>
      <c r="U278" s="163"/>
      <c r="V278" s="79" t="s">
        <v>311</v>
      </c>
      <c r="W278" s="80" t="s">
        <v>300</v>
      </c>
      <c r="X278" s="85">
        <v>56576</v>
      </c>
      <c r="AC278" s="12"/>
    </row>
    <row r="279" spans="1:29" x14ac:dyDescent="0.2">
      <c r="A279" s="51">
        <v>427</v>
      </c>
      <c r="B279" s="52"/>
      <c r="C279" s="149" t="s">
        <v>312</v>
      </c>
      <c r="D279" s="73"/>
      <c r="E279" s="147" t="s">
        <v>66</v>
      </c>
      <c r="F279" s="152">
        <v>0</v>
      </c>
      <c r="G279" s="106">
        <v>65535</v>
      </c>
      <c r="H279" s="107">
        <v>0</v>
      </c>
      <c r="I279" s="153">
        <v>1</v>
      </c>
      <c r="J279" s="77"/>
      <c r="K279" s="60"/>
      <c r="L279" s="59"/>
      <c r="M279" s="54">
        <f t="shared" si="18"/>
        <v>4</v>
      </c>
      <c r="N279" s="54">
        <f t="shared" si="19"/>
        <v>5</v>
      </c>
      <c r="O279" s="61">
        <f t="shared" si="20"/>
        <v>2475</v>
      </c>
      <c r="P279" s="62" t="str">
        <f t="shared" si="21"/>
        <v>0x09AB</v>
      </c>
      <c r="Q279" s="63" t="s">
        <v>102</v>
      </c>
      <c r="R279" s="38"/>
      <c r="S279" s="38"/>
      <c r="T279" s="38"/>
      <c r="U279" s="163"/>
      <c r="V279" s="79" t="s">
        <v>312</v>
      </c>
      <c r="W279" s="80" t="s">
        <v>302</v>
      </c>
      <c r="X279" s="85">
        <v>1</v>
      </c>
      <c r="AC279" s="12"/>
    </row>
    <row r="280" spans="1:29" x14ac:dyDescent="0.2">
      <c r="A280" s="51"/>
      <c r="B280" s="52"/>
      <c r="C280" s="60" t="s">
        <v>69</v>
      </c>
      <c r="D280" s="73"/>
      <c r="E280" s="147"/>
      <c r="F280" s="152"/>
      <c r="G280" s="106"/>
      <c r="H280" s="107"/>
      <c r="I280" s="153"/>
      <c r="J280" s="77"/>
      <c r="K280" s="60"/>
      <c r="L280" s="59"/>
      <c r="M280" s="54">
        <f t="shared" si="18"/>
        <v>4</v>
      </c>
      <c r="N280" s="54">
        <f t="shared" si="19"/>
        <v>5</v>
      </c>
      <c r="O280" s="61" t="str">
        <f t="shared" si="20"/>
        <v/>
      </c>
      <c r="P280" s="62" t="str">
        <f t="shared" si="21"/>
        <v/>
      </c>
      <c r="Q280" s="63"/>
      <c r="R280" s="38"/>
      <c r="S280" s="38"/>
      <c r="T280" s="38"/>
      <c r="U280" s="163"/>
      <c r="V280" s="79" t="s">
        <v>312</v>
      </c>
      <c r="W280" s="80" t="s">
        <v>303</v>
      </c>
      <c r="X280" s="85">
        <v>2</v>
      </c>
      <c r="AC280" s="12"/>
    </row>
    <row r="281" spans="1:29" x14ac:dyDescent="0.2">
      <c r="A281" s="51"/>
      <c r="B281" s="52"/>
      <c r="C281" s="60" t="s">
        <v>69</v>
      </c>
      <c r="D281" s="73"/>
      <c r="E281" s="147"/>
      <c r="F281" s="152"/>
      <c r="G281" s="106"/>
      <c r="H281" s="107"/>
      <c r="I281" s="153"/>
      <c r="J281" s="77"/>
      <c r="K281" s="60"/>
      <c r="L281" s="59"/>
      <c r="M281" s="54">
        <f t="shared" ref="M281:M326" si="22">$D$5</f>
        <v>4</v>
      </c>
      <c r="N281" s="54">
        <f t="shared" ref="N281:N326" si="23">$D$4</f>
        <v>5</v>
      </c>
      <c r="O281" s="61" t="str">
        <f t="shared" si="20"/>
        <v/>
      </c>
      <c r="P281" s="62" t="str">
        <f t="shared" si="21"/>
        <v/>
      </c>
      <c r="Q281" s="63"/>
      <c r="R281" s="38"/>
      <c r="S281" s="38"/>
      <c r="T281" s="38"/>
      <c r="U281" s="163"/>
      <c r="V281" s="79" t="s">
        <v>312</v>
      </c>
      <c r="W281" s="80" t="s">
        <v>304</v>
      </c>
      <c r="X281" s="85">
        <v>3</v>
      </c>
      <c r="AC281" s="12"/>
    </row>
    <row r="282" spans="1:29" x14ac:dyDescent="0.2">
      <c r="A282" s="51"/>
      <c r="B282" s="52"/>
      <c r="C282" s="60" t="s">
        <v>69</v>
      </c>
      <c r="D282" s="73"/>
      <c r="E282" s="147"/>
      <c r="F282" s="152"/>
      <c r="G282" s="106"/>
      <c r="H282" s="107"/>
      <c r="I282" s="153"/>
      <c r="J282" s="77"/>
      <c r="K282" s="60"/>
      <c r="L282" s="59"/>
      <c r="M282" s="54">
        <f t="shared" si="22"/>
        <v>4</v>
      </c>
      <c r="N282" s="54">
        <f t="shared" si="23"/>
        <v>5</v>
      </c>
      <c r="O282" s="61" t="str">
        <f t="shared" si="20"/>
        <v/>
      </c>
      <c r="P282" s="62" t="str">
        <f t="shared" si="21"/>
        <v/>
      </c>
      <c r="Q282" s="63"/>
      <c r="R282" s="38"/>
      <c r="S282" s="38"/>
      <c r="T282" s="38"/>
      <c r="U282" s="163"/>
      <c r="V282" s="79" t="s">
        <v>312</v>
      </c>
      <c r="W282" s="80" t="s">
        <v>305</v>
      </c>
      <c r="X282" s="85">
        <v>4</v>
      </c>
      <c r="AC282" s="12"/>
    </row>
    <row r="283" spans="1:29" x14ac:dyDescent="0.2">
      <c r="A283" s="51"/>
      <c r="B283" s="52"/>
      <c r="C283" s="60" t="s">
        <v>69</v>
      </c>
      <c r="D283" s="73"/>
      <c r="E283" s="147"/>
      <c r="F283" s="152"/>
      <c r="G283" s="106"/>
      <c r="H283" s="107"/>
      <c r="I283" s="153"/>
      <c r="J283" s="77"/>
      <c r="K283" s="60"/>
      <c r="L283" s="59"/>
      <c r="M283" s="54">
        <f t="shared" si="22"/>
        <v>4</v>
      </c>
      <c r="N283" s="54">
        <f t="shared" si="23"/>
        <v>5</v>
      </c>
      <c r="O283" s="61" t="str">
        <f t="shared" si="20"/>
        <v/>
      </c>
      <c r="P283" s="62" t="str">
        <f t="shared" si="21"/>
        <v/>
      </c>
      <c r="Q283" s="63"/>
      <c r="R283" s="38"/>
      <c r="S283" s="38"/>
      <c r="T283" s="38"/>
      <c r="U283" s="163"/>
      <c r="V283" s="79" t="s">
        <v>312</v>
      </c>
      <c r="W283" s="80" t="s">
        <v>288</v>
      </c>
      <c r="X283" s="85">
        <v>0</v>
      </c>
      <c r="AC283" s="12"/>
    </row>
    <row r="284" spans="1:29" x14ac:dyDescent="0.2">
      <c r="A284" s="51"/>
      <c r="B284" s="52"/>
      <c r="C284" s="60" t="s">
        <v>69</v>
      </c>
      <c r="D284" s="73"/>
      <c r="E284" s="147"/>
      <c r="F284" s="152"/>
      <c r="G284" s="106"/>
      <c r="H284" s="107"/>
      <c r="I284" s="153"/>
      <c r="J284" s="77"/>
      <c r="K284" s="60"/>
      <c r="L284" s="59"/>
      <c r="M284" s="54">
        <f t="shared" si="22"/>
        <v>4</v>
      </c>
      <c r="N284" s="54">
        <f t="shared" si="23"/>
        <v>5</v>
      </c>
      <c r="O284" s="61" t="str">
        <f t="shared" si="20"/>
        <v/>
      </c>
      <c r="P284" s="62" t="str">
        <f t="shared" si="21"/>
        <v/>
      </c>
      <c r="Q284" s="63"/>
      <c r="R284" s="38"/>
      <c r="S284" s="38"/>
      <c r="T284" s="38"/>
      <c r="U284" s="163"/>
      <c r="V284" s="79" t="s">
        <v>312</v>
      </c>
      <c r="W284" s="80" t="s">
        <v>291</v>
      </c>
      <c r="X284" s="85">
        <v>65280</v>
      </c>
      <c r="AC284" s="12"/>
    </row>
    <row r="285" spans="1:29" x14ac:dyDescent="0.2">
      <c r="A285" s="51">
        <v>428</v>
      </c>
      <c r="B285" s="52"/>
      <c r="C285" s="149" t="s">
        <v>313</v>
      </c>
      <c r="D285" s="73"/>
      <c r="E285" s="147" t="s">
        <v>66</v>
      </c>
      <c r="F285" s="152">
        <v>0</v>
      </c>
      <c r="G285" s="106">
        <v>65535</v>
      </c>
      <c r="H285" s="107">
        <v>0</v>
      </c>
      <c r="I285" s="153">
        <v>0.1</v>
      </c>
      <c r="J285" s="126" t="s">
        <v>307</v>
      </c>
      <c r="K285" s="60"/>
      <c r="L285" s="59"/>
      <c r="M285" s="54">
        <f t="shared" si="22"/>
        <v>4</v>
      </c>
      <c r="N285" s="54">
        <f t="shared" si="23"/>
        <v>5</v>
      </c>
      <c r="O285" s="61">
        <f t="shared" si="20"/>
        <v>2476</v>
      </c>
      <c r="P285" s="62" t="str">
        <f t="shared" si="21"/>
        <v>0x09AC</v>
      </c>
      <c r="Q285" s="63" t="s">
        <v>102</v>
      </c>
      <c r="R285" s="38"/>
      <c r="S285" s="38"/>
      <c r="T285" s="38"/>
      <c r="U285" s="163"/>
      <c r="V285" s="12"/>
      <c r="AC285" s="12"/>
    </row>
    <row r="286" spans="1:29" x14ac:dyDescent="0.2">
      <c r="A286" s="51"/>
      <c r="B286" s="52"/>
      <c r="C286" s="149"/>
      <c r="D286" s="73"/>
      <c r="E286" s="147"/>
      <c r="F286" s="152"/>
      <c r="G286" s="106"/>
      <c r="H286" s="107"/>
      <c r="I286" s="153"/>
      <c r="J286" s="77"/>
      <c r="K286" s="60"/>
      <c r="L286" s="59"/>
      <c r="M286" s="54">
        <f t="shared" si="22"/>
        <v>4</v>
      </c>
      <c r="N286" s="54">
        <f t="shared" si="23"/>
        <v>5</v>
      </c>
      <c r="O286" s="61" t="str">
        <f t="shared" si="20"/>
        <v/>
      </c>
      <c r="P286" s="62" t="str">
        <f t="shared" si="21"/>
        <v/>
      </c>
      <c r="Q286" s="63"/>
      <c r="R286" s="38"/>
      <c r="S286" s="38"/>
      <c r="T286" s="38"/>
      <c r="U286" s="163"/>
      <c r="V286" s="12"/>
      <c r="AC286" s="12"/>
    </row>
    <row r="287" spans="1:29" x14ac:dyDescent="0.2">
      <c r="A287" s="51">
        <v>450</v>
      </c>
      <c r="B287" s="52"/>
      <c r="C287" s="59" t="s">
        <v>314</v>
      </c>
      <c r="D287" s="51"/>
      <c r="E287" s="76" t="s">
        <v>39</v>
      </c>
      <c r="F287" s="51">
        <v>0</v>
      </c>
      <c r="G287" s="56">
        <v>3000</v>
      </c>
      <c r="H287" s="57">
        <v>0</v>
      </c>
      <c r="I287" s="78">
        <v>1</v>
      </c>
      <c r="J287" s="53" t="s">
        <v>184</v>
      </c>
      <c r="K287" s="60"/>
      <c r="L287" s="59" t="s">
        <v>315</v>
      </c>
      <c r="M287" s="54">
        <f t="shared" si="22"/>
        <v>4</v>
      </c>
      <c r="N287" s="54">
        <f t="shared" si="23"/>
        <v>5</v>
      </c>
      <c r="O287" s="61">
        <f t="shared" si="20"/>
        <v>2498</v>
      </c>
      <c r="P287" s="62" t="str">
        <f t="shared" si="21"/>
        <v>0x09C2</v>
      </c>
      <c r="Q287" s="63"/>
      <c r="R287" s="38"/>
      <c r="S287" s="38"/>
      <c r="T287" s="38"/>
      <c r="U287" s="163"/>
      <c r="V287" s="12"/>
      <c r="AC287" s="12"/>
    </row>
    <row r="288" spans="1:29" x14ac:dyDescent="0.2">
      <c r="A288" s="51">
        <v>451</v>
      </c>
      <c r="B288" s="52"/>
      <c r="C288" s="59" t="s">
        <v>316</v>
      </c>
      <c r="D288" s="51"/>
      <c r="E288" s="76" t="s">
        <v>39</v>
      </c>
      <c r="F288" s="51">
        <v>0</v>
      </c>
      <c r="G288" s="56">
        <v>3000</v>
      </c>
      <c r="H288" s="57">
        <v>0</v>
      </c>
      <c r="I288" s="78">
        <v>1</v>
      </c>
      <c r="J288" s="53" t="s">
        <v>184</v>
      </c>
      <c r="K288" s="60"/>
      <c r="L288" s="59" t="s">
        <v>317</v>
      </c>
      <c r="M288" s="54">
        <f t="shared" si="22"/>
        <v>4</v>
      </c>
      <c r="N288" s="54">
        <f t="shared" si="23"/>
        <v>5</v>
      </c>
      <c r="O288" s="61">
        <f t="shared" si="20"/>
        <v>2499</v>
      </c>
      <c r="P288" s="62" t="str">
        <f t="shared" si="21"/>
        <v>0x09C3</v>
      </c>
      <c r="Q288" s="63"/>
      <c r="R288" s="38"/>
      <c r="S288" s="38"/>
      <c r="T288" s="38"/>
      <c r="U288" s="69"/>
      <c r="V288" s="12"/>
      <c r="AC288" s="12"/>
    </row>
    <row r="289" spans="1:29" x14ac:dyDescent="0.2">
      <c r="A289" s="51">
        <v>452</v>
      </c>
      <c r="B289" s="52"/>
      <c r="C289" s="59" t="s">
        <v>318</v>
      </c>
      <c r="D289" s="51"/>
      <c r="E289" s="76" t="s">
        <v>39</v>
      </c>
      <c r="F289" s="51">
        <v>0</v>
      </c>
      <c r="G289" s="56">
        <v>3000</v>
      </c>
      <c r="H289" s="57">
        <v>0</v>
      </c>
      <c r="I289" s="78">
        <v>1</v>
      </c>
      <c r="J289" s="53" t="s">
        <v>184</v>
      </c>
      <c r="K289" s="60"/>
      <c r="L289" s="59" t="s">
        <v>319</v>
      </c>
      <c r="M289" s="54">
        <f t="shared" si="22"/>
        <v>4</v>
      </c>
      <c r="N289" s="54">
        <f t="shared" si="23"/>
        <v>5</v>
      </c>
      <c r="O289" s="61">
        <f t="shared" si="20"/>
        <v>2500</v>
      </c>
      <c r="P289" s="62" t="str">
        <f t="shared" si="21"/>
        <v>0x09C4</v>
      </c>
      <c r="Q289" s="63"/>
      <c r="R289" s="38"/>
      <c r="S289" s="38"/>
      <c r="T289" s="38"/>
      <c r="U289" s="38"/>
      <c r="AC289" s="12"/>
    </row>
    <row r="290" spans="1:29" x14ac:dyDescent="0.2">
      <c r="A290" s="51">
        <v>453</v>
      </c>
      <c r="B290" s="52"/>
      <c r="C290" s="59" t="s">
        <v>320</v>
      </c>
      <c r="D290" s="51"/>
      <c r="E290" s="76" t="s">
        <v>39</v>
      </c>
      <c r="F290" s="51">
        <v>0</v>
      </c>
      <c r="G290" s="56">
        <v>3000</v>
      </c>
      <c r="H290" s="57">
        <v>0</v>
      </c>
      <c r="I290" s="78">
        <v>1</v>
      </c>
      <c r="J290" s="53" t="s">
        <v>184</v>
      </c>
      <c r="K290" s="60"/>
      <c r="L290" s="59" t="s">
        <v>321</v>
      </c>
      <c r="M290" s="54">
        <f t="shared" si="22"/>
        <v>4</v>
      </c>
      <c r="N290" s="54">
        <f t="shared" si="23"/>
        <v>5</v>
      </c>
      <c r="O290" s="61">
        <f t="shared" si="20"/>
        <v>2501</v>
      </c>
      <c r="P290" s="62" t="str">
        <f t="shared" si="21"/>
        <v>0x09C5</v>
      </c>
      <c r="Q290" s="63"/>
      <c r="R290" s="38"/>
      <c r="S290" s="38"/>
      <c r="T290" s="38"/>
      <c r="U290" s="38"/>
      <c r="AC290" s="12"/>
    </row>
    <row r="291" spans="1:29" x14ac:dyDescent="0.2">
      <c r="A291" s="51">
        <v>454</v>
      </c>
      <c r="B291" s="52"/>
      <c r="C291" s="59" t="s">
        <v>322</v>
      </c>
      <c r="D291" s="51"/>
      <c r="E291" s="76" t="s">
        <v>39</v>
      </c>
      <c r="F291" s="51">
        <v>0</v>
      </c>
      <c r="G291" s="56">
        <v>3000</v>
      </c>
      <c r="H291" s="57">
        <v>0</v>
      </c>
      <c r="I291" s="78">
        <v>1</v>
      </c>
      <c r="J291" s="53" t="s">
        <v>184</v>
      </c>
      <c r="K291" s="60"/>
      <c r="L291" s="59" t="s">
        <v>323</v>
      </c>
      <c r="M291" s="54">
        <f t="shared" si="22"/>
        <v>4</v>
      </c>
      <c r="N291" s="54">
        <f t="shared" si="23"/>
        <v>5</v>
      </c>
      <c r="O291" s="61">
        <f t="shared" si="20"/>
        <v>2502</v>
      </c>
      <c r="P291" s="62" t="str">
        <f t="shared" si="21"/>
        <v>0x09C6</v>
      </c>
      <c r="Q291" s="63"/>
      <c r="R291" s="38"/>
      <c r="S291" s="38"/>
      <c r="T291" s="38"/>
      <c r="U291" s="38"/>
      <c r="AC291" s="12"/>
    </row>
    <row r="292" spans="1:29" x14ac:dyDescent="0.2">
      <c r="A292" s="51">
        <v>455</v>
      </c>
      <c r="B292" s="52"/>
      <c r="C292" s="59" t="s">
        <v>324</v>
      </c>
      <c r="D292" s="51"/>
      <c r="E292" s="76" t="s">
        <v>39</v>
      </c>
      <c r="F292" s="51">
        <v>0</v>
      </c>
      <c r="G292" s="56">
        <v>3000</v>
      </c>
      <c r="H292" s="57">
        <v>0</v>
      </c>
      <c r="I292" s="78">
        <v>1</v>
      </c>
      <c r="J292" s="53" t="s">
        <v>184</v>
      </c>
      <c r="K292" s="60"/>
      <c r="L292" s="59" t="s">
        <v>325</v>
      </c>
      <c r="M292" s="54">
        <f t="shared" si="22"/>
        <v>4</v>
      </c>
      <c r="N292" s="54">
        <f t="shared" si="23"/>
        <v>5</v>
      </c>
      <c r="O292" s="61">
        <f t="shared" si="20"/>
        <v>2503</v>
      </c>
      <c r="P292" s="62" t="str">
        <f t="shared" si="21"/>
        <v>0x09C7</v>
      </c>
      <c r="Q292" s="63"/>
      <c r="R292" s="38"/>
      <c r="S292" s="38"/>
      <c r="T292" s="38"/>
      <c r="U292" s="38"/>
      <c r="AC292" s="12"/>
    </row>
    <row r="293" spans="1:29" x14ac:dyDescent="0.2">
      <c r="A293" s="51">
        <v>456</v>
      </c>
      <c r="B293" s="52"/>
      <c r="C293" s="59" t="s">
        <v>326</v>
      </c>
      <c r="D293" s="51"/>
      <c r="E293" s="76" t="s">
        <v>39</v>
      </c>
      <c r="F293" s="51">
        <v>0</v>
      </c>
      <c r="G293" s="56">
        <v>3000</v>
      </c>
      <c r="H293" s="57">
        <v>0</v>
      </c>
      <c r="I293" s="78">
        <v>1</v>
      </c>
      <c r="J293" s="53" t="s">
        <v>184</v>
      </c>
      <c r="K293" s="60"/>
      <c r="L293" s="59" t="s">
        <v>327</v>
      </c>
      <c r="M293" s="54">
        <f t="shared" si="22"/>
        <v>4</v>
      </c>
      <c r="N293" s="54">
        <f t="shared" si="23"/>
        <v>5</v>
      </c>
      <c r="O293" s="61">
        <f t="shared" si="20"/>
        <v>2504</v>
      </c>
      <c r="P293" s="62" t="str">
        <f t="shared" si="21"/>
        <v>0x09C8</v>
      </c>
      <c r="Q293" s="63"/>
      <c r="R293" s="38"/>
      <c r="S293" s="38"/>
      <c r="T293" s="38"/>
      <c r="U293" s="38"/>
      <c r="AC293" s="12"/>
    </row>
    <row r="294" spans="1:29" x14ac:dyDescent="0.2">
      <c r="A294" s="51">
        <v>457</v>
      </c>
      <c r="B294" s="52"/>
      <c r="C294" s="59" t="s">
        <v>328</v>
      </c>
      <c r="D294" s="51"/>
      <c r="E294" s="76" t="s">
        <v>39</v>
      </c>
      <c r="F294" s="51">
        <v>0</v>
      </c>
      <c r="G294" s="56">
        <v>3000</v>
      </c>
      <c r="H294" s="57">
        <v>0</v>
      </c>
      <c r="I294" s="78">
        <v>1</v>
      </c>
      <c r="J294" s="53" t="s">
        <v>184</v>
      </c>
      <c r="K294" s="60"/>
      <c r="L294" s="59" t="s">
        <v>329</v>
      </c>
      <c r="M294" s="54">
        <f t="shared" si="22"/>
        <v>4</v>
      </c>
      <c r="N294" s="54">
        <f t="shared" si="23"/>
        <v>5</v>
      </c>
      <c r="O294" s="61">
        <f t="shared" si="20"/>
        <v>2505</v>
      </c>
      <c r="P294" s="62" t="str">
        <f t="shared" si="21"/>
        <v>0x09C9</v>
      </c>
      <c r="Q294" s="63"/>
      <c r="R294" s="38"/>
      <c r="S294" s="38"/>
      <c r="T294" s="38"/>
      <c r="U294" s="38"/>
      <c r="AC294" s="12"/>
    </row>
    <row r="295" spans="1:29" x14ac:dyDescent="0.2">
      <c r="A295" s="51">
        <v>458</v>
      </c>
      <c r="B295" s="52"/>
      <c r="C295" s="59" t="s">
        <v>330</v>
      </c>
      <c r="D295" s="51"/>
      <c r="E295" s="76" t="s">
        <v>39</v>
      </c>
      <c r="F295" s="51">
        <v>0</v>
      </c>
      <c r="G295" s="56">
        <v>3000</v>
      </c>
      <c r="H295" s="57">
        <v>0</v>
      </c>
      <c r="I295" s="78">
        <v>1</v>
      </c>
      <c r="J295" s="53" t="s">
        <v>184</v>
      </c>
      <c r="K295" s="60"/>
      <c r="L295" s="59" t="s">
        <v>331</v>
      </c>
      <c r="M295" s="54">
        <f t="shared" si="22"/>
        <v>4</v>
      </c>
      <c r="N295" s="54">
        <f t="shared" si="23"/>
        <v>5</v>
      </c>
      <c r="O295" s="61">
        <f t="shared" si="20"/>
        <v>2506</v>
      </c>
      <c r="P295" s="62" t="str">
        <f t="shared" si="21"/>
        <v>0x09CA</v>
      </c>
      <c r="Q295" s="63"/>
      <c r="R295" s="38"/>
      <c r="S295" s="38"/>
      <c r="T295" s="38"/>
      <c r="U295" s="38"/>
      <c r="AC295" s="12"/>
    </row>
    <row r="296" spans="1:29" x14ac:dyDescent="0.2">
      <c r="A296" s="51">
        <v>459</v>
      </c>
      <c r="B296" s="52"/>
      <c r="C296" s="59" t="s">
        <v>332</v>
      </c>
      <c r="D296" s="51"/>
      <c r="E296" s="76" t="s">
        <v>39</v>
      </c>
      <c r="F296" s="51">
        <v>0</v>
      </c>
      <c r="G296" s="56">
        <v>3000</v>
      </c>
      <c r="H296" s="57">
        <v>0</v>
      </c>
      <c r="I296" s="78">
        <v>1</v>
      </c>
      <c r="J296" s="53" t="s">
        <v>184</v>
      </c>
      <c r="K296" s="60"/>
      <c r="L296" s="59" t="s">
        <v>333</v>
      </c>
      <c r="M296" s="54">
        <f t="shared" si="22"/>
        <v>4</v>
      </c>
      <c r="N296" s="54">
        <f t="shared" si="23"/>
        <v>5</v>
      </c>
      <c r="O296" s="61">
        <f t="shared" si="20"/>
        <v>2507</v>
      </c>
      <c r="P296" s="62" t="str">
        <f t="shared" si="21"/>
        <v>0x09CB</v>
      </c>
      <c r="Q296" s="63"/>
      <c r="R296" s="38"/>
      <c r="S296" s="38"/>
      <c r="T296" s="38"/>
      <c r="U296" s="38"/>
      <c r="AC296" s="12"/>
    </row>
    <row r="297" spans="1:29" x14ac:dyDescent="0.2">
      <c r="A297" s="51">
        <v>460</v>
      </c>
      <c r="B297" s="52"/>
      <c r="C297" s="59" t="s">
        <v>334</v>
      </c>
      <c r="D297" s="51"/>
      <c r="E297" s="76" t="s">
        <v>39</v>
      </c>
      <c r="F297" s="51">
        <v>0</v>
      </c>
      <c r="G297" s="56">
        <v>3000</v>
      </c>
      <c r="H297" s="57">
        <v>0</v>
      </c>
      <c r="I297" s="78">
        <v>1</v>
      </c>
      <c r="J297" s="53" t="s">
        <v>184</v>
      </c>
      <c r="K297" s="60"/>
      <c r="L297" s="59" t="s">
        <v>335</v>
      </c>
      <c r="M297" s="54">
        <f t="shared" si="22"/>
        <v>4</v>
      </c>
      <c r="N297" s="54">
        <f t="shared" si="23"/>
        <v>5</v>
      </c>
      <c r="O297" s="61">
        <f t="shared" si="20"/>
        <v>2508</v>
      </c>
      <c r="P297" s="62" t="str">
        <f t="shared" si="21"/>
        <v>0x09CC</v>
      </c>
      <c r="Q297" s="63"/>
      <c r="R297" s="38"/>
      <c r="S297" s="38"/>
      <c r="T297" s="38"/>
      <c r="U297" s="38"/>
      <c r="AC297" s="12"/>
    </row>
    <row r="298" spans="1:29" x14ac:dyDescent="0.2">
      <c r="A298" s="51">
        <v>461</v>
      </c>
      <c r="B298" s="52"/>
      <c r="C298" s="59" t="s">
        <v>336</v>
      </c>
      <c r="D298" s="51"/>
      <c r="E298" s="76" t="s">
        <v>39</v>
      </c>
      <c r="F298" s="51">
        <v>0</v>
      </c>
      <c r="G298" s="56">
        <v>3000</v>
      </c>
      <c r="H298" s="57">
        <v>0</v>
      </c>
      <c r="I298" s="78">
        <v>1</v>
      </c>
      <c r="J298" s="53" t="s">
        <v>184</v>
      </c>
      <c r="K298" s="60"/>
      <c r="L298" s="59" t="s">
        <v>337</v>
      </c>
      <c r="M298" s="54">
        <f t="shared" si="22"/>
        <v>4</v>
      </c>
      <c r="N298" s="54">
        <f t="shared" si="23"/>
        <v>5</v>
      </c>
      <c r="O298" s="61">
        <f t="shared" si="20"/>
        <v>2509</v>
      </c>
      <c r="P298" s="62" t="str">
        <f t="shared" si="21"/>
        <v>0x09CD</v>
      </c>
      <c r="Q298" s="63"/>
      <c r="R298" s="38"/>
      <c r="S298" s="38"/>
      <c r="T298" s="38"/>
      <c r="U298" s="38"/>
      <c r="AC298" s="12"/>
    </row>
    <row r="299" spans="1:29" x14ac:dyDescent="0.2">
      <c r="A299" s="51">
        <v>462</v>
      </c>
      <c r="B299" s="52"/>
      <c r="C299" s="59" t="s">
        <v>338</v>
      </c>
      <c r="D299" s="51"/>
      <c r="E299" s="76" t="s">
        <v>39</v>
      </c>
      <c r="F299" s="51">
        <v>0</v>
      </c>
      <c r="G299" s="56">
        <v>3000</v>
      </c>
      <c r="H299" s="57">
        <v>0</v>
      </c>
      <c r="I299" s="78">
        <v>1</v>
      </c>
      <c r="J299" s="53" t="s">
        <v>184</v>
      </c>
      <c r="K299" s="60"/>
      <c r="L299" s="59" t="s">
        <v>339</v>
      </c>
      <c r="M299" s="54">
        <f t="shared" si="22"/>
        <v>4</v>
      </c>
      <c r="N299" s="54">
        <f t="shared" si="23"/>
        <v>5</v>
      </c>
      <c r="O299" s="61">
        <f t="shared" si="20"/>
        <v>2510</v>
      </c>
      <c r="P299" s="62" t="str">
        <f t="shared" si="21"/>
        <v>0x09CE</v>
      </c>
      <c r="Q299" s="70" t="s">
        <v>102</v>
      </c>
      <c r="R299" s="38"/>
      <c r="S299" s="38"/>
      <c r="T299" s="38"/>
      <c r="U299" s="38"/>
      <c r="AC299" s="12"/>
    </row>
    <row r="300" spans="1:29" x14ac:dyDescent="0.2">
      <c r="A300" s="51">
        <v>463</v>
      </c>
      <c r="B300" s="52"/>
      <c r="C300" s="59" t="s">
        <v>340</v>
      </c>
      <c r="D300" s="51"/>
      <c r="E300" s="76" t="s">
        <v>39</v>
      </c>
      <c r="F300" s="51">
        <v>0</v>
      </c>
      <c r="G300" s="56">
        <v>3000</v>
      </c>
      <c r="H300" s="57">
        <v>0</v>
      </c>
      <c r="I300" s="78">
        <v>1</v>
      </c>
      <c r="J300" s="53" t="s">
        <v>184</v>
      </c>
      <c r="K300" s="60"/>
      <c r="L300" s="59" t="s">
        <v>341</v>
      </c>
      <c r="M300" s="54">
        <f t="shared" si="22"/>
        <v>4</v>
      </c>
      <c r="N300" s="54">
        <f t="shared" si="23"/>
        <v>5</v>
      </c>
      <c r="O300" s="61">
        <f t="shared" si="20"/>
        <v>2511</v>
      </c>
      <c r="P300" s="62" t="str">
        <f t="shared" si="21"/>
        <v>0x09CF</v>
      </c>
      <c r="Q300" s="70" t="s">
        <v>102</v>
      </c>
      <c r="R300" s="38"/>
      <c r="S300" s="38"/>
      <c r="T300" s="38"/>
      <c r="U300" s="38"/>
      <c r="AC300" s="12"/>
    </row>
    <row r="301" spans="1:29" x14ac:dyDescent="0.2">
      <c r="A301" s="51">
        <v>464</v>
      </c>
      <c r="B301" s="52"/>
      <c r="C301" s="59" t="s">
        <v>342</v>
      </c>
      <c r="D301" s="51"/>
      <c r="E301" s="76" t="s">
        <v>39</v>
      </c>
      <c r="F301" s="51">
        <v>0</v>
      </c>
      <c r="G301" s="56">
        <v>3000</v>
      </c>
      <c r="H301" s="57">
        <v>0</v>
      </c>
      <c r="I301" s="78">
        <v>1</v>
      </c>
      <c r="J301" s="53" t="s">
        <v>184</v>
      </c>
      <c r="K301" s="60"/>
      <c r="L301" s="59" t="s">
        <v>343</v>
      </c>
      <c r="M301" s="54">
        <f t="shared" si="22"/>
        <v>4</v>
      </c>
      <c r="N301" s="54">
        <f t="shared" si="23"/>
        <v>5</v>
      </c>
      <c r="O301" s="61">
        <f t="shared" si="20"/>
        <v>2512</v>
      </c>
      <c r="P301" s="62" t="str">
        <f t="shared" si="21"/>
        <v>0x09D0</v>
      </c>
      <c r="Q301" s="70" t="s">
        <v>102</v>
      </c>
      <c r="R301" s="38"/>
      <c r="S301" s="38"/>
      <c r="T301" s="38"/>
      <c r="U301" s="38"/>
      <c r="AC301" s="12"/>
    </row>
    <row r="302" spans="1:29" x14ac:dyDescent="0.2">
      <c r="A302" s="51">
        <v>465</v>
      </c>
      <c r="B302" s="52"/>
      <c r="C302" s="59" t="s">
        <v>344</v>
      </c>
      <c r="D302" s="51"/>
      <c r="E302" s="76" t="s">
        <v>39</v>
      </c>
      <c r="F302" s="51">
        <v>0</v>
      </c>
      <c r="G302" s="56">
        <v>3000</v>
      </c>
      <c r="H302" s="57">
        <v>0</v>
      </c>
      <c r="I302" s="78">
        <v>1</v>
      </c>
      <c r="J302" s="53" t="s">
        <v>184</v>
      </c>
      <c r="K302" s="60"/>
      <c r="L302" s="59" t="s">
        <v>345</v>
      </c>
      <c r="M302" s="54">
        <f t="shared" si="22"/>
        <v>4</v>
      </c>
      <c r="N302" s="54">
        <f t="shared" si="23"/>
        <v>5</v>
      </c>
      <c r="O302" s="61">
        <f t="shared" si="20"/>
        <v>2513</v>
      </c>
      <c r="P302" s="62" t="str">
        <f t="shared" si="21"/>
        <v>0x09D1</v>
      </c>
      <c r="Q302" s="70" t="s">
        <v>102</v>
      </c>
      <c r="R302" s="38"/>
      <c r="S302" s="38"/>
      <c r="T302" s="38"/>
      <c r="U302" s="38"/>
      <c r="AC302" s="12"/>
    </row>
    <row r="303" spans="1:29" x14ac:dyDescent="0.2">
      <c r="A303" s="51">
        <v>466</v>
      </c>
      <c r="B303" s="52"/>
      <c r="C303" s="59" t="s">
        <v>346</v>
      </c>
      <c r="D303" s="51"/>
      <c r="E303" s="76" t="s">
        <v>39</v>
      </c>
      <c r="F303" s="51">
        <v>0</v>
      </c>
      <c r="G303" s="56">
        <v>3000</v>
      </c>
      <c r="H303" s="57">
        <v>0</v>
      </c>
      <c r="I303" s="78">
        <v>1</v>
      </c>
      <c r="J303" s="53" t="s">
        <v>184</v>
      </c>
      <c r="K303" s="60"/>
      <c r="L303" s="59" t="s">
        <v>347</v>
      </c>
      <c r="M303" s="54">
        <f t="shared" si="22"/>
        <v>4</v>
      </c>
      <c r="N303" s="54">
        <f t="shared" si="23"/>
        <v>5</v>
      </c>
      <c r="O303" s="61">
        <f t="shared" si="20"/>
        <v>2514</v>
      </c>
      <c r="P303" s="62" t="str">
        <f t="shared" si="21"/>
        <v>0x09D2</v>
      </c>
      <c r="Q303" s="70" t="s">
        <v>102</v>
      </c>
      <c r="R303" s="38"/>
      <c r="S303" s="38"/>
      <c r="T303" s="38"/>
      <c r="U303" s="38"/>
      <c r="AC303" s="12"/>
    </row>
    <row r="304" spans="1:29" x14ac:dyDescent="0.2">
      <c r="A304" s="51">
        <v>467</v>
      </c>
      <c r="B304" s="52"/>
      <c r="C304" s="59" t="s">
        <v>348</v>
      </c>
      <c r="D304" s="51"/>
      <c r="E304" s="76" t="s">
        <v>39</v>
      </c>
      <c r="F304" s="51">
        <v>0</v>
      </c>
      <c r="G304" s="56">
        <v>3000</v>
      </c>
      <c r="H304" s="57">
        <v>0</v>
      </c>
      <c r="I304" s="78">
        <v>1</v>
      </c>
      <c r="J304" s="53" t="s">
        <v>184</v>
      </c>
      <c r="K304" s="60"/>
      <c r="L304" s="59" t="s">
        <v>349</v>
      </c>
      <c r="M304" s="54">
        <f t="shared" si="22"/>
        <v>4</v>
      </c>
      <c r="N304" s="54">
        <f t="shared" si="23"/>
        <v>5</v>
      </c>
      <c r="O304" s="61">
        <f t="shared" si="20"/>
        <v>2515</v>
      </c>
      <c r="P304" s="62" t="str">
        <f t="shared" si="21"/>
        <v>0x09D3</v>
      </c>
      <c r="Q304" s="70" t="s">
        <v>102</v>
      </c>
      <c r="R304" s="38"/>
      <c r="S304" s="38"/>
      <c r="T304" s="38"/>
      <c r="U304" s="38"/>
      <c r="AC304" s="12"/>
    </row>
    <row r="305" spans="1:29" x14ac:dyDescent="0.2">
      <c r="A305" s="51">
        <v>468</v>
      </c>
      <c r="B305" s="52"/>
      <c r="C305" s="59" t="s">
        <v>350</v>
      </c>
      <c r="D305" s="51"/>
      <c r="E305" s="76" t="s">
        <v>39</v>
      </c>
      <c r="F305" s="51">
        <v>0</v>
      </c>
      <c r="G305" s="56">
        <v>3000</v>
      </c>
      <c r="H305" s="57">
        <v>0</v>
      </c>
      <c r="I305" s="78">
        <v>1</v>
      </c>
      <c r="J305" s="53" t="s">
        <v>184</v>
      </c>
      <c r="K305" s="60"/>
      <c r="L305" s="59" t="s">
        <v>351</v>
      </c>
      <c r="M305" s="54">
        <f t="shared" si="22"/>
        <v>4</v>
      </c>
      <c r="N305" s="54">
        <f t="shared" si="23"/>
        <v>5</v>
      </c>
      <c r="O305" s="61">
        <f t="shared" si="20"/>
        <v>2516</v>
      </c>
      <c r="P305" s="62" t="str">
        <f t="shared" si="21"/>
        <v>0x09D4</v>
      </c>
      <c r="Q305" s="70" t="s">
        <v>102</v>
      </c>
      <c r="R305" s="38"/>
      <c r="S305" s="38"/>
      <c r="T305" s="38"/>
      <c r="U305" s="38"/>
      <c r="AC305" s="12"/>
    </row>
    <row r="306" spans="1:29" x14ac:dyDescent="0.2">
      <c r="A306" s="51">
        <v>469</v>
      </c>
      <c r="B306" s="52"/>
      <c r="C306" s="59" t="s">
        <v>352</v>
      </c>
      <c r="D306" s="51"/>
      <c r="E306" s="76" t="s">
        <v>39</v>
      </c>
      <c r="F306" s="51">
        <v>0</v>
      </c>
      <c r="G306" s="56">
        <v>3000</v>
      </c>
      <c r="H306" s="57">
        <v>0</v>
      </c>
      <c r="I306" s="78">
        <v>1</v>
      </c>
      <c r="J306" s="53" t="s">
        <v>184</v>
      </c>
      <c r="K306" s="60"/>
      <c r="L306" s="59" t="s">
        <v>353</v>
      </c>
      <c r="M306" s="54">
        <f t="shared" si="22"/>
        <v>4</v>
      </c>
      <c r="N306" s="54">
        <f t="shared" si="23"/>
        <v>5</v>
      </c>
      <c r="O306" s="61">
        <f t="shared" si="20"/>
        <v>2517</v>
      </c>
      <c r="P306" s="62" t="str">
        <f t="shared" si="21"/>
        <v>0x09D5</v>
      </c>
      <c r="Q306" s="70" t="s">
        <v>102</v>
      </c>
      <c r="R306" s="38"/>
      <c r="S306" s="38"/>
      <c r="T306" s="38"/>
      <c r="U306" s="38"/>
      <c r="AC306" s="12"/>
    </row>
    <row r="307" spans="1:29" x14ac:dyDescent="0.2">
      <c r="A307" s="51">
        <v>470</v>
      </c>
      <c r="B307" s="52"/>
      <c r="C307" s="59" t="s">
        <v>354</v>
      </c>
      <c r="D307" s="51"/>
      <c r="E307" s="76" t="s">
        <v>39</v>
      </c>
      <c r="F307" s="51">
        <v>0</v>
      </c>
      <c r="G307" s="56">
        <v>3000</v>
      </c>
      <c r="H307" s="57">
        <v>0</v>
      </c>
      <c r="I307" s="78">
        <v>1</v>
      </c>
      <c r="J307" s="53" t="s">
        <v>184</v>
      </c>
      <c r="K307" s="60"/>
      <c r="L307" s="59" t="s">
        <v>355</v>
      </c>
      <c r="M307" s="54">
        <f t="shared" si="22"/>
        <v>4</v>
      </c>
      <c r="N307" s="54">
        <f t="shared" si="23"/>
        <v>5</v>
      </c>
      <c r="O307" s="61">
        <f t="shared" si="20"/>
        <v>2518</v>
      </c>
      <c r="P307" s="62" t="str">
        <f t="shared" si="21"/>
        <v>0x09D6</v>
      </c>
      <c r="Q307" s="70" t="s">
        <v>102</v>
      </c>
      <c r="R307" s="38"/>
      <c r="S307" s="38"/>
      <c r="T307" s="38"/>
      <c r="U307" s="38"/>
      <c r="AC307" s="12"/>
    </row>
    <row r="308" spans="1:29" x14ac:dyDescent="0.2">
      <c r="A308" s="51">
        <v>471</v>
      </c>
      <c r="B308" s="52"/>
      <c r="C308" s="59" t="s">
        <v>356</v>
      </c>
      <c r="D308" s="51"/>
      <c r="E308" s="76" t="s">
        <v>39</v>
      </c>
      <c r="F308" s="51">
        <v>0</v>
      </c>
      <c r="G308" s="56">
        <v>3000</v>
      </c>
      <c r="H308" s="57">
        <v>0</v>
      </c>
      <c r="I308" s="78">
        <v>1</v>
      </c>
      <c r="J308" s="53" t="s">
        <v>184</v>
      </c>
      <c r="K308" s="60"/>
      <c r="L308" s="59" t="s">
        <v>357</v>
      </c>
      <c r="M308" s="54">
        <f t="shared" si="22"/>
        <v>4</v>
      </c>
      <c r="N308" s="54">
        <f t="shared" si="23"/>
        <v>5</v>
      </c>
      <c r="O308" s="61">
        <f t="shared" si="20"/>
        <v>2519</v>
      </c>
      <c r="P308" s="62" t="str">
        <f t="shared" si="21"/>
        <v>0x09D7</v>
      </c>
      <c r="Q308" s="70" t="s">
        <v>102</v>
      </c>
      <c r="R308" s="38"/>
      <c r="S308" s="38"/>
      <c r="T308" s="38"/>
      <c r="U308" s="38"/>
      <c r="AC308" s="12"/>
    </row>
    <row r="309" spans="1:29" x14ac:dyDescent="0.2">
      <c r="A309" s="51">
        <v>472</v>
      </c>
      <c r="B309" s="52"/>
      <c r="C309" s="59" t="s">
        <v>358</v>
      </c>
      <c r="D309" s="51"/>
      <c r="E309" s="76" t="s">
        <v>39</v>
      </c>
      <c r="F309" s="51">
        <v>0</v>
      </c>
      <c r="G309" s="56">
        <v>3000</v>
      </c>
      <c r="H309" s="57">
        <v>0</v>
      </c>
      <c r="I309" s="78">
        <v>1</v>
      </c>
      <c r="J309" s="53" t="s">
        <v>184</v>
      </c>
      <c r="K309" s="60"/>
      <c r="L309" s="59" t="s">
        <v>359</v>
      </c>
      <c r="M309" s="54">
        <f t="shared" si="22"/>
        <v>4</v>
      </c>
      <c r="N309" s="54">
        <f t="shared" si="23"/>
        <v>5</v>
      </c>
      <c r="O309" s="61">
        <f t="shared" si="20"/>
        <v>2520</v>
      </c>
      <c r="P309" s="62" t="str">
        <f t="shared" si="21"/>
        <v>0x09D8</v>
      </c>
      <c r="Q309" s="70" t="s">
        <v>102</v>
      </c>
      <c r="R309" s="38"/>
      <c r="S309" s="38"/>
      <c r="T309" s="38"/>
      <c r="U309" s="38"/>
      <c r="AC309" s="12"/>
    </row>
    <row r="310" spans="1:29" x14ac:dyDescent="0.2">
      <c r="A310" s="51">
        <v>473</v>
      </c>
      <c r="B310" s="52"/>
      <c r="C310" s="59" t="s">
        <v>360</v>
      </c>
      <c r="D310" s="51"/>
      <c r="E310" s="76" t="s">
        <v>39</v>
      </c>
      <c r="F310" s="51">
        <v>0</v>
      </c>
      <c r="G310" s="56">
        <v>3000</v>
      </c>
      <c r="H310" s="57">
        <v>0</v>
      </c>
      <c r="I310" s="78">
        <v>1</v>
      </c>
      <c r="J310" s="53" t="s">
        <v>184</v>
      </c>
      <c r="K310" s="60"/>
      <c r="L310" s="59" t="s">
        <v>361</v>
      </c>
      <c r="M310" s="54">
        <f t="shared" si="22"/>
        <v>4</v>
      </c>
      <c r="N310" s="54">
        <f t="shared" si="23"/>
        <v>5</v>
      </c>
      <c r="O310" s="61">
        <f t="shared" si="20"/>
        <v>2521</v>
      </c>
      <c r="P310" s="62" t="str">
        <f t="shared" si="21"/>
        <v>0x09D9</v>
      </c>
      <c r="Q310" s="70" t="s">
        <v>102</v>
      </c>
      <c r="R310" s="38"/>
      <c r="S310" s="38"/>
      <c r="T310" s="38"/>
      <c r="U310" s="38"/>
      <c r="AC310" s="12"/>
    </row>
    <row r="311" spans="1:29" x14ac:dyDescent="0.2">
      <c r="A311" s="51"/>
      <c r="B311" s="52"/>
      <c r="C311" s="59"/>
      <c r="D311" s="51"/>
      <c r="E311" s="76"/>
      <c r="F311" s="51"/>
      <c r="G311" s="56"/>
      <c r="H311" s="57"/>
      <c r="I311" s="78"/>
      <c r="J311" s="53"/>
      <c r="K311" s="60"/>
      <c r="L311" s="80"/>
      <c r="M311" s="54">
        <f t="shared" si="22"/>
        <v>4</v>
      </c>
      <c r="N311" s="54">
        <f t="shared" si="23"/>
        <v>5</v>
      </c>
      <c r="O311" s="61" t="str">
        <f t="shared" si="20"/>
        <v/>
      </c>
      <c r="P311" s="62" t="str">
        <f t="shared" si="21"/>
        <v/>
      </c>
      <c r="Q311" s="63"/>
      <c r="R311" s="38"/>
      <c r="S311" s="38"/>
      <c r="T311" s="38"/>
      <c r="U311" s="38"/>
      <c r="AC311" s="12"/>
    </row>
    <row r="312" spans="1:29" x14ac:dyDescent="0.2">
      <c r="A312" s="51">
        <v>475</v>
      </c>
      <c r="B312" s="52"/>
      <c r="C312" s="59" t="s">
        <v>362</v>
      </c>
      <c r="D312" s="51"/>
      <c r="E312" s="151" t="s">
        <v>39</v>
      </c>
      <c r="F312" s="51">
        <v>0</v>
      </c>
      <c r="G312" s="56">
        <v>31</v>
      </c>
      <c r="H312" s="57">
        <v>0</v>
      </c>
      <c r="I312" s="78">
        <v>1</v>
      </c>
      <c r="J312" s="53"/>
      <c r="K312" s="60"/>
      <c r="L312" s="80" t="s">
        <v>363</v>
      </c>
      <c r="M312" s="54">
        <f t="shared" si="22"/>
        <v>4</v>
      </c>
      <c r="N312" s="54">
        <f t="shared" si="23"/>
        <v>5</v>
      </c>
      <c r="O312" s="61">
        <f t="shared" si="20"/>
        <v>2523</v>
      </c>
      <c r="P312" s="62" t="str">
        <f t="shared" si="21"/>
        <v>0x09DB</v>
      </c>
      <c r="Q312" s="70" t="s">
        <v>102</v>
      </c>
      <c r="R312" s="38"/>
      <c r="S312" s="38"/>
      <c r="T312" s="38"/>
      <c r="U312" s="38"/>
      <c r="AC312" s="12"/>
    </row>
    <row r="313" spans="1:29" x14ac:dyDescent="0.2">
      <c r="A313" s="51"/>
      <c r="B313" s="52"/>
      <c r="C313" s="60" t="s">
        <v>69</v>
      </c>
      <c r="D313" s="73"/>
      <c r="E313" s="76"/>
      <c r="F313" s="73"/>
      <c r="G313" s="106"/>
      <c r="H313" s="107"/>
      <c r="I313" s="150"/>
      <c r="J313" s="77"/>
      <c r="K313" s="60"/>
      <c r="L313" s="161" t="s">
        <v>364</v>
      </c>
      <c r="M313" s="54">
        <f t="shared" si="22"/>
        <v>4</v>
      </c>
      <c r="N313" s="54">
        <f t="shared" si="23"/>
        <v>5</v>
      </c>
      <c r="O313" s="61" t="str">
        <f t="shared" si="20"/>
        <v/>
      </c>
      <c r="P313" s="62" t="str">
        <f t="shared" si="21"/>
        <v/>
      </c>
      <c r="Q313" s="63"/>
      <c r="R313" s="38"/>
      <c r="S313" s="38"/>
      <c r="T313" s="38"/>
      <c r="U313" s="38"/>
      <c r="AC313" s="12"/>
    </row>
    <row r="314" spans="1:29" x14ac:dyDescent="0.2">
      <c r="A314" s="51"/>
      <c r="B314" s="52"/>
      <c r="C314" s="60" t="s">
        <v>69</v>
      </c>
      <c r="D314" s="73"/>
      <c r="E314" s="76"/>
      <c r="F314" s="73"/>
      <c r="G314" s="106"/>
      <c r="H314" s="107"/>
      <c r="I314" s="150"/>
      <c r="J314" s="77"/>
      <c r="K314" s="60"/>
      <c r="L314" s="161" t="s">
        <v>365</v>
      </c>
      <c r="M314" s="54">
        <f t="shared" si="22"/>
        <v>4</v>
      </c>
      <c r="N314" s="54">
        <f t="shared" si="23"/>
        <v>5</v>
      </c>
      <c r="O314" s="61" t="str">
        <f t="shared" si="20"/>
        <v/>
      </c>
      <c r="P314" s="62" t="str">
        <f t="shared" si="21"/>
        <v/>
      </c>
      <c r="Q314" s="63"/>
      <c r="R314" s="38"/>
      <c r="S314" s="38"/>
      <c r="T314" s="38"/>
      <c r="U314" s="38"/>
      <c r="AC314" s="12"/>
    </row>
    <row r="315" spans="1:29" x14ac:dyDescent="0.2">
      <c r="A315" s="51"/>
      <c r="B315" s="52"/>
      <c r="C315" s="60" t="s">
        <v>69</v>
      </c>
      <c r="D315" s="73"/>
      <c r="E315" s="76"/>
      <c r="F315" s="73"/>
      <c r="G315" s="106"/>
      <c r="H315" s="107"/>
      <c r="I315" s="150"/>
      <c r="J315" s="77"/>
      <c r="K315" s="60"/>
      <c r="L315" s="161" t="s">
        <v>366</v>
      </c>
      <c r="M315" s="54">
        <f t="shared" si="22"/>
        <v>4</v>
      </c>
      <c r="N315" s="54">
        <f t="shared" si="23"/>
        <v>5</v>
      </c>
      <c r="O315" s="61" t="str">
        <f t="shared" si="20"/>
        <v/>
      </c>
      <c r="P315" s="62" t="str">
        <f t="shared" si="21"/>
        <v/>
      </c>
      <c r="Q315" s="63"/>
      <c r="R315" s="38"/>
      <c r="S315" s="38"/>
      <c r="T315" s="38"/>
      <c r="U315" s="38"/>
      <c r="AC315" s="12"/>
    </row>
    <row r="316" spans="1:29" x14ac:dyDescent="0.2">
      <c r="A316" s="51"/>
      <c r="B316" s="52"/>
      <c r="C316" s="60" t="s">
        <v>69</v>
      </c>
      <c r="D316" s="73"/>
      <c r="E316" s="76"/>
      <c r="F316" s="73"/>
      <c r="G316" s="106"/>
      <c r="H316" s="107"/>
      <c r="I316" s="150"/>
      <c r="J316" s="77"/>
      <c r="K316" s="60"/>
      <c r="L316" s="161" t="s">
        <v>367</v>
      </c>
      <c r="M316" s="54">
        <f t="shared" si="22"/>
        <v>4</v>
      </c>
      <c r="N316" s="54">
        <f t="shared" si="23"/>
        <v>5</v>
      </c>
      <c r="O316" s="61" t="str">
        <f t="shared" si="20"/>
        <v/>
      </c>
      <c r="P316" s="62" t="str">
        <f t="shared" si="21"/>
        <v/>
      </c>
      <c r="Q316" s="63"/>
      <c r="R316" s="38"/>
      <c r="S316" s="38"/>
      <c r="T316" s="38"/>
      <c r="U316" s="38"/>
      <c r="AC316" s="12"/>
    </row>
    <row r="317" spans="1:29" x14ac:dyDescent="0.2">
      <c r="A317" s="51"/>
      <c r="B317" s="52"/>
      <c r="C317" s="60" t="s">
        <v>69</v>
      </c>
      <c r="D317" s="73"/>
      <c r="E317" s="76"/>
      <c r="F317" s="73"/>
      <c r="G317" s="106"/>
      <c r="H317" s="107"/>
      <c r="I317" s="150"/>
      <c r="J317" s="77"/>
      <c r="K317" s="60"/>
      <c r="L317" s="161" t="s">
        <v>368</v>
      </c>
      <c r="M317" s="54">
        <f t="shared" si="22"/>
        <v>4</v>
      </c>
      <c r="N317" s="54">
        <f t="shared" si="23"/>
        <v>5</v>
      </c>
      <c r="O317" s="61" t="str">
        <f t="shared" si="20"/>
        <v/>
      </c>
      <c r="P317" s="62" t="str">
        <f t="shared" si="21"/>
        <v/>
      </c>
      <c r="Q317" s="63"/>
      <c r="R317" s="38"/>
      <c r="S317" s="38"/>
      <c r="T317" s="38"/>
      <c r="U317" s="38"/>
      <c r="AC317" s="12"/>
    </row>
    <row r="318" spans="1:29" x14ac:dyDescent="0.2">
      <c r="A318" s="214"/>
      <c r="B318" s="210"/>
      <c r="C318" s="211"/>
      <c r="D318" s="73"/>
      <c r="E318" s="76"/>
      <c r="F318" s="73"/>
      <c r="G318" s="106"/>
      <c r="H318" s="107"/>
      <c r="I318" s="150"/>
      <c r="J318" s="77"/>
      <c r="K318" s="211"/>
      <c r="L318" s="161"/>
      <c r="M318" s="54"/>
      <c r="N318" s="54"/>
      <c r="O318" s="61"/>
      <c r="P318" s="62"/>
      <c r="Q318" s="63"/>
      <c r="R318" s="38"/>
      <c r="S318" s="38"/>
      <c r="T318" s="38"/>
      <c r="U318" s="38"/>
      <c r="AC318" s="12"/>
    </row>
    <row r="319" spans="1:29" x14ac:dyDescent="0.2">
      <c r="A319" s="51">
        <v>477</v>
      </c>
      <c r="B319" s="52"/>
      <c r="C319" s="168" t="s">
        <v>369</v>
      </c>
      <c r="D319" s="73"/>
      <c r="E319" s="76" t="s">
        <v>39</v>
      </c>
      <c r="F319" s="73">
        <v>-50</v>
      </c>
      <c r="G319" s="106">
        <v>50</v>
      </c>
      <c r="H319" s="107"/>
      <c r="I319" s="150">
        <v>0.1</v>
      </c>
      <c r="J319" s="77" t="s">
        <v>57</v>
      </c>
      <c r="K319" s="60"/>
      <c r="L319" s="161" t="s">
        <v>64</v>
      </c>
      <c r="M319" s="54">
        <f t="shared" si="22"/>
        <v>4</v>
      </c>
      <c r="N319" s="54">
        <f t="shared" si="23"/>
        <v>5</v>
      </c>
      <c r="O319" s="61">
        <f>IF(A319&lt;&gt;"",M319*2^9+A319,"")</f>
        <v>2525</v>
      </c>
      <c r="P319" s="62" t="str">
        <f>IF(A319&lt;&gt;"","0x" &amp;DEC2HEX( O319,4),"")</f>
        <v>0x09DD</v>
      </c>
      <c r="Q319" s="63"/>
      <c r="R319" s="38"/>
      <c r="S319" s="38"/>
      <c r="T319" s="38"/>
      <c r="U319" s="38"/>
      <c r="AC319" s="12"/>
    </row>
    <row r="320" spans="1:29" x14ac:dyDescent="0.2">
      <c r="A320" s="214">
        <v>478</v>
      </c>
      <c r="B320" s="210"/>
      <c r="C320" s="168" t="s">
        <v>447</v>
      </c>
      <c r="D320" s="73"/>
      <c r="E320" s="76" t="s">
        <v>39</v>
      </c>
      <c r="F320" s="73">
        <v>-50</v>
      </c>
      <c r="G320" s="106">
        <v>50</v>
      </c>
      <c r="H320" s="107"/>
      <c r="I320" s="150">
        <v>0.1</v>
      </c>
      <c r="J320" s="77" t="s">
        <v>57</v>
      </c>
      <c r="K320" s="211"/>
      <c r="L320" s="161" t="s">
        <v>451</v>
      </c>
      <c r="M320" s="54">
        <f t="shared" si="22"/>
        <v>4</v>
      </c>
      <c r="N320" s="54">
        <f t="shared" si="23"/>
        <v>5</v>
      </c>
      <c r="O320" s="61">
        <f>IF(A320&lt;&gt;"",M320*2^9+A320,"")</f>
        <v>2526</v>
      </c>
      <c r="P320" s="62" t="str">
        <f>IF(A320&lt;&gt;"","0x" &amp;DEC2HEX( O320,4),"")</f>
        <v>0x09DE</v>
      </c>
      <c r="Q320" s="63"/>
      <c r="R320" s="38"/>
      <c r="S320" s="38"/>
      <c r="T320" s="38"/>
      <c r="U320" s="38"/>
      <c r="AC320" s="12"/>
    </row>
    <row r="321" spans="1:29" x14ac:dyDescent="0.2">
      <c r="A321" s="214">
        <v>479</v>
      </c>
      <c r="B321" s="210"/>
      <c r="C321" s="168" t="s">
        <v>448</v>
      </c>
      <c r="D321" s="73"/>
      <c r="E321" s="76" t="s">
        <v>39</v>
      </c>
      <c r="F321" s="73">
        <v>-50</v>
      </c>
      <c r="G321" s="106">
        <v>50</v>
      </c>
      <c r="H321" s="107"/>
      <c r="I321" s="150">
        <v>0.1</v>
      </c>
      <c r="J321" s="77" t="s">
        <v>57</v>
      </c>
      <c r="K321" s="211"/>
      <c r="L321" s="161" t="s">
        <v>451</v>
      </c>
      <c r="M321" s="54">
        <f t="shared" si="22"/>
        <v>4</v>
      </c>
      <c r="N321" s="54">
        <f t="shared" si="23"/>
        <v>5</v>
      </c>
      <c r="O321" s="61">
        <f>IF(A321&lt;&gt;"",M321*2^9+A321,"")</f>
        <v>2527</v>
      </c>
      <c r="P321" s="62" t="str">
        <f>IF(A321&lt;&gt;"","0x" &amp;DEC2HEX( O321,4),"")</f>
        <v>0x09DF</v>
      </c>
      <c r="Q321" s="63"/>
      <c r="R321" s="38"/>
      <c r="S321" s="38"/>
      <c r="T321" s="38"/>
      <c r="U321" s="38"/>
      <c r="AC321" s="12"/>
    </row>
    <row r="322" spans="1:29" x14ac:dyDescent="0.2">
      <c r="A322" s="214">
        <v>480</v>
      </c>
      <c r="B322" s="210"/>
      <c r="C322" s="168" t="s">
        <v>449</v>
      </c>
      <c r="D322" s="73"/>
      <c r="E322" s="76" t="s">
        <v>39</v>
      </c>
      <c r="F322" s="73">
        <v>-50</v>
      </c>
      <c r="G322" s="106">
        <v>50</v>
      </c>
      <c r="H322" s="107"/>
      <c r="I322" s="150">
        <v>0.1</v>
      </c>
      <c r="J322" s="77" t="s">
        <v>57</v>
      </c>
      <c r="K322" s="211"/>
      <c r="L322" s="161" t="s">
        <v>451</v>
      </c>
      <c r="M322" s="54">
        <f t="shared" si="22"/>
        <v>4</v>
      </c>
      <c r="N322" s="54">
        <f t="shared" si="23"/>
        <v>5</v>
      </c>
      <c r="O322" s="61">
        <f>IF(A322&lt;&gt;"",M322*2^9+A322,"")</f>
        <v>2528</v>
      </c>
      <c r="P322" s="62" t="str">
        <f>IF(A322&lt;&gt;"","0x" &amp;DEC2HEX( O322,4),"")</f>
        <v>0x09E0</v>
      </c>
      <c r="Q322" s="63"/>
      <c r="R322" s="38"/>
      <c r="S322" s="38"/>
      <c r="T322" s="38"/>
      <c r="U322" s="38"/>
      <c r="AC322" s="12"/>
    </row>
    <row r="323" spans="1:29" x14ac:dyDescent="0.2">
      <c r="A323" s="214">
        <v>481</v>
      </c>
      <c r="B323" s="210"/>
      <c r="C323" s="168" t="s">
        <v>450</v>
      </c>
      <c r="D323" s="73"/>
      <c r="E323" s="76" t="s">
        <v>39</v>
      </c>
      <c r="F323" s="73">
        <v>-50</v>
      </c>
      <c r="G323" s="106">
        <v>50</v>
      </c>
      <c r="H323" s="107"/>
      <c r="I323" s="150">
        <v>0.1</v>
      </c>
      <c r="J323" s="77" t="s">
        <v>57</v>
      </c>
      <c r="K323" s="211"/>
      <c r="L323" s="161" t="s">
        <v>451</v>
      </c>
      <c r="M323" s="54">
        <f t="shared" si="22"/>
        <v>4</v>
      </c>
      <c r="N323" s="54">
        <f t="shared" si="23"/>
        <v>5</v>
      </c>
      <c r="O323" s="61">
        <f>IF(A323&lt;&gt;"",M323*2^9+A323,"")</f>
        <v>2529</v>
      </c>
      <c r="P323" s="62" t="str">
        <f>IF(A323&lt;&gt;"","0x" &amp;DEC2HEX( O323,4),"")</f>
        <v>0x09E1</v>
      </c>
      <c r="Q323" s="63"/>
      <c r="R323" s="38"/>
      <c r="S323" s="38"/>
      <c r="T323" s="38"/>
      <c r="U323" s="38"/>
      <c r="AC323" s="12"/>
    </row>
    <row r="324" spans="1:29" x14ac:dyDescent="0.2">
      <c r="A324" s="219">
        <v>482</v>
      </c>
      <c r="B324" s="210"/>
      <c r="C324" s="220" t="s">
        <v>452</v>
      </c>
      <c r="D324" s="73"/>
      <c r="E324" s="221" t="s">
        <v>66</v>
      </c>
      <c r="F324" s="73">
        <v>0</v>
      </c>
      <c r="G324" s="106">
        <v>3000</v>
      </c>
      <c r="H324" s="107">
        <v>0</v>
      </c>
      <c r="I324" s="150">
        <v>1</v>
      </c>
      <c r="J324" s="126" t="s">
        <v>184</v>
      </c>
      <c r="K324" s="222"/>
      <c r="L324" s="161" t="s">
        <v>453</v>
      </c>
      <c r="M324" s="223">
        <f t="shared" si="22"/>
        <v>4</v>
      </c>
      <c r="N324" s="223">
        <f t="shared" si="23"/>
        <v>5</v>
      </c>
      <c r="O324" s="61">
        <f t="shared" ref="O324" si="24">IF(A324&lt;&gt;"",M324*2^9+A324,"")</f>
        <v>2530</v>
      </c>
      <c r="P324" s="62" t="str">
        <f t="shared" ref="P324" si="25">IF(A324&lt;&gt;"","0x" &amp;DEC2HEX( O324,4),"")</f>
        <v>0x09E2</v>
      </c>
      <c r="Q324" s="63"/>
      <c r="R324" s="38"/>
      <c r="S324" s="38"/>
      <c r="T324" s="38"/>
      <c r="U324" s="38"/>
      <c r="AC324" s="12"/>
    </row>
    <row r="325" spans="1:29" x14ac:dyDescent="0.2">
      <c r="A325" s="51"/>
      <c r="B325" s="52"/>
      <c r="C325" s="59" t="s">
        <v>37</v>
      </c>
      <c r="D325" s="51"/>
      <c r="E325" s="60"/>
      <c r="F325" s="68"/>
      <c r="G325" s="66"/>
      <c r="H325" s="67"/>
      <c r="I325" s="146"/>
      <c r="J325" s="53"/>
      <c r="K325" s="60"/>
      <c r="L325" s="59"/>
      <c r="M325" s="54">
        <f t="shared" si="22"/>
        <v>4</v>
      </c>
      <c r="N325" s="54">
        <f t="shared" si="23"/>
        <v>5</v>
      </c>
      <c r="O325" s="61" t="str">
        <f t="shared" si="20"/>
        <v/>
      </c>
      <c r="P325" s="62" t="str">
        <f t="shared" si="21"/>
        <v/>
      </c>
      <c r="Q325" s="63"/>
      <c r="R325" s="38"/>
      <c r="S325" s="38"/>
      <c r="T325" s="38"/>
      <c r="U325" s="38"/>
      <c r="AC325" s="12"/>
    </row>
    <row r="326" spans="1:29" x14ac:dyDescent="0.2">
      <c r="A326" s="51">
        <v>494</v>
      </c>
      <c r="B326" s="52"/>
      <c r="C326" s="53" t="s">
        <v>370</v>
      </c>
      <c r="D326" s="169"/>
      <c r="E326" s="147" t="s">
        <v>66</v>
      </c>
      <c r="F326" s="169">
        <v>0</v>
      </c>
      <c r="G326" s="170">
        <v>255</v>
      </c>
      <c r="H326" s="171"/>
      <c r="I326" s="147"/>
      <c r="J326" s="172"/>
      <c r="K326" s="173" t="s">
        <v>371</v>
      </c>
      <c r="L326" s="174" t="s">
        <v>372</v>
      </c>
      <c r="M326" s="54">
        <f t="shared" si="22"/>
        <v>4</v>
      </c>
      <c r="N326" s="54">
        <f t="shared" si="23"/>
        <v>5</v>
      </c>
      <c r="O326" s="61">
        <f t="shared" si="20"/>
        <v>2542</v>
      </c>
      <c r="P326" s="62" t="str">
        <f t="shared" si="21"/>
        <v>0x09EE</v>
      </c>
      <c r="Q326" s="63"/>
      <c r="R326" s="38"/>
      <c r="S326" s="38"/>
      <c r="T326" s="38"/>
      <c r="U326" s="38"/>
      <c r="AC326" s="12"/>
    </row>
    <row r="327" spans="1:29" x14ac:dyDescent="0.2">
      <c r="A327" s="51"/>
      <c r="B327" s="175"/>
      <c r="C327" s="53" t="s">
        <v>37</v>
      </c>
      <c r="D327" s="51"/>
      <c r="E327" s="60"/>
      <c r="F327" s="60"/>
      <c r="G327" s="66"/>
      <c r="H327" s="67"/>
      <c r="I327" s="176"/>
      <c r="J327" s="53"/>
      <c r="K327" s="60"/>
      <c r="L327" s="53"/>
      <c r="M327" s="51"/>
      <c r="N327" s="54"/>
      <c r="O327" s="61" t="str">
        <f t="shared" si="20"/>
        <v/>
      </c>
      <c r="P327" s="62" t="str">
        <f t="shared" si="21"/>
        <v/>
      </c>
      <c r="Q327" s="63"/>
      <c r="R327" s="64"/>
      <c r="S327" s="38"/>
      <c r="T327" s="38"/>
      <c r="U327" s="38"/>
      <c r="AC327" s="12"/>
    </row>
    <row r="328" spans="1:29" x14ac:dyDescent="0.2">
      <c r="A328" s="177">
        <v>511</v>
      </c>
      <c r="B328" s="178"/>
      <c r="C328" s="179" t="s">
        <v>373</v>
      </c>
      <c r="D328" s="180"/>
      <c r="E328" s="181" t="s">
        <v>39</v>
      </c>
      <c r="F328" s="182">
        <v>0</v>
      </c>
      <c r="G328" s="182">
        <v>65535</v>
      </c>
      <c r="H328" s="182"/>
      <c r="I328" s="182">
        <v>1</v>
      </c>
      <c r="J328" s="180" t="s">
        <v>374</v>
      </c>
      <c r="K328" s="183" t="s">
        <v>375</v>
      </c>
      <c r="L328" s="179" t="s">
        <v>376</v>
      </c>
      <c r="M328" s="177">
        <v>4</v>
      </c>
      <c r="N328" s="177">
        <v>5</v>
      </c>
      <c r="O328" s="61">
        <f t="shared" si="20"/>
        <v>2559</v>
      </c>
      <c r="P328" s="62" t="str">
        <f t="shared" si="21"/>
        <v>0x09FF</v>
      </c>
      <c r="Q328" s="184"/>
      <c r="R328" s="185"/>
      <c r="S328" s="38"/>
      <c r="T328" s="38"/>
      <c r="U328" s="38"/>
      <c r="AC328" s="12"/>
    </row>
    <row r="329" spans="1:29" x14ac:dyDescent="0.2">
      <c r="A329" s="186" t="s">
        <v>377</v>
      </c>
      <c r="B329" s="175"/>
      <c r="C329" s="110" t="s">
        <v>37</v>
      </c>
      <c r="D329" s="110"/>
      <c r="E329" s="110"/>
      <c r="F329" s="110"/>
      <c r="G329" s="110"/>
      <c r="H329" s="110"/>
      <c r="I329" s="110"/>
      <c r="J329" s="110"/>
      <c r="K329" s="110"/>
      <c r="L329" s="110"/>
      <c r="M329" s="110"/>
      <c r="N329" s="110"/>
      <c r="Q329" s="76"/>
      <c r="R329" s="38"/>
      <c r="S329" s="38"/>
      <c r="T329" s="38"/>
      <c r="U329" s="38"/>
      <c r="AC329" s="12"/>
    </row>
    <row r="330" spans="1:29" x14ac:dyDescent="0.2">
      <c r="A330" s="110"/>
      <c r="B330" s="175"/>
      <c r="C330" s="110" t="s">
        <v>37</v>
      </c>
      <c r="D330" s="110"/>
      <c r="E330" s="110"/>
      <c r="F330" s="110"/>
      <c r="G330" s="110"/>
      <c r="H330" s="110"/>
      <c r="I330" s="110"/>
      <c r="J330" s="110"/>
      <c r="K330" s="110"/>
      <c r="L330" s="110"/>
      <c r="M330" s="110"/>
      <c r="N330" s="110"/>
      <c r="Q330" s="76"/>
      <c r="R330" s="38"/>
      <c r="S330" s="38"/>
      <c r="T330" s="38"/>
      <c r="U330" s="38"/>
      <c r="AC330" s="12"/>
    </row>
    <row r="331" spans="1:29" x14ac:dyDescent="0.2">
      <c r="A331" s="187" t="s">
        <v>378</v>
      </c>
      <c r="B331" s="175"/>
      <c r="C331" s="110" t="s">
        <v>37</v>
      </c>
      <c r="D331" s="110"/>
      <c r="E331" s="110"/>
      <c r="F331" s="110"/>
      <c r="G331" s="187"/>
      <c r="H331" s="187"/>
      <c r="I331" s="110"/>
      <c r="J331" s="186"/>
      <c r="K331" s="110"/>
      <c r="L331" s="110"/>
      <c r="M331" s="110"/>
      <c r="N331" s="110"/>
      <c r="Q331" s="76"/>
      <c r="R331" s="38"/>
      <c r="S331" s="38"/>
      <c r="T331" s="38"/>
      <c r="U331" s="38"/>
      <c r="AC331" s="12"/>
    </row>
    <row r="332" spans="1:29" x14ac:dyDescent="0.2">
      <c r="A332" s="188"/>
      <c r="B332" s="175"/>
      <c r="C332" s="189" t="s">
        <v>379</v>
      </c>
      <c r="D332" s="110"/>
      <c r="E332" s="110"/>
      <c r="F332" s="110"/>
      <c r="G332" s="110"/>
      <c r="H332" s="110"/>
      <c r="I332" s="110"/>
      <c r="J332" s="129"/>
      <c r="K332" s="110"/>
      <c r="L332" s="110"/>
      <c r="M332" s="110"/>
      <c r="N332" s="110"/>
      <c r="Q332" s="76"/>
      <c r="R332" s="38"/>
      <c r="S332" s="38"/>
      <c r="T332" s="38"/>
      <c r="U332" s="38"/>
      <c r="AC332" s="12"/>
    </row>
    <row r="333" spans="1:29" x14ac:dyDescent="0.2">
      <c r="A333" s="110"/>
      <c r="B333" s="175"/>
      <c r="C333" s="189" t="s">
        <v>380</v>
      </c>
      <c r="D333" s="110"/>
      <c r="E333" s="110"/>
      <c r="F333" s="110"/>
      <c r="G333" s="110"/>
      <c r="H333" s="110"/>
      <c r="I333" s="110"/>
      <c r="J333" s="129"/>
      <c r="K333" s="110"/>
      <c r="L333" s="110"/>
      <c r="M333" s="110"/>
      <c r="N333" s="110"/>
      <c r="Q333" s="76"/>
      <c r="R333" s="38"/>
      <c r="S333" s="38"/>
      <c r="T333" s="38"/>
      <c r="U333" s="38"/>
      <c r="AC333" s="12"/>
    </row>
    <row r="334" spans="1:29" x14ac:dyDescent="0.2">
      <c r="A334" s="110"/>
      <c r="B334" s="175"/>
      <c r="C334" s="110" t="s">
        <v>381</v>
      </c>
      <c r="D334" s="110"/>
      <c r="E334" s="110"/>
      <c r="F334" s="110"/>
      <c r="G334" s="110"/>
      <c r="H334" s="110"/>
      <c r="I334" s="110"/>
      <c r="J334" s="129"/>
      <c r="K334" s="110"/>
      <c r="L334" s="110"/>
      <c r="M334" s="110"/>
      <c r="N334" s="110"/>
      <c r="Q334" s="76"/>
      <c r="R334" s="38"/>
      <c r="S334" s="38"/>
      <c r="T334" s="38"/>
      <c r="U334" s="38"/>
      <c r="AC334" s="12"/>
    </row>
    <row r="335" spans="1:29" x14ac:dyDescent="0.2">
      <c r="B335" s="175"/>
      <c r="Q335" s="76"/>
    </row>
    <row r="336" spans="1:29" x14ac:dyDescent="0.2">
      <c r="B336" s="175"/>
      <c r="Q336" s="76"/>
    </row>
    <row r="337" spans="2:17" x14ac:dyDescent="0.2">
      <c r="B337" s="175"/>
      <c r="Q337" s="76"/>
    </row>
    <row r="338" spans="2:17" x14ac:dyDescent="0.2">
      <c r="B338" s="175"/>
      <c r="Q338" s="76"/>
    </row>
    <row r="339" spans="2:17" x14ac:dyDescent="0.2">
      <c r="B339" s="175"/>
      <c r="Q339" s="76"/>
    </row>
    <row r="340" spans="2:17" x14ac:dyDescent="0.2">
      <c r="B340" s="175"/>
      <c r="Q340" s="76"/>
    </row>
    <row r="341" spans="2:17" x14ac:dyDescent="0.2">
      <c r="B341" s="175"/>
      <c r="Q341" s="76"/>
    </row>
    <row r="342" spans="2:17" x14ac:dyDescent="0.2">
      <c r="B342" s="175"/>
      <c r="Q342" s="76"/>
    </row>
    <row r="343" spans="2:17" x14ac:dyDescent="0.2">
      <c r="B343" s="175"/>
      <c r="Q343" s="76"/>
    </row>
    <row r="344" spans="2:17" x14ac:dyDescent="0.2">
      <c r="B344" s="175"/>
      <c r="Q344" s="76"/>
    </row>
    <row r="345" spans="2:17" x14ac:dyDescent="0.2">
      <c r="B345" s="175"/>
      <c r="Q345" s="76"/>
    </row>
    <row r="346" spans="2:17" x14ac:dyDescent="0.2">
      <c r="B346" s="175"/>
      <c r="Q346" s="76"/>
    </row>
    <row r="347" spans="2:17" x14ac:dyDescent="0.2">
      <c r="B347" s="175"/>
      <c r="Q347" s="76"/>
    </row>
    <row r="348" spans="2:17" x14ac:dyDescent="0.2">
      <c r="B348" s="175"/>
      <c r="Q348" s="76"/>
    </row>
    <row r="349" spans="2:17" x14ac:dyDescent="0.2">
      <c r="B349" s="175"/>
      <c r="Q349" s="76"/>
    </row>
    <row r="350" spans="2:17" x14ac:dyDescent="0.2">
      <c r="B350" s="175"/>
      <c r="Q350" s="76"/>
    </row>
    <row r="351" spans="2:17" x14ac:dyDescent="0.2">
      <c r="B351" s="175"/>
      <c r="Q351" s="76"/>
    </row>
    <row r="352" spans="2:17" x14ac:dyDescent="0.2">
      <c r="B352" s="175"/>
      <c r="Q352" s="76"/>
    </row>
    <row r="353" spans="2:17" x14ac:dyDescent="0.2">
      <c r="B353" s="175"/>
      <c r="Q353" s="76"/>
    </row>
    <row r="354" spans="2:17" x14ac:dyDescent="0.2">
      <c r="B354" s="175"/>
      <c r="Q354" s="76"/>
    </row>
    <row r="355" spans="2:17" x14ac:dyDescent="0.2">
      <c r="B355" s="175"/>
      <c r="Q355" s="76"/>
    </row>
    <row r="356" spans="2:17" x14ac:dyDescent="0.2">
      <c r="B356" s="175"/>
      <c r="Q356" s="76"/>
    </row>
    <row r="357" spans="2:17" x14ac:dyDescent="0.2">
      <c r="B357" s="175"/>
      <c r="Q357" s="76"/>
    </row>
    <row r="358" spans="2:17" x14ac:dyDescent="0.2">
      <c r="B358" s="175"/>
      <c r="Q358" s="76"/>
    </row>
    <row r="359" spans="2:17" x14ac:dyDescent="0.2">
      <c r="B359" s="175"/>
      <c r="Q359" s="76"/>
    </row>
    <row r="360" spans="2:17" x14ac:dyDescent="0.2">
      <c r="B360" s="175"/>
      <c r="Q360" s="76"/>
    </row>
    <row r="361" spans="2:17" x14ac:dyDescent="0.2">
      <c r="B361" s="175"/>
      <c r="Q361" s="76"/>
    </row>
    <row r="362" spans="2:17" x14ac:dyDescent="0.2">
      <c r="B362" s="175"/>
      <c r="Q362" s="76"/>
    </row>
    <row r="363" spans="2:17" x14ac:dyDescent="0.2">
      <c r="B363" s="190"/>
      <c r="Q363" s="76"/>
    </row>
    <row r="364" spans="2:17" x14ac:dyDescent="0.2">
      <c r="B364" s="190"/>
      <c r="Q364" s="76"/>
    </row>
    <row r="365" spans="2:17" x14ac:dyDescent="0.2">
      <c r="B365" s="175"/>
      <c r="Q365" s="76"/>
    </row>
    <row r="366" spans="2:17" x14ac:dyDescent="0.2">
      <c r="B366" s="175"/>
      <c r="Q366" s="76"/>
    </row>
    <row r="367" spans="2:17" x14ac:dyDescent="0.2">
      <c r="B367" s="175"/>
      <c r="Q367" s="76"/>
    </row>
    <row r="368" spans="2:17" x14ac:dyDescent="0.2">
      <c r="B368" s="175"/>
      <c r="Q368" s="76"/>
    </row>
    <row r="369" spans="2:17" x14ac:dyDescent="0.2">
      <c r="B369" s="175"/>
      <c r="Q369" s="76"/>
    </row>
    <row r="370" spans="2:17" x14ac:dyDescent="0.2">
      <c r="B370" s="175"/>
      <c r="Q370" s="76"/>
    </row>
    <row r="371" spans="2:17" x14ac:dyDescent="0.2">
      <c r="B371" s="175"/>
      <c r="Q371" s="76"/>
    </row>
    <row r="372" spans="2:17" x14ac:dyDescent="0.2">
      <c r="B372" s="175"/>
      <c r="Q372" s="76"/>
    </row>
    <row r="373" spans="2:17" x14ac:dyDescent="0.2">
      <c r="B373" s="175"/>
      <c r="Q373" s="76"/>
    </row>
    <row r="374" spans="2:17" x14ac:dyDescent="0.2">
      <c r="B374" s="175"/>
      <c r="Q374" s="76"/>
    </row>
    <row r="375" spans="2:17" x14ac:dyDescent="0.2">
      <c r="B375" s="175"/>
      <c r="Q375" s="76"/>
    </row>
    <row r="376" spans="2:17" x14ac:dyDescent="0.2">
      <c r="B376" s="175"/>
      <c r="Q376" s="76"/>
    </row>
    <row r="377" spans="2:17" x14ac:dyDescent="0.2">
      <c r="B377" s="175"/>
      <c r="Q377" s="76"/>
    </row>
    <row r="378" spans="2:17" x14ac:dyDescent="0.2">
      <c r="B378" s="175"/>
      <c r="Q378" s="76"/>
    </row>
    <row r="379" spans="2:17" x14ac:dyDescent="0.2">
      <c r="B379" s="175"/>
      <c r="Q379" s="76"/>
    </row>
    <row r="380" spans="2:17" x14ac:dyDescent="0.2">
      <c r="B380" s="175"/>
      <c r="Q380" s="76"/>
    </row>
    <row r="381" spans="2:17" x14ac:dyDescent="0.2">
      <c r="B381" s="175"/>
      <c r="Q381" s="76"/>
    </row>
    <row r="382" spans="2:17" x14ac:dyDescent="0.2">
      <c r="B382" s="175"/>
      <c r="Q382" s="76"/>
    </row>
    <row r="383" spans="2:17" x14ac:dyDescent="0.2">
      <c r="B383" s="175"/>
      <c r="Q383" s="76"/>
    </row>
    <row r="384" spans="2:17" x14ac:dyDescent="0.2">
      <c r="B384" s="175"/>
      <c r="Q384" s="76"/>
    </row>
    <row r="385" spans="2:17" x14ac:dyDescent="0.2">
      <c r="B385" s="175"/>
      <c r="Q385" s="76"/>
    </row>
    <row r="386" spans="2:17" x14ac:dyDescent="0.2">
      <c r="B386" s="175"/>
      <c r="Q386" s="76"/>
    </row>
    <row r="387" spans="2:17" x14ac:dyDescent="0.2">
      <c r="B387" s="175"/>
      <c r="Q387" s="76"/>
    </row>
    <row r="388" spans="2:17" x14ac:dyDescent="0.2">
      <c r="B388" s="175"/>
      <c r="Q388" s="76"/>
    </row>
    <row r="389" spans="2:17" x14ac:dyDescent="0.2">
      <c r="B389" s="175"/>
      <c r="Q389" s="76"/>
    </row>
    <row r="390" spans="2:17" x14ac:dyDescent="0.2">
      <c r="B390" s="175"/>
      <c r="Q390" s="76"/>
    </row>
    <row r="391" spans="2:17" x14ac:dyDescent="0.2">
      <c r="B391" s="175"/>
      <c r="Q391" s="76"/>
    </row>
    <row r="392" spans="2:17" x14ac:dyDescent="0.2">
      <c r="B392" s="175"/>
      <c r="Q392" s="76"/>
    </row>
    <row r="393" spans="2:17" x14ac:dyDescent="0.2">
      <c r="B393" s="175"/>
      <c r="Q393" s="76"/>
    </row>
    <row r="394" spans="2:17" x14ac:dyDescent="0.2">
      <c r="B394" s="175"/>
      <c r="Q394" s="76"/>
    </row>
    <row r="395" spans="2:17" x14ac:dyDescent="0.2">
      <c r="B395" s="175"/>
      <c r="Q395" s="76"/>
    </row>
    <row r="396" spans="2:17" x14ac:dyDescent="0.2">
      <c r="B396" s="175"/>
      <c r="Q396" s="76"/>
    </row>
    <row r="397" spans="2:17" x14ac:dyDescent="0.2">
      <c r="B397" s="175"/>
      <c r="Q397" s="76"/>
    </row>
    <row r="398" spans="2:17" x14ac:dyDescent="0.2">
      <c r="B398" s="175"/>
      <c r="Q398" s="76"/>
    </row>
    <row r="399" spans="2:17" x14ac:dyDescent="0.2">
      <c r="B399" s="175"/>
      <c r="Q399" s="76"/>
    </row>
    <row r="400" spans="2:17" x14ac:dyDescent="0.2">
      <c r="B400" s="175"/>
      <c r="Q400" s="76"/>
    </row>
    <row r="401" spans="2:17" x14ac:dyDescent="0.2">
      <c r="B401" s="175"/>
      <c r="Q401" s="76"/>
    </row>
    <row r="402" spans="2:17" x14ac:dyDescent="0.2">
      <c r="Q402" s="76"/>
    </row>
    <row r="403" spans="2:17" x14ac:dyDescent="0.2">
      <c r="B403" s="191"/>
      <c r="Q403" s="76"/>
    </row>
    <row r="404" spans="2:17" x14ac:dyDescent="0.2">
      <c r="B404" s="191"/>
      <c r="Q404" s="76"/>
    </row>
    <row r="405" spans="2:17" x14ac:dyDescent="0.2">
      <c r="B405" s="191"/>
      <c r="Q405" s="76"/>
    </row>
    <row r="406" spans="2:17" x14ac:dyDescent="0.2">
      <c r="B406" s="191"/>
      <c r="Q406" s="76"/>
    </row>
    <row r="407" spans="2:17" x14ac:dyDescent="0.2">
      <c r="B407" s="191"/>
      <c r="Q407" s="76"/>
    </row>
    <row r="408" spans="2:17" x14ac:dyDescent="0.2">
      <c r="B408" s="191"/>
      <c r="Q408" s="76"/>
    </row>
    <row r="409" spans="2:17" x14ac:dyDescent="0.2">
      <c r="B409" s="191"/>
      <c r="Q409" s="76"/>
    </row>
    <row r="410" spans="2:17" x14ac:dyDescent="0.2">
      <c r="B410" s="191"/>
      <c r="Q410" s="76"/>
    </row>
    <row r="411" spans="2:17" x14ac:dyDescent="0.2">
      <c r="B411" s="191"/>
      <c r="Q411" s="76"/>
    </row>
    <row r="412" spans="2:17" x14ac:dyDescent="0.2">
      <c r="B412" s="191"/>
      <c r="Q412" s="76"/>
    </row>
    <row r="413" spans="2:17" x14ac:dyDescent="0.2">
      <c r="B413" s="191"/>
      <c r="Q413" s="76"/>
    </row>
    <row r="414" spans="2:17" x14ac:dyDescent="0.2">
      <c r="B414" s="191"/>
      <c r="Q414" s="76"/>
    </row>
    <row r="415" spans="2:17" x14ac:dyDescent="0.2">
      <c r="B415" s="191"/>
      <c r="Q415" s="76"/>
    </row>
    <row r="416" spans="2:17" x14ac:dyDescent="0.2">
      <c r="B416" s="191"/>
      <c r="Q416" s="76"/>
    </row>
    <row r="417" spans="2:17" x14ac:dyDescent="0.2">
      <c r="B417" s="191"/>
      <c r="Q417" s="76"/>
    </row>
    <row r="418" spans="2:17" x14ac:dyDescent="0.2">
      <c r="B418" s="191"/>
      <c r="Q418" s="76"/>
    </row>
    <row r="419" spans="2:17" x14ac:dyDescent="0.2">
      <c r="B419" s="191"/>
      <c r="Q419" s="76"/>
    </row>
    <row r="420" spans="2:17" x14ac:dyDescent="0.2">
      <c r="B420" s="191"/>
      <c r="Q420" s="76"/>
    </row>
    <row r="421" spans="2:17" x14ac:dyDescent="0.2">
      <c r="B421" s="191"/>
      <c r="Q421" s="76"/>
    </row>
    <row r="422" spans="2:17" x14ac:dyDescent="0.2">
      <c r="B422" s="191"/>
      <c r="Q422" s="76"/>
    </row>
    <row r="423" spans="2:17" x14ac:dyDescent="0.2">
      <c r="B423" s="191"/>
      <c r="Q423" s="76"/>
    </row>
    <row r="424" spans="2:17" x14ac:dyDescent="0.2">
      <c r="B424" s="191"/>
      <c r="Q424" s="76"/>
    </row>
    <row r="425" spans="2:17" x14ac:dyDescent="0.2">
      <c r="B425" s="191"/>
      <c r="Q425" s="76"/>
    </row>
    <row r="426" spans="2:17" x14ac:dyDescent="0.2">
      <c r="B426" s="191"/>
      <c r="Q426" s="76"/>
    </row>
    <row r="427" spans="2:17" x14ac:dyDescent="0.2">
      <c r="B427" s="191"/>
      <c r="Q427" s="76"/>
    </row>
    <row r="428" spans="2:17" x14ac:dyDescent="0.2">
      <c r="B428" s="191"/>
      <c r="Q428" s="76"/>
    </row>
    <row r="429" spans="2:17" x14ac:dyDescent="0.2">
      <c r="B429" s="191"/>
      <c r="Q429" s="76"/>
    </row>
    <row r="430" spans="2:17" x14ac:dyDescent="0.2">
      <c r="B430" s="191"/>
      <c r="Q430" s="76"/>
    </row>
    <row r="431" spans="2:17" x14ac:dyDescent="0.2">
      <c r="B431" s="191"/>
      <c r="Q431" s="76"/>
    </row>
    <row r="432" spans="2:17" x14ac:dyDescent="0.2">
      <c r="B432" s="191"/>
      <c r="Q432" s="76"/>
    </row>
    <row r="433" spans="2:17" x14ac:dyDescent="0.2">
      <c r="B433" s="191"/>
      <c r="Q433" s="76"/>
    </row>
    <row r="434" spans="2:17" x14ac:dyDescent="0.2">
      <c r="B434" s="191"/>
      <c r="Q434" s="76"/>
    </row>
    <row r="435" spans="2:17" x14ac:dyDescent="0.2">
      <c r="Q435" s="76"/>
    </row>
    <row r="436" spans="2:17" x14ac:dyDescent="0.2">
      <c r="B436" s="191"/>
      <c r="Q436" s="76"/>
    </row>
    <row r="437" spans="2:17" x14ac:dyDescent="0.2">
      <c r="B437" s="191"/>
      <c r="Q437" s="76"/>
    </row>
    <row r="438" spans="2:17" x14ac:dyDescent="0.2">
      <c r="B438" s="191"/>
      <c r="Q438" s="76"/>
    </row>
    <row r="439" spans="2:17" x14ac:dyDescent="0.2">
      <c r="B439" s="191"/>
      <c r="Q439" s="76"/>
    </row>
    <row r="440" spans="2:17" x14ac:dyDescent="0.2">
      <c r="B440" s="191"/>
      <c r="Q440" s="76"/>
    </row>
    <row r="441" spans="2:17" x14ac:dyDescent="0.2">
      <c r="B441" s="191"/>
      <c r="Q441" s="76"/>
    </row>
    <row r="442" spans="2:17" x14ac:dyDescent="0.2">
      <c r="B442" s="191"/>
      <c r="Q442" s="76"/>
    </row>
    <row r="443" spans="2:17" x14ac:dyDescent="0.2">
      <c r="B443" s="191"/>
      <c r="Q443" s="76"/>
    </row>
    <row r="444" spans="2:17" x14ac:dyDescent="0.2">
      <c r="B444" s="191"/>
      <c r="Q444" s="76"/>
    </row>
    <row r="445" spans="2:17" x14ac:dyDescent="0.2">
      <c r="B445" s="191"/>
      <c r="Q445" s="76"/>
    </row>
    <row r="446" spans="2:17" x14ac:dyDescent="0.2">
      <c r="B446" s="191"/>
      <c r="Q446" s="76"/>
    </row>
    <row r="447" spans="2:17" x14ac:dyDescent="0.2">
      <c r="B447" s="191"/>
      <c r="Q447" s="76"/>
    </row>
    <row r="448" spans="2:17" x14ac:dyDescent="0.2">
      <c r="B448" s="191"/>
      <c r="Q448" s="76"/>
    </row>
    <row r="449" spans="2:17" x14ac:dyDescent="0.2">
      <c r="B449" s="191"/>
      <c r="Q449" s="76"/>
    </row>
    <row r="450" spans="2:17" x14ac:dyDescent="0.2">
      <c r="B450" s="191"/>
      <c r="Q450" s="76"/>
    </row>
    <row r="451" spans="2:17" x14ac:dyDescent="0.2">
      <c r="B451" s="191"/>
      <c r="Q451" s="76"/>
    </row>
    <row r="452" spans="2:17" x14ac:dyDescent="0.2">
      <c r="B452" s="191"/>
      <c r="Q452" s="76"/>
    </row>
    <row r="453" spans="2:17" x14ac:dyDescent="0.2">
      <c r="B453" s="191"/>
      <c r="Q453" s="76"/>
    </row>
    <row r="454" spans="2:17" x14ac:dyDescent="0.2">
      <c r="B454" s="191"/>
      <c r="Q454" s="76"/>
    </row>
    <row r="455" spans="2:17" x14ac:dyDescent="0.2">
      <c r="Q455" s="76"/>
    </row>
    <row r="456" spans="2:17" x14ac:dyDescent="0.2">
      <c r="Q456" s="76"/>
    </row>
    <row r="457" spans="2:17" x14ac:dyDescent="0.2">
      <c r="B457" s="191"/>
      <c r="Q457" s="76"/>
    </row>
    <row r="458" spans="2:17" x14ac:dyDescent="0.2">
      <c r="B458" s="191"/>
      <c r="Q458" s="76"/>
    </row>
    <row r="459" spans="2:17" x14ac:dyDescent="0.2">
      <c r="B459" s="191"/>
      <c r="Q459" s="76"/>
    </row>
    <row r="460" spans="2:17" x14ac:dyDescent="0.2">
      <c r="B460" s="191"/>
      <c r="Q460" s="76"/>
    </row>
    <row r="461" spans="2:17" x14ac:dyDescent="0.2">
      <c r="B461" s="191"/>
      <c r="Q461" s="76"/>
    </row>
    <row r="462" spans="2:17" x14ac:dyDescent="0.2">
      <c r="B462" s="191"/>
      <c r="Q462" s="76"/>
    </row>
    <row r="463" spans="2:17" x14ac:dyDescent="0.2">
      <c r="B463" s="191"/>
      <c r="Q463" s="76"/>
    </row>
    <row r="464" spans="2:17" x14ac:dyDescent="0.2">
      <c r="Q464" s="76"/>
    </row>
    <row r="465" spans="2:17" x14ac:dyDescent="0.2">
      <c r="Q465" s="76"/>
    </row>
    <row r="466" spans="2:17" x14ac:dyDescent="0.2">
      <c r="B466" s="191"/>
      <c r="Q466" s="76"/>
    </row>
    <row r="467" spans="2:17" x14ac:dyDescent="0.2">
      <c r="B467" s="191"/>
      <c r="Q467" s="76"/>
    </row>
    <row r="468" spans="2:17" x14ac:dyDescent="0.2">
      <c r="B468" s="191"/>
      <c r="Q468" s="76"/>
    </row>
    <row r="469" spans="2:17" x14ac:dyDescent="0.2">
      <c r="B469" s="191"/>
      <c r="Q469" s="76"/>
    </row>
    <row r="470" spans="2:17" x14ac:dyDescent="0.2">
      <c r="B470" s="191"/>
      <c r="Q470" s="76"/>
    </row>
    <row r="471" spans="2:17" x14ac:dyDescent="0.2">
      <c r="B471" s="191"/>
      <c r="Q471" s="76"/>
    </row>
    <row r="472" spans="2:17" x14ac:dyDescent="0.2">
      <c r="B472" s="191"/>
      <c r="Q472" s="76"/>
    </row>
    <row r="473" spans="2:17" x14ac:dyDescent="0.2">
      <c r="B473" s="191"/>
      <c r="Q473" s="76"/>
    </row>
    <row r="474" spans="2:17" x14ac:dyDescent="0.2">
      <c r="B474" s="191"/>
      <c r="Q474" s="76"/>
    </row>
    <row r="475" spans="2:17" x14ac:dyDescent="0.2">
      <c r="B475" s="191"/>
      <c r="Q475" s="76"/>
    </row>
    <row r="476" spans="2:17" x14ac:dyDescent="0.2">
      <c r="B476" s="191"/>
      <c r="Q476" s="76"/>
    </row>
    <row r="477" spans="2:17" x14ac:dyDescent="0.2">
      <c r="Q477" s="76"/>
    </row>
    <row r="478" spans="2:17" x14ac:dyDescent="0.2">
      <c r="Q478" s="76"/>
    </row>
    <row r="479" spans="2:17" x14ac:dyDescent="0.2">
      <c r="B479" s="191"/>
      <c r="Q479" s="76"/>
    </row>
    <row r="480" spans="2:17" x14ac:dyDescent="0.2">
      <c r="B480" s="191"/>
    </row>
    <row r="481" spans="2:2" x14ac:dyDescent="0.2">
      <c r="B481" s="191"/>
    </row>
    <row r="482" spans="2:2" x14ac:dyDescent="0.2">
      <c r="B482" s="191"/>
    </row>
    <row r="483" spans="2:2" x14ac:dyDescent="0.2">
      <c r="B483" s="191"/>
    </row>
    <row r="484" spans="2:2" x14ac:dyDescent="0.2">
      <c r="B484" s="191"/>
    </row>
    <row r="485" spans="2:2" x14ac:dyDescent="0.2">
      <c r="B485" s="191"/>
    </row>
    <row r="488" spans="2:2" x14ac:dyDescent="0.2">
      <c r="B488" s="191"/>
    </row>
    <row r="489" spans="2:2" x14ac:dyDescent="0.2">
      <c r="B489" s="191"/>
    </row>
    <row r="490" spans="2:2" x14ac:dyDescent="0.2">
      <c r="B490" s="191"/>
    </row>
    <row r="491" spans="2:2" x14ac:dyDescent="0.2">
      <c r="B491" s="191"/>
    </row>
    <row r="492" spans="2:2" x14ac:dyDescent="0.2">
      <c r="B492" s="191"/>
    </row>
    <row r="493" spans="2:2" x14ac:dyDescent="0.2">
      <c r="B493" s="191"/>
    </row>
    <row r="494" spans="2:2" x14ac:dyDescent="0.2">
      <c r="B494" s="191"/>
    </row>
    <row r="495" spans="2:2" x14ac:dyDescent="0.2">
      <c r="B495" s="190"/>
    </row>
    <row r="496" spans="2:2" x14ac:dyDescent="0.2">
      <c r="B496" s="190"/>
    </row>
    <row r="497" spans="2:2" x14ac:dyDescent="0.2">
      <c r="B497" s="190"/>
    </row>
    <row r="498" spans="2:2" x14ac:dyDescent="0.2">
      <c r="B498" s="190"/>
    </row>
    <row r="499" spans="2:2" x14ac:dyDescent="0.2">
      <c r="B499" s="190"/>
    </row>
    <row r="500" spans="2:2" x14ac:dyDescent="0.2">
      <c r="B500" s="190"/>
    </row>
    <row r="501" spans="2:2" x14ac:dyDescent="0.2">
      <c r="B501" s="190"/>
    </row>
    <row r="502" spans="2:2" x14ac:dyDescent="0.2">
      <c r="B502" s="190"/>
    </row>
    <row r="503" spans="2:2" x14ac:dyDescent="0.2">
      <c r="B503" s="190"/>
    </row>
    <row r="504" spans="2:2" x14ac:dyDescent="0.2">
      <c r="B504" s="190"/>
    </row>
    <row r="505" spans="2:2" x14ac:dyDescent="0.2">
      <c r="B505" s="190"/>
    </row>
    <row r="506" spans="2:2" x14ac:dyDescent="0.2">
      <c r="B506" s="190"/>
    </row>
    <row r="507" spans="2:2" x14ac:dyDescent="0.2">
      <c r="B507" s="192"/>
    </row>
    <row r="508" spans="2:2" ht="13.5" thickBot="1" x14ac:dyDescent="0.25">
      <c r="B508" s="192"/>
    </row>
    <row r="509" spans="2:2" ht="13.5" thickBot="1" x14ac:dyDescent="0.25">
      <c r="B509" s="193"/>
    </row>
    <row r="512" spans="2:2" x14ac:dyDescent="0.2">
      <c r="B512" s="194"/>
    </row>
    <row r="513" spans="2:2" x14ac:dyDescent="0.2">
      <c r="B513" s="195"/>
    </row>
    <row r="519" spans="2:2" x14ac:dyDescent="0.2">
      <c r="B519" s="194"/>
    </row>
    <row r="521" spans="2:2" x14ac:dyDescent="0.2">
      <c r="B521" s="194"/>
    </row>
    <row r="537" spans="2:2" x14ac:dyDescent="0.2">
      <c r="B537" s="194"/>
    </row>
    <row r="546" spans="2:2" x14ac:dyDescent="0.2">
      <c r="B546" s="194"/>
    </row>
  </sheetData>
  <mergeCells count="10">
    <mergeCell ref="O8:P8"/>
    <mergeCell ref="Q8:Q9"/>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1038" r:id="rId4" name="btnGenerate">
          <controlPr defaultSize="0" autoLine="0" r:id="rId5">
            <anchor moveWithCells="1">
              <from>
                <xdr:col>4</xdr:col>
                <xdr:colOff>523875</xdr:colOff>
                <xdr:row>2</xdr:row>
                <xdr:rowOff>66675</xdr:rowOff>
              </from>
              <to>
                <xdr:col>7</xdr:col>
                <xdr:colOff>438150</xdr:colOff>
                <xdr:row>3</xdr:row>
                <xdr:rowOff>200025</xdr:rowOff>
              </to>
            </anchor>
          </controlPr>
        </control>
      </mc:Choice>
      <mc:Fallback>
        <control shapeId="1038" r:id="rId4" name="btn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DRIVE</vt:lpstr>
    </vt:vector>
  </TitlesOfParts>
  <Company>AGCO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LeMay, Adam</cp:lastModifiedBy>
  <dcterms:created xsi:type="dcterms:W3CDTF">2016-04-19T15:55:19Z</dcterms:created>
  <dcterms:modified xsi:type="dcterms:W3CDTF">2020-05-11T20:04:01Z</dcterms:modified>
</cp:coreProperties>
</file>