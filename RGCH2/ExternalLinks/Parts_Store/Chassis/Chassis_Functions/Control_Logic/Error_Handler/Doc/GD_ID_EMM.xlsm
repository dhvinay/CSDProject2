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2016" yWindow="1932" windowWidth="20964" windowHeight="9264"/>
  </bookViews>
  <sheets>
    <sheet name="EMM" sheetId="1" r:id="rId1"/>
  </sheets>
  <functionGroups builtInGroupCount="17"/>
  <externalReferences>
    <externalReference r:id="rId2"/>
    <externalReference r:id="rId3"/>
  </externalReferences>
  <definedNames>
    <definedName name="App._1">#REF!</definedName>
    <definedName name="App._11">#REF!</definedName>
    <definedName name="App._12">#REF!</definedName>
    <definedName name="App._13">#REF!</definedName>
    <definedName name="App._14">#REF!</definedName>
    <definedName name="App._15">#REF!</definedName>
    <definedName name="App._16">#REF!</definedName>
    <definedName name="App._17">#REF!</definedName>
    <definedName name="App._18">#REF!</definedName>
    <definedName name="App._19">#REF!</definedName>
    <definedName name="App._2">#REF!</definedName>
    <definedName name="App._20">#REF!</definedName>
    <definedName name="App._21">#REF!</definedName>
    <definedName name="App._22">#REF!</definedName>
    <definedName name="App._23">#REF!</definedName>
    <definedName name="App._24">#REF!</definedName>
    <definedName name="App._25">#REF!</definedName>
    <definedName name="App._26">#REF!</definedName>
    <definedName name="App._27">#REF!</definedName>
    <definedName name="App._28">#REF!</definedName>
    <definedName name="App._29">#REF!</definedName>
    <definedName name="App._30">#REF!</definedName>
    <definedName name="App._5">#REF!</definedName>
    <definedName name="App._7">#REF!</definedName>
    <definedName name="App._8">#REF!</definedName>
    <definedName name="EBT_Anmerkung_1">#REF!</definedName>
    <definedName name="EBT_Anmerkung_2">#REF!</definedName>
    <definedName name="EHL_ANMERKUNG_1">#REF!</definedName>
    <definedName name="EHL_ANMERKUNG_2">#REF!</definedName>
    <definedName name="EMM_ANMERKUNG_1">#REF!</definedName>
    <definedName name="KHR_ANMERKUNG_1">[1]GD_ID!$A$70:$F$81</definedName>
    <definedName name="KHR_ANMERKUNG_2">[1]GD_ID!$A$83:$F$87</definedName>
    <definedName name="KHR_ANMERKUNG_3">[1]GD_ID!$A$89:$G$100</definedName>
    <definedName name="KHR_ANMERKUNG_4">[1]GD_ID!$A$102:$F$116</definedName>
    <definedName name="Machine_List">'[2]Routing-Data RG3'!$P$23:$P$54</definedName>
    <definedName name="Machine_Select">'[2]Routing-Data RG3'!$P$30</definedName>
    <definedName name="MFA_Anmerkung_1">#REF!</definedName>
    <definedName name="MFA_Anmerkung_10">#REF!</definedName>
    <definedName name="MFA_Anmerkung_11">#REF!</definedName>
    <definedName name="MFA_Anmerkung_2">#REF!</definedName>
    <definedName name="MFA_Anmerkung_3">#REF!</definedName>
    <definedName name="MFA_Anmerkung_4">#REF!</definedName>
    <definedName name="MFA_Anmerkung_5">#REF!</definedName>
    <definedName name="MFA_Anmerkung_6">#REF!</definedName>
    <definedName name="MFA_Anmerkung_7">#REF!</definedName>
    <definedName name="MFA_Anmerkung_8">#REF!</definedName>
    <definedName name="MFA_Anmerkung_9">#REF!</definedName>
  </definedNames>
  <calcPr calcId="145621"/>
</workbook>
</file>

<file path=xl/calcChain.xml><?xml version="1.0" encoding="utf-8"?>
<calcChain xmlns="http://schemas.openxmlformats.org/spreadsheetml/2006/main">
  <c r="C114" i="1" l="1"/>
  <c r="P113" i="1"/>
  <c r="O113" i="1"/>
  <c r="M113" i="1"/>
  <c r="C112" i="1"/>
  <c r="P111" i="1"/>
  <c r="O111" i="1"/>
  <c r="P106" i="1"/>
  <c r="O106" i="1"/>
  <c r="P105" i="1"/>
  <c r="O105" i="1"/>
  <c r="P104" i="1"/>
  <c r="O104" i="1"/>
  <c r="P103" i="1"/>
  <c r="O103" i="1"/>
  <c r="P102" i="1"/>
  <c r="O102" i="1"/>
  <c r="P101" i="1"/>
  <c r="O101" i="1"/>
  <c r="P98" i="1"/>
  <c r="O98" i="1"/>
  <c r="P97" i="1"/>
  <c r="O97" i="1"/>
  <c r="P96" i="1"/>
  <c r="O96" i="1"/>
  <c r="P95" i="1"/>
  <c r="O95" i="1"/>
  <c r="P81" i="1"/>
  <c r="O81" i="1"/>
  <c r="O78" i="1"/>
  <c r="P78" i="1" s="1"/>
  <c r="P76" i="1"/>
  <c r="O76" i="1"/>
  <c r="P75" i="1"/>
  <c r="O75" i="1"/>
  <c r="M111" i="1"/>
  <c r="N103" i="1"/>
  <c r="N20" i="1" l="1"/>
  <c r="N28" i="1"/>
  <c r="N36" i="1"/>
  <c r="N44" i="1"/>
  <c r="N68" i="1"/>
  <c r="N85" i="1"/>
  <c r="N111" i="1"/>
  <c r="N54" i="1"/>
  <c r="N78" i="1"/>
  <c r="N87" i="1"/>
  <c r="N14" i="1"/>
  <c r="N46" i="1"/>
  <c r="N58" i="1"/>
  <c r="N74" i="1"/>
  <c r="N91" i="1"/>
  <c r="N52" i="1"/>
  <c r="N66" i="1"/>
  <c r="N83" i="1"/>
  <c r="N99" i="1"/>
  <c r="N12" i="1"/>
  <c r="N101" i="1"/>
  <c r="N22" i="1"/>
  <c r="N30" i="1"/>
  <c r="N38" i="1"/>
  <c r="N56" i="1"/>
  <c r="N72" i="1"/>
  <c r="N89" i="1"/>
  <c r="N97" i="1"/>
  <c r="N16" i="1"/>
  <c r="N24" i="1"/>
  <c r="N32" i="1"/>
  <c r="N40" i="1"/>
  <c r="N48" i="1"/>
  <c r="N60" i="1"/>
  <c r="N81" i="1"/>
  <c r="N93" i="1"/>
  <c r="N107" i="1"/>
  <c r="N70" i="1"/>
  <c r="N105" i="1"/>
  <c r="N50" i="1"/>
  <c r="N62" i="1"/>
  <c r="N95" i="1"/>
  <c r="N112" i="1"/>
  <c r="N114" i="1"/>
  <c r="N109" i="1"/>
  <c r="N106" i="1"/>
  <c r="N104" i="1"/>
  <c r="N102" i="1"/>
  <c r="N100" i="1"/>
  <c r="N98" i="1"/>
  <c r="N96" i="1"/>
  <c r="N94" i="1"/>
  <c r="N92" i="1"/>
  <c r="N90" i="1"/>
  <c r="N88" i="1"/>
  <c r="N86" i="1"/>
  <c r="N84" i="1"/>
  <c r="N82" i="1"/>
  <c r="N80" i="1"/>
  <c r="N77" i="1"/>
  <c r="N75" i="1"/>
  <c r="N73" i="1"/>
  <c r="N71" i="1"/>
  <c r="N69" i="1"/>
  <c r="N67" i="1"/>
  <c r="N65" i="1"/>
  <c r="N63" i="1"/>
  <c r="N61" i="1"/>
  <c r="N59" i="1"/>
  <c r="N57" i="1"/>
  <c r="N55" i="1"/>
  <c r="N53" i="1"/>
  <c r="N51" i="1"/>
  <c r="N49" i="1"/>
  <c r="N47" i="1"/>
  <c r="N45" i="1"/>
  <c r="N43" i="1"/>
  <c r="N41" i="1"/>
  <c r="N39" i="1"/>
  <c r="N37" i="1"/>
  <c r="N35" i="1"/>
  <c r="N33" i="1"/>
  <c r="N31" i="1"/>
  <c r="N29" i="1"/>
  <c r="N27" i="1"/>
  <c r="N25" i="1"/>
  <c r="N23" i="1"/>
  <c r="N21" i="1"/>
  <c r="N19" i="1"/>
  <c r="N17" i="1"/>
  <c r="N15" i="1"/>
  <c r="N13" i="1"/>
  <c r="N11" i="1"/>
  <c r="N113" i="1"/>
  <c r="N18" i="1"/>
  <c r="N26" i="1"/>
  <c r="N34" i="1"/>
  <c r="N42" i="1"/>
  <c r="N64" i="1"/>
  <c r="N76" i="1"/>
  <c r="M11" i="1"/>
  <c r="O11" i="1" s="1"/>
  <c r="P11" i="1" s="1"/>
  <c r="M13" i="1"/>
  <c r="O13" i="1" s="1"/>
  <c r="P13" i="1" s="1"/>
  <c r="M15" i="1"/>
  <c r="O15" i="1" s="1"/>
  <c r="P15" i="1" s="1"/>
  <c r="M17" i="1"/>
  <c r="O17" i="1" s="1"/>
  <c r="P17" i="1" s="1"/>
  <c r="M19" i="1"/>
  <c r="O19" i="1" s="1"/>
  <c r="P19" i="1" s="1"/>
  <c r="M21" i="1"/>
  <c r="O21" i="1" s="1"/>
  <c r="P21" i="1" s="1"/>
  <c r="M23" i="1"/>
  <c r="O23" i="1" s="1"/>
  <c r="P23" i="1" s="1"/>
  <c r="M25" i="1"/>
  <c r="O25" i="1" s="1"/>
  <c r="P25" i="1" s="1"/>
  <c r="M27" i="1"/>
  <c r="O27" i="1" s="1"/>
  <c r="P27" i="1" s="1"/>
  <c r="M29" i="1"/>
  <c r="O29" i="1" s="1"/>
  <c r="P29" i="1" s="1"/>
  <c r="M31" i="1"/>
  <c r="O31" i="1" s="1"/>
  <c r="P31" i="1" s="1"/>
  <c r="M33" i="1"/>
  <c r="O33" i="1" s="1"/>
  <c r="P33" i="1" s="1"/>
  <c r="M35" i="1"/>
  <c r="O35" i="1" s="1"/>
  <c r="P35" i="1" s="1"/>
  <c r="M37" i="1"/>
  <c r="O37" i="1" s="1"/>
  <c r="P37" i="1" s="1"/>
  <c r="M39" i="1"/>
  <c r="O39" i="1" s="1"/>
  <c r="P39" i="1" s="1"/>
  <c r="M41" i="1"/>
  <c r="O41" i="1" s="1"/>
  <c r="P41" i="1" s="1"/>
  <c r="M43" i="1"/>
  <c r="O43" i="1" s="1"/>
  <c r="P43" i="1" s="1"/>
  <c r="M45" i="1"/>
  <c r="O45" i="1" s="1"/>
  <c r="P45" i="1" s="1"/>
  <c r="M47" i="1"/>
  <c r="O47" i="1" s="1"/>
  <c r="P47" i="1" s="1"/>
  <c r="M49" i="1"/>
  <c r="O49" i="1" s="1"/>
  <c r="P49" i="1" s="1"/>
  <c r="M51" i="1"/>
  <c r="O51" i="1" s="1"/>
  <c r="P51" i="1" s="1"/>
  <c r="M53" i="1"/>
  <c r="O53" i="1" s="1"/>
  <c r="P53" i="1" s="1"/>
  <c r="M55" i="1"/>
  <c r="O55" i="1" s="1"/>
  <c r="P55" i="1" s="1"/>
  <c r="M57" i="1"/>
  <c r="O57" i="1" s="1"/>
  <c r="P57" i="1" s="1"/>
  <c r="M59" i="1"/>
  <c r="O59" i="1" s="1"/>
  <c r="P59" i="1" s="1"/>
  <c r="M61" i="1"/>
  <c r="O61" i="1" s="1"/>
  <c r="P61" i="1" s="1"/>
  <c r="M63" i="1"/>
  <c r="O63" i="1" s="1"/>
  <c r="P63" i="1" s="1"/>
  <c r="M65" i="1"/>
  <c r="O65" i="1" s="1"/>
  <c r="P65" i="1" s="1"/>
  <c r="M67" i="1"/>
  <c r="O67" i="1" s="1"/>
  <c r="P67" i="1" s="1"/>
  <c r="M69" i="1"/>
  <c r="O69" i="1" s="1"/>
  <c r="P69" i="1" s="1"/>
  <c r="M71" i="1"/>
  <c r="O71" i="1" s="1"/>
  <c r="P71" i="1" s="1"/>
  <c r="M73" i="1"/>
  <c r="O73" i="1" s="1"/>
  <c r="P73" i="1" s="1"/>
  <c r="M75" i="1"/>
  <c r="M77" i="1"/>
  <c r="O77" i="1" s="1"/>
  <c r="P77" i="1" s="1"/>
  <c r="M80" i="1"/>
  <c r="O80" i="1" s="1"/>
  <c r="P80" i="1" s="1"/>
  <c r="M82" i="1"/>
  <c r="O82" i="1" s="1"/>
  <c r="P82" i="1" s="1"/>
  <c r="M84" i="1"/>
  <c r="O84" i="1" s="1"/>
  <c r="P84" i="1" s="1"/>
  <c r="M86" i="1"/>
  <c r="O86" i="1" s="1"/>
  <c r="P86" i="1" s="1"/>
  <c r="M88" i="1"/>
  <c r="O88" i="1" s="1"/>
  <c r="P88" i="1" s="1"/>
  <c r="M90" i="1"/>
  <c r="O90" i="1" s="1"/>
  <c r="P90" i="1" s="1"/>
  <c r="M92" i="1"/>
  <c r="O92" i="1" s="1"/>
  <c r="P92" i="1" s="1"/>
  <c r="M94" i="1"/>
  <c r="O94" i="1" s="1"/>
  <c r="P94" i="1" s="1"/>
  <c r="M96" i="1"/>
  <c r="M98" i="1"/>
  <c r="M100" i="1"/>
  <c r="O100" i="1" s="1"/>
  <c r="P100" i="1" s="1"/>
  <c r="M102" i="1"/>
  <c r="M104" i="1"/>
  <c r="M106" i="1"/>
  <c r="M109" i="1"/>
  <c r="O109" i="1" s="1"/>
  <c r="P109" i="1" s="1"/>
  <c r="M112" i="1"/>
  <c r="O112" i="1" s="1"/>
  <c r="P112" i="1" s="1"/>
  <c r="M114" i="1"/>
  <c r="O114" i="1" s="1"/>
  <c r="P114" i="1" s="1"/>
  <c r="M12" i="1"/>
  <c r="O12" i="1" s="1"/>
  <c r="P12" i="1" s="1"/>
  <c r="M14" i="1"/>
  <c r="O14" i="1" s="1"/>
  <c r="P14" i="1" s="1"/>
  <c r="M16" i="1"/>
  <c r="O16" i="1" s="1"/>
  <c r="P16" i="1" s="1"/>
  <c r="M18" i="1"/>
  <c r="O18" i="1" s="1"/>
  <c r="P18" i="1" s="1"/>
  <c r="M20" i="1"/>
  <c r="O20" i="1" s="1"/>
  <c r="P20" i="1" s="1"/>
  <c r="M22" i="1"/>
  <c r="O22" i="1" s="1"/>
  <c r="P22" i="1" s="1"/>
  <c r="M24" i="1"/>
  <c r="O24" i="1" s="1"/>
  <c r="P24" i="1" s="1"/>
  <c r="M26" i="1"/>
  <c r="O26" i="1" s="1"/>
  <c r="P26" i="1" s="1"/>
  <c r="M28" i="1"/>
  <c r="O28" i="1" s="1"/>
  <c r="P28" i="1" s="1"/>
  <c r="M30" i="1"/>
  <c r="O30" i="1" s="1"/>
  <c r="P30" i="1" s="1"/>
  <c r="M32" i="1"/>
  <c r="O32" i="1" s="1"/>
  <c r="P32" i="1" s="1"/>
  <c r="M34" i="1"/>
  <c r="O34" i="1" s="1"/>
  <c r="P34" i="1" s="1"/>
  <c r="M36" i="1"/>
  <c r="O36" i="1" s="1"/>
  <c r="P36" i="1" s="1"/>
  <c r="M38" i="1"/>
  <c r="O38" i="1" s="1"/>
  <c r="P38" i="1" s="1"/>
  <c r="M40" i="1"/>
  <c r="O40" i="1" s="1"/>
  <c r="P40" i="1" s="1"/>
  <c r="M42" i="1"/>
  <c r="O42" i="1" s="1"/>
  <c r="P42" i="1" s="1"/>
  <c r="M44" i="1"/>
  <c r="O44" i="1" s="1"/>
  <c r="P44" i="1" s="1"/>
  <c r="M46" i="1"/>
  <c r="O46" i="1" s="1"/>
  <c r="P46" i="1" s="1"/>
  <c r="M48" i="1"/>
  <c r="O48" i="1" s="1"/>
  <c r="P48" i="1" s="1"/>
  <c r="M50" i="1"/>
  <c r="O50" i="1" s="1"/>
  <c r="P50" i="1" s="1"/>
  <c r="M52" i="1"/>
  <c r="O52" i="1" s="1"/>
  <c r="P52" i="1" s="1"/>
  <c r="M54" i="1"/>
  <c r="O54" i="1" s="1"/>
  <c r="P54" i="1" s="1"/>
  <c r="M56" i="1"/>
  <c r="O56" i="1" s="1"/>
  <c r="P56" i="1" s="1"/>
  <c r="M58" i="1"/>
  <c r="O58" i="1" s="1"/>
  <c r="P58" i="1" s="1"/>
  <c r="M60" i="1"/>
  <c r="O60" i="1" s="1"/>
  <c r="P60" i="1" s="1"/>
  <c r="M62" i="1"/>
  <c r="O62" i="1" s="1"/>
  <c r="P62" i="1" s="1"/>
  <c r="M64" i="1"/>
  <c r="O64" i="1" s="1"/>
  <c r="P64" i="1" s="1"/>
  <c r="M66" i="1"/>
  <c r="O66" i="1" s="1"/>
  <c r="P66" i="1" s="1"/>
  <c r="M68" i="1"/>
  <c r="O68" i="1" s="1"/>
  <c r="P68" i="1" s="1"/>
  <c r="M70" i="1"/>
  <c r="O70" i="1" s="1"/>
  <c r="P70" i="1" s="1"/>
  <c r="M72" i="1"/>
  <c r="O72" i="1" s="1"/>
  <c r="P72" i="1" s="1"/>
  <c r="M74" i="1"/>
  <c r="O74" i="1" s="1"/>
  <c r="P74" i="1" s="1"/>
  <c r="M76" i="1"/>
  <c r="M78" i="1"/>
  <c r="M81" i="1"/>
  <c r="M83" i="1"/>
  <c r="O83" i="1" s="1"/>
  <c r="P83" i="1" s="1"/>
  <c r="M85" i="1"/>
  <c r="O85" i="1" s="1"/>
  <c r="P85" i="1" s="1"/>
  <c r="M87" i="1"/>
  <c r="O87" i="1" s="1"/>
  <c r="P87" i="1" s="1"/>
  <c r="M89" i="1"/>
  <c r="O89" i="1" s="1"/>
  <c r="P89" i="1" s="1"/>
  <c r="M91" i="1"/>
  <c r="O91" i="1" s="1"/>
  <c r="P91" i="1" s="1"/>
  <c r="M93" i="1"/>
  <c r="O93" i="1" s="1"/>
  <c r="P93" i="1" s="1"/>
  <c r="M95" i="1"/>
  <c r="M97" i="1"/>
  <c r="M99" i="1"/>
  <c r="O99" i="1" s="1"/>
  <c r="P99" i="1" s="1"/>
  <c r="M101" i="1"/>
  <c r="M103" i="1"/>
  <c r="M105" i="1"/>
  <c r="M107" i="1"/>
  <c r="O107" i="1" s="1"/>
  <c r="P107" i="1" s="1"/>
</calcChain>
</file>

<file path=xl/comments1.xml><?xml version="1.0" encoding="utf-8"?>
<comments xmlns="http://schemas.openxmlformats.org/spreadsheetml/2006/main">
  <authors>
    <author>AGCO</author>
    <author>Eric Bongaerts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ECU Logical Node Name</t>
        </r>
      </text>
    </comment>
    <comment ref="D3" author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short name for ECU logical name</t>
        </r>
      </text>
    </comment>
    <comment ref="D12" author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R, W, R/W based on the signal type</t>
        </r>
      </text>
    </comment>
    <comment ref="C13" authorId="1">
      <text>
        <r>
          <rPr>
            <b/>
            <sz val="9"/>
            <color indexed="81"/>
            <rFont val="Tahoma"/>
            <family val="2"/>
          </rPr>
          <t xml:space="preserve">    // Access: w
    // Signals:
    // ---------------------------------------------------------------------------------------------------------------------------------------
    // Signal Name                                                 |Byte|Bit|Length|DataType|Factor|Offset|   Unit   |  Min |  Max
    // ---------------------------------------------------------------------------------------------------------------------------------------
    // Aktivierungsbit                                           |  5 | 7 |   1  |  UINT  |     1|     0|          |     0|     1
    // Fehlercode                                                   |  6 | 0 |   8  |  UINT  |     1|     0|          |     0|   255
    // LaufendeNummer                                        |  7 | 0 |   8  |  UINT  |     1|     0|          |     0|   255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24" author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value description of the signal</t>
        </r>
      </text>
    </comment>
    <comment ref="X24" author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value description in the signal</t>
        </r>
      </text>
    </comment>
    <comment ref="Z24" author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start bit for the signals</t>
        </r>
      </text>
    </comment>
    <comment ref="AA24" author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bit name for the signal under consideration</t>
        </r>
      </text>
    </comment>
    <comment ref="C77" authorId="1">
      <text>
        <r>
          <rPr>
            <b/>
            <sz val="9"/>
            <color indexed="81"/>
            <rFont val="Tahoma"/>
            <family val="2"/>
          </rPr>
          <t xml:space="preserve">    // Function: Uebertragen der Fehler ans Terminal mit HS
    // Access: r
    // Signals:
    // ---------------------------------------------------------------------------------------------------------------------------------------
    // Signal Name                                                 |Byte|Bit|Length|DataType|Factor|Offset|   Unit   |  Min |  Max
    // ---------------------------------------------------------------------------------------------------------------------------------------
    // Aktivierungsbit                                           |  5 | 7 |   1  |  UINT  |     1|     0|          |     0|     1
    // Fehlercode                                                   |  6 | 0 |   8  |  UINT  |     1|     0|          |     0|   255
    // Fehlerort                                                     |  7 | 0 |   8  |  UINT  |     1|     0|          |     0|   255
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0" authorId="1">
      <text>
        <r>
          <rPr>
            <b/>
            <sz val="9"/>
            <color indexed="81"/>
            <rFont val="Tahoma"/>
            <family val="2"/>
          </rPr>
          <t xml:space="preserve">    // Function: Bestaetigung fuer einen Fehler
    // Access: w
    // Signals:
    // ---------------------------------------------------------------------------------------------------------------------------------------
    // Signal Name                                                 |Byte|Bit|Length|DataType|Factor|Offset|   Unit   |  Min |  Max
    // ---------------------------------------------------------------------------------------------------------------------------------------
    // Acknowledge                                               |  5 | 7 |   1  |  UINT  |     1|     0|          |     0|     1
    // Fehlercode                                                   |  6 | 0 |   8  |  UINT  |     1|     0|          |     0|   255
    // Fehlerort                                                      |  7 | 0 |   8  |  UINT  |     1|     0|          |     0|   255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2" authorId="1">
      <text>
        <r>
          <rPr>
            <b/>
            <sz val="9"/>
            <color indexed="81"/>
            <rFont val="Tahoma"/>
            <family val="2"/>
          </rPr>
          <t xml:space="preserve">    // Function: Statusvariable fuer Uebertragung der Werte
    // Access: w
    // Signals:
    // ---------------------------------------------------------------------------------------------------------------------------------------
    // Signal Name                                                 |Byte|Bit|Length|DataType|Factor|Offset|   Unit   |  Min |  Max
    // ---------------------------------------------------------------------------------------------------------------------------------------
    // Fehlercode                                                  |  6 | 0 |   8  |  UINT  |     1|     0|          |     0|   255
    // Fehlerort                                                   |  7 | 0 |   8  |  UINT  |     1|     0|          |     0|   255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3" authorId="1">
      <text>
        <r>
          <rPr>
            <b/>
            <sz val="9"/>
            <color indexed="81"/>
            <rFont val="Tahoma"/>
            <family val="2"/>
          </rPr>
          <t xml:space="preserve">    // Function: Umgebungsvariable 1
    // Access: r
    // Signals:
    // ---------------------------------------------------------------------------------------------------------------------------------------
    // Signal Name                                                 |Byte|Bit|Length|DataType|Factor|Offset|   Unit   |  Min |  Max
    // ---------------------------------------------------------------------------------------------------------------------------------------
    // Wert                                                        |  6 | 0 |  16  |  UINT  |     1|     0|          |     0| 65535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4" authorId="1">
      <text>
        <r>
          <rPr>
            <b/>
            <sz val="9"/>
            <color indexed="81"/>
            <rFont val="Tahoma"/>
            <family val="2"/>
          </rPr>
          <t xml:space="preserve">    // Function: Statusvariable fuer Uebertragung der Werte
    // Access: r
    // Signals:
    // ---------------------------------------------------------------------------------------------------------------------------------------
    // Signal Name                                                 |Byte|Bit|Length|DataType|Texttable
    // ---------------------------------------------------------------------------------------------------------------------------------------
    // Status                                                      |  6 | 0 |  16  |  UINT  |     Value     |Meaning
    //                                                                                      |-------------------------------------------------
    //                                                                                      |     0 (0x00)  |EMM_ENVVAR_TRANSFER_START
    //                                                                                      |     1 (0x01)  |EMM_ENVVAR_TRANSFER_OK
    //                                                                                      |     2 (0x02)  |EMM_ENVVAR_NO_ENTRY
    //                                                                                      |     3 (0x03)  |EMM_ENVVAR_TRANSFER_ERROR
    //                                                                                      |-------------------------------------------------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9" authorId="1">
      <text>
        <r>
          <rPr>
            <b/>
            <sz val="9"/>
            <color indexed="81"/>
            <rFont val="Tahoma"/>
            <family val="2"/>
          </rPr>
          <t xml:space="preserve">    // Function: Schnittstelle zum direkten Setzen/Ruecksetzen von Fehlern ueber GD
    // Access: w
    // Signals:
    // ---------------------------------------------------------------------------------------------------------------------------------------
    // Signal Name                                                 |Byte|Bit|Length|DataType|Factor|Offset|   Unit   |  Min |  Max
    // ---------------------------------------------------------------------------------------------------------------------------------------
    // Fehlercode                                                  |  6 | 0 |   8  |  UINT  |     1|     0|          |     0|   255
    // Fehlerort                                                   |  7 | 0 |   8  |  UINT  |     1|     0|          |     0|   255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0" authorId="1">
      <text>
        <r>
          <rPr>
            <b/>
            <sz val="9"/>
            <color indexed="81"/>
            <rFont val="Tahoma"/>
            <family val="2"/>
          </rPr>
          <t xml:space="preserve">    // Function: Status des Fehlermanagements
    // Access: r
    // Signals:
    // ---------------------------------------------------------------------------------------------------------------------------------------
    // Signal Name                                                 |Byte|Bit|Length|DataType|Texttable
    // ---------------------------------------------------------------------------------------------------------------------------------------
    // Status                                                      |  6 | 0 |  16  |  UINT  |     Value     |Meaning
    //                                                                                      |-------------------------------------------------
    //                                                                                      |     0 (0x00)  |EMM_STATUS_NONE
    //                                                                                      |     1 (0x01)  |EMM_STATUS_RUNNING
    //                                                                                      |     2 (0x02)  |EMM_STATUS_EXT_ON_AIR
    //                                                                                      |     4 (0x04)  |EMM_STATUS_KOMBI_ON_AIR
    //                                                                                      |     8 (0x08)  |EMM_STATUS_HVAC_ON_AIR
    //                                                                                      |    15 (0x0F)  |EMM_STATUS_READY
    //                                                                                      |-------------------------------------------------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11" author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Never leave blank spaces between the rows. This will affect generation of files</t>
        </r>
      </text>
    </comment>
    <comment ref="A112" author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494 for error message signal. This holds good for all logical nodes
</t>
        </r>
      </text>
    </comment>
    <comment ref="A114" author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Make sure to enter 511 for life message. This holds good for all the logical nodes
</t>
        </r>
      </text>
    </comment>
    <comment ref="Z134" author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start bit for the signals</t>
        </r>
      </text>
    </comment>
    <comment ref="AA134" author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bit name for the signal under consideration</t>
        </r>
      </text>
    </comment>
    <comment ref="C187" authorId="1">
      <text>
        <r>
          <rPr>
            <b/>
            <sz val="9"/>
            <color indexed="81"/>
            <rFont val="Tahoma"/>
            <family val="2"/>
          </rPr>
          <t xml:space="preserve">    // Function: Uebertragen der Fehler ans Terminal mit HS
    // Access: r
    // Signals:
    // ---------------------------------------------------------------------------------------------------------------------------------------
    // Signal Name                                                 |Byte|Bit|Length|DataType|Factor|Offset|   Unit   |  Min |  Max
    // ---------------------------------------------------------------------------------------------------------------------------------------
    // Aktivierungsbit                                           |  5 | 7 |   1  |  UINT  |     1|     0|          |     0|     1
    // Fehlercode                                                   |  6 | 0 |   8  |  UINT  |     1|     0|          |     0|   255
    // Fehlerort                                                     |  7 | 0 |   8  |  UINT  |     1|     0|          |     0|   255
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89" authorId="1">
      <text>
        <r>
          <rPr>
            <b/>
            <sz val="9"/>
            <color indexed="81"/>
            <rFont val="Tahoma"/>
            <family val="2"/>
          </rPr>
          <t xml:space="preserve">    // Function: Bestaetigung fuer einen Fehler
    // Access: w
    // Signals:
    // ---------------------------------------------------------------------------------------------------------------------------------------
    // Signal Name                                                 |Byte|Bit|Length|DataType|Factor|Offset|   Unit   |  Min |  Max
    // ---------------------------------------------------------------------------------------------------------------------------------------
    // Acknowledge                                               |  5 | 7 |   1  |  UINT  |     1|     0|          |     0|     1
    // Fehlercode                                                   |  6 | 0 |   8  |  UINT  |     1|     0|          |     0|   255
    // Fehlerort                                                      |  7 | 0 |   8  |  UINT  |     1|     0|          |     0|   255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91" authorId="1">
      <text>
        <r>
          <rPr>
            <b/>
            <sz val="9"/>
            <color indexed="81"/>
            <rFont val="Tahoma"/>
            <family val="2"/>
          </rPr>
          <t xml:space="preserve">    // Function: Statusvariable fuer Uebertragung der Werte
    // Access: w
    // Signals:
    // ---------------------------------------------------------------------------------------------------------------------------------------
    // Signal Name                                                 |Byte|Bit|Length|DataType|Factor|Offset|   Unit   |  Min |  Max
    // ---------------------------------------------------------------------------------------------------------------------------------------
    // Fehlercode                                                  |  6 | 0 |   8  |  UINT  |     1|     0|          |     0|   255
    // Fehlerort                                                   |  7 | 0 |   8  |  UINT  |     1|     0|          |     0|   255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92" authorId="1">
      <text>
        <r>
          <rPr>
            <b/>
            <sz val="9"/>
            <color indexed="81"/>
            <rFont val="Tahoma"/>
            <family val="2"/>
          </rPr>
          <t xml:space="preserve">    // Function: Umgebungsvariable 1
    // Access: r
    // Signals:
    // ---------------------------------------------------------------------------------------------------------------------------------------
    // Signal Name                                                 |Byte|Bit|Length|DataType|Factor|Offset|   Unit   |  Min |  Max
    // ---------------------------------------------------------------------------------------------------------------------------------------
    // Wert                                                        |  6 | 0 |  16  |  UINT  |     1|     0|          |     0| 65535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03" authorId="1">
      <text>
        <r>
          <rPr>
            <b/>
            <sz val="9"/>
            <color indexed="81"/>
            <rFont val="Tahoma"/>
            <family val="2"/>
          </rPr>
          <t xml:space="preserve">    // Function: Statusvariable fuer Uebertragung der Werte
    // Access: r
    // Signals:
    // ---------------------------------------------------------------------------------------------------------------------------------------
    // Signal Name                                                 |Byte|Bit|Length|DataType|Texttable
    // ---------------------------------------------------------------------------------------------------------------------------------------
    // Status                                                      |  6 | 0 |  16  |  UINT  |     Value     |Meaning
    //                                                                                      |-------------------------------------------------
    //                                                                                      |     0 (0x00)  |EMM_ENVVAR_TRANSFER_START
    //                                                                                      |     1 (0x01)  |EMM_ENVVAR_TRANSFER_OK
    //                                                                                      |     2 (0x02)  |EMM_ENVVAR_NO_ENTRY
    //                                                                                      |     3 (0x03)  |EMM_ENVVAR_TRANSFER_ERROR
    //                                                                                      |-------------------------------------------------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08" authorId="1">
      <text>
        <r>
          <rPr>
            <b/>
            <sz val="9"/>
            <color indexed="81"/>
            <rFont val="Tahoma"/>
            <family val="2"/>
          </rPr>
          <t xml:space="preserve">    // Function: Schnittstelle zum direkten Setzen/Ruecksetzen von Fehlern ueber GD
    // Access: w
    // Signals:
    // ---------------------------------------------------------------------------------------------------------------------------------------
    // Signal Name                                                 |Byte|Bit|Length|DataType|Factor|Offset|   Unit   |  Min |  Max
    // ---------------------------------------------------------------------------------------------------------------------------------------
    // Fehlercode                                                  |  6 | 0 |   8  |  UINT  |     1|     0|          |     0|   255
    // Fehlerort                                                   |  7 | 0 |   8  |  UINT  |     1|     0|          |     0|   255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09" authorId="1">
      <text>
        <r>
          <rPr>
            <b/>
            <sz val="9"/>
            <color indexed="81"/>
            <rFont val="Tahoma"/>
            <family val="2"/>
          </rPr>
          <t xml:space="preserve">    // Function: Status des Fehlermanagements
    // Access: r
    // Signals:
    // ---------------------------------------------------------------------------------------------------------------------------------------
    // Signal Name                                                 |Byte|Bit|Length|DataType|Texttable
    // ---------------------------------------------------------------------------------------------------------------------------------------
    // Status                                                      |  6 | 0 |  16  |  UINT  |     Value     |Meaning
    //                                                                                      |-------------------------------------------------
    //                                                                                      |     0 (0x00)  |EMM_STATUS_NONE
    //                                                                                      |     1 (0x01)  |EMM_STATUS_RUNNING
    //                                                                                      |     2 (0x02)  |EMM_STATUS_EXT_ON_AIR
    //                                                                                      |     4 (0x04)  |EMM_STATUS_KOMBI_ON_AIR
    //                                                                                      |     8 (0x08)  |EMM_STATUS_HVAC_ON_AIR
    //                                                                                      |    15 (0x0F)  |EMM_STATUS_READY
    //                                                                                      |-------------------------------------------------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17" author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Never leave blank spaces between the rows. This will affect generation of files</t>
        </r>
      </text>
    </comment>
    <comment ref="A218" author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494 for error message signal. This holds good for all logical nodes
</t>
        </r>
      </text>
    </comment>
    <comment ref="A220" author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Make sure to enter 511 for life message. This holds good for all the logical nodes
</t>
        </r>
      </text>
    </comment>
  </commentList>
</comments>
</file>

<file path=xl/sharedStrings.xml><?xml version="1.0" encoding="utf-8"?>
<sst xmlns="http://schemas.openxmlformats.org/spreadsheetml/2006/main" count="406" uniqueCount="234">
  <si>
    <t>Error Management</t>
  </si>
  <si>
    <t>Logical name:</t>
  </si>
  <si>
    <t>EMM</t>
  </si>
  <si>
    <t>Physical Node:</t>
  </si>
  <si>
    <t>Logical Node:</t>
  </si>
  <si>
    <t>Index
0 - 511</t>
  </si>
  <si>
    <t>Status</t>
  </si>
  <si>
    <t>Variable Name
Begin with GD_ID_XXX_</t>
  </si>
  <si>
    <t>Access
R, W, R/W</t>
  </si>
  <si>
    <t>Data - Min/Max</t>
  </si>
  <si>
    <t>Offset</t>
  </si>
  <si>
    <t>Scaling</t>
  </si>
  <si>
    <t>Unit</t>
  </si>
  <si>
    <t>Data
Dimension</t>
  </si>
  <si>
    <t>Description</t>
  </si>
  <si>
    <t>Subscriber Number</t>
  </si>
  <si>
    <t>Globaler Index</t>
  </si>
  <si>
    <t>NT01 Reference</t>
  </si>
  <si>
    <t>Used by EDT</t>
  </si>
  <si>
    <t>Nodes to Respond to Variable</t>
  </si>
  <si>
    <t>Nodes to Request Variable</t>
  </si>
  <si>
    <t>Nodes to Immediate Write Variable</t>
  </si>
  <si>
    <t>Value Table Name For 16 Bit Value</t>
  </si>
  <si>
    <t>Value Text Description</t>
  </si>
  <si>
    <t>Value</t>
  </si>
  <si>
    <t>Bit Table Name For 1 Bit Status</t>
  </si>
  <si>
    <t>Bit Value Description</t>
  </si>
  <si>
    <t>Bit Value</t>
  </si>
  <si>
    <t>(P/I/R)</t>
  </si>
  <si>
    <t>DB5 - Bit7</t>
  </si>
  <si>
    <t xml:space="preserve">MIN </t>
  </si>
  <si>
    <t>Max</t>
  </si>
  <si>
    <t>Factor</t>
  </si>
  <si>
    <t>Logical Node</t>
  </si>
  <si>
    <t>Phy Node</t>
  </si>
  <si>
    <t>Dec</t>
  </si>
  <si>
    <t>Hex</t>
  </si>
  <si>
    <t>GD_ID_EMM_SIGNAL_LN00_ERROR_W</t>
  </si>
  <si>
    <t>1/0</t>
  </si>
  <si>
    <t>Reception of error codes of logical node 0</t>
  </si>
  <si>
    <t>-gs</t>
  </si>
  <si>
    <t>GD_ID_EMM_SIGNAL_LN01_ERROR_W</t>
  </si>
  <si>
    <t>Reception of error codes of logical node 1</t>
  </si>
  <si>
    <t>GD_ID_EMM_SIGNAL_LN02_ERROR_W</t>
  </si>
  <si>
    <t>Reception of error codes of logical node 2</t>
  </si>
  <si>
    <t>GD_ID_EMM_SIGNAL_LN03_ERROR_W</t>
  </si>
  <si>
    <t>Reception of error codes of logical node 3</t>
  </si>
  <si>
    <t>GD_ID_EMM_SIGNAL_LN04_ERROR_W</t>
  </si>
  <si>
    <t>Reception of error codes of logical node 4</t>
  </si>
  <si>
    <t>GD_ID_EMM_SIGNAL_LN05_ERROR_W</t>
  </si>
  <si>
    <t>Reception of error codes of logical node 5</t>
  </si>
  <si>
    <t>GD_ID_EMM_SIGNAL_LN06_ERROR_W</t>
  </si>
  <si>
    <t>Reception of error codes of logical node 6</t>
  </si>
  <si>
    <t>GD_ID_EMM_SIGNAL_LN07_ERROR_W</t>
  </si>
  <si>
    <t>Reception of error codes of logical node 7</t>
  </si>
  <si>
    <t>GD_ID_EMM_SIGNAL_LN08_ERROR_W</t>
  </si>
  <si>
    <t>Reception of error codes of logical node 8</t>
  </si>
  <si>
    <t>GD_ID_EMM_SIGNAL_LN09_ERROR_W</t>
  </si>
  <si>
    <t>Reception of error codes of logical node 9</t>
  </si>
  <si>
    <t>GD_ID_EMM_SIGNAL_LN10_ERROR_W</t>
  </si>
  <si>
    <t>Reception of error codes of logical node 10</t>
  </si>
  <si>
    <t>GD_ID_EMM_SIGNAL_LN11_ERROR_W</t>
  </si>
  <si>
    <t>Reception of error codes of logical node 11</t>
  </si>
  <si>
    <t>GD_ID_EMM_SIGNAL_LN12_ERROR_W</t>
  </si>
  <si>
    <t>Reception of error codes of logical node 12</t>
  </si>
  <si>
    <t>GD_ID_EMM_SIGNAL_LN13_ERROR_W</t>
  </si>
  <si>
    <t>Reception of error codes of logical node 13</t>
  </si>
  <si>
    <t>GD_ID_EMM_SIGNAL_LN14_ERROR_W</t>
  </si>
  <si>
    <t>Reception of error codes of logical node 14</t>
  </si>
  <si>
    <t>GD_ID_EMM_SIGNAL_LN15_ERROR_W</t>
  </si>
  <si>
    <t>Reception of error codes of logical node 15</t>
  </si>
  <si>
    <t>GD_ID_EMM_SIGNAL_LN16_ERROR_W</t>
  </si>
  <si>
    <t>Reception of error codes of logical node 16</t>
  </si>
  <si>
    <t>GD_ID_EMM_SIGNAL_LN17_ERROR_W</t>
  </si>
  <si>
    <t>Reception of error codes of logical node 17</t>
  </si>
  <si>
    <t>GD_ID_EMM_SIGNAL_LN18_ERROR_W</t>
  </si>
  <si>
    <t>Reception of error codes of logical node 18</t>
  </si>
  <si>
    <t>GD_ID_EMM_SIGNAL_LN19_ERROR_W</t>
  </si>
  <si>
    <t>Reception of error codes of logical node 19</t>
  </si>
  <si>
    <t>GD_ID_EMM_SIGNAL_LN20_ERROR_W</t>
  </si>
  <si>
    <t>Reception of error codes of logical node 20</t>
  </si>
  <si>
    <t>GD_ID_EMM_SIGNAL_LN21_ERROR_W</t>
  </si>
  <si>
    <t>Reception of error codes of logical node 21</t>
  </si>
  <si>
    <t>GD_ID_EMM_SIGNAL_LN22_ERROR_W</t>
  </si>
  <si>
    <t>Reception of error codes of logical node 22</t>
  </si>
  <si>
    <t>GD_ID_EMM_SIGNAL_LN23_ERROR_W</t>
  </si>
  <si>
    <t>Reception of error codes of logical node 23</t>
  </si>
  <si>
    <t>GD_ID_EMM_SIGNAL_LN24_ERROR_W</t>
  </si>
  <si>
    <t>Reception of error codes of logical node 24</t>
  </si>
  <si>
    <t>GD_ID_EMM_SIGNAL_LN25_ERROR_W</t>
  </si>
  <si>
    <t>Reception of error codes of logical node 25</t>
  </si>
  <si>
    <t>GD_ID_EMM_SIGNAL_LN26_ERROR_W</t>
  </si>
  <si>
    <t>Reception of error codes of logical node 26</t>
  </si>
  <si>
    <t>GD_ID_EMM_SIGNAL_LN27_ERROR_W</t>
  </si>
  <si>
    <t>Reception of error codes of logical node 27</t>
  </si>
  <si>
    <t>GD_ID_EMM_SIGNAL_LN28_ERROR_W</t>
  </si>
  <si>
    <t>Reception of error codes of logical node 28</t>
  </si>
  <si>
    <t>GD_ID_EMM_SIGNAL_LN29_ERROR_W</t>
  </si>
  <si>
    <t>Reception of error codes of logical node 29</t>
  </si>
  <si>
    <t>GD_ID_EMM_SIGNAL_LN30_ERROR_W</t>
  </si>
  <si>
    <t>Reception of error codes of logical node 30</t>
  </si>
  <si>
    <t>GD_ID_EMM_SIGNAL_LN31_ERROR_W</t>
  </si>
  <si>
    <t>Reception of error codes of logical node 31</t>
  </si>
  <si>
    <t>GD_ID_EMM_SIGNAL_LN32_ERROR_W</t>
  </si>
  <si>
    <t>Reception of error codes of logical node 32</t>
  </si>
  <si>
    <t>GD_ID_EMM_SIGNAL_LN33_ERROR_W</t>
  </si>
  <si>
    <t>Reception of error codes of logical node 33</t>
  </si>
  <si>
    <t>GD_ID_EMM_SIGNAL_LN34_ERROR_W</t>
  </si>
  <si>
    <t>Reception of error codes of logical node 34</t>
  </si>
  <si>
    <t>GD_ID_EMM_SIGNAL_LN35_ERROR_W</t>
  </si>
  <si>
    <t>Reception of error codes of logical node 35</t>
  </si>
  <si>
    <t>GD_ID_EMM_SIGNAL_LN36_ERROR_W</t>
  </si>
  <si>
    <t>Reception of error codes of logical node 36</t>
  </si>
  <si>
    <t>GD_ID_EMM_SIGNAL_LN37_ERROR_W</t>
  </si>
  <si>
    <t>Reception of error codes of logical node 37</t>
  </si>
  <si>
    <t>GD_ID_EMM_SIGNAL_LN38_ERROR_W</t>
  </si>
  <si>
    <t>Reception of error codes of logical node 38</t>
  </si>
  <si>
    <t>GD_ID_EMM_SIGNAL_LN39_ERROR_W</t>
  </si>
  <si>
    <t>Reception of error codes of logical node 39</t>
  </si>
  <si>
    <t>GD_ID_EMM_SIGNAL_LN40_ERROR_W</t>
  </si>
  <si>
    <t>Reception of error codes of logical node 40</t>
  </si>
  <si>
    <t>GD_ID_EMM_SIGNAL_LN41_ERROR_W</t>
  </si>
  <si>
    <t>Reception of error codes of logical node 41</t>
  </si>
  <si>
    <t>GD_ID_EMM_SIGNAL_LN42_ERROR_W</t>
  </si>
  <si>
    <t>Reception of error codes of logical node 42</t>
  </si>
  <si>
    <t>GD_ID_EMM_SIGNAL_LN43_ERROR_W</t>
  </si>
  <si>
    <t>Reception of error codes of logical node 43</t>
  </si>
  <si>
    <t>GD_ID_EMM_SIGNAL_LN44_ERROR_W</t>
  </si>
  <si>
    <t>Reception of error codes of logical node 44</t>
  </si>
  <si>
    <t>GD_ID_EMM_SIGNAL_LN45_ERROR_W</t>
  </si>
  <si>
    <t>Reception of error codes of logical node 45</t>
  </si>
  <si>
    <t>GD_ID_EMM_SIGNAL_LN46_ERROR_W</t>
  </si>
  <si>
    <t>Reception of error codes of logical node 46</t>
  </si>
  <si>
    <t>GD_ID_EMM_SIGNAL_LN47_ERROR_W</t>
  </si>
  <si>
    <t>Reception of error codes of logical node 47</t>
  </si>
  <si>
    <t>GD_ID_EMM_SIGNAL_LN48_ERROR_W</t>
  </si>
  <si>
    <t>Reception of error codes of logical node 48</t>
  </si>
  <si>
    <t>GD_ID_EMM_SIGNAL_LN49_ERROR_W</t>
  </si>
  <si>
    <t>Reception of error codes of logical node 49</t>
  </si>
  <si>
    <t>GD_ID_EMM_SIGNAL_LN50_ERROR_W</t>
  </si>
  <si>
    <t>Reception of error codes of logical node 50</t>
  </si>
  <si>
    <t>GD_ID_EMM_SIGNAL_LN51_ERROR_W</t>
  </si>
  <si>
    <t>Reception of error codes of logical node 51</t>
  </si>
  <si>
    <t>GD_ID_EMM_SIGNAL_LN52_ERROR_W</t>
  </si>
  <si>
    <t>Reception of error codes of logical node 52</t>
  </si>
  <si>
    <t>GD_ID_EMM_SIGNAL_LN53_ERROR_W</t>
  </si>
  <si>
    <t>Reception of error codes of logical node 53</t>
  </si>
  <si>
    <t>GD_ID_EMM_SIGNAL_LN54_ERROR_W</t>
  </si>
  <si>
    <t>Reception of error codes of logical node 54</t>
  </si>
  <si>
    <t>GD_ID_EMM_SIGNAL_LN55_ERROR_W</t>
  </si>
  <si>
    <t>Reception of error codes of logical node 55</t>
  </si>
  <si>
    <t>GD_ID_EMM_SIGNAL_LN56_ERROR_W</t>
  </si>
  <si>
    <t>Reception of error codes of logical node 56</t>
  </si>
  <si>
    <t>GD_ID_EMM_SIGNAL_LN57_ERROR_W</t>
  </si>
  <si>
    <t>Reception of error codes of logical node 57</t>
  </si>
  <si>
    <t>GD_ID_EMM_SIGNAL_LN58_ERROR_W</t>
  </si>
  <si>
    <t>Reception of error codes of logical node 58</t>
  </si>
  <si>
    <t>GD_ID_EMM_SIGNAL_LN59_ERROR_W</t>
  </si>
  <si>
    <t>Reception of error codes of logical node 59</t>
  </si>
  <si>
    <t>GD_ID_EMM_SIGNAL_LN60_ERROR_W</t>
  </si>
  <si>
    <t>Reception of error codes of logical node 60</t>
  </si>
  <si>
    <t>GD_ID_EMM_SIGNAL_LN61_ERROR_W</t>
  </si>
  <si>
    <t>Reception of error codes of logical node 61</t>
  </si>
  <si>
    <t>GD_ID_EMM_SIGNAL_LN62_ERROR_W</t>
  </si>
  <si>
    <t>Reception of error codes of logical node 62</t>
  </si>
  <si>
    <t>GD_ID_EMM_SIGNAL_LN63_ERROR_W</t>
  </si>
  <si>
    <t>Reception of error codes of logical node 63</t>
  </si>
  <si>
    <t>GD_ID_EMM_TERMINAL_TRANSFER_R</t>
  </si>
  <si>
    <t>Transfer of error to terminal with handshake</t>
  </si>
  <si>
    <t>-g 0xFFFFFF</t>
  </si>
  <si>
    <t>GD_ID_EMM_TERMINAL_ACKNOWLEDGE_W</t>
  </si>
  <si>
    <t>Acknowledge of an error</t>
  </si>
  <si>
    <t>GD_ID_EMM_REQUEST_ENVVAR_W</t>
  </si>
  <si>
    <t>---</t>
  </si>
  <si>
    <t>Request transfer of environmental variables</t>
  </si>
  <si>
    <t>-g</t>
  </si>
  <si>
    <t>GD_ID_EMM_ENV_VAR_VALUE1</t>
  </si>
  <si>
    <t>Environmental variable 1</t>
  </si>
  <si>
    <t>-gu</t>
  </si>
  <si>
    <t>GD_ID_EMM_ENV_VAR_VALUE2</t>
  </si>
  <si>
    <t>Environmental variable 2</t>
  </si>
  <si>
    <t>GD_ID_EMM_ENV_VAR_VALUE3</t>
  </si>
  <si>
    <t>Environmental variable 3</t>
  </si>
  <si>
    <t>GD_ID_EMM_ENV_VAR_VALUE4</t>
  </si>
  <si>
    <t>Environmental variable 4</t>
  </si>
  <si>
    <t>GD_ID_EMM_ENV_VAR_VALUE5</t>
  </si>
  <si>
    <t>Environmental variable 5</t>
  </si>
  <si>
    <t>GD_ID_EMM_ENV_VAR_OPERATING_HOUR</t>
  </si>
  <si>
    <t>Operating hours</t>
  </si>
  <si>
    <t>GD_ID_EMM_ENV_VAR_ERROR_COUNTER</t>
  </si>
  <si>
    <t>Error counter</t>
  </si>
  <si>
    <t>GD_ID_EMM_ENV_VAR_DATE1</t>
  </si>
  <si>
    <t>Date ???</t>
  </si>
  <si>
    <t>GD_ID_EMM_ENV_VAR_DATE2</t>
  </si>
  <si>
    <t>GD_ID_EMM_ENV_VAR_TIME1</t>
  </si>
  <si>
    <t>Time ???</t>
  </si>
  <si>
    <t>GD_ID_EMM_ENV_VAR_TIME2</t>
  </si>
  <si>
    <t>GD_ID_EMM_ENV_VAR_STATUS</t>
  </si>
  <si>
    <t>Status variable for transfer of environmental variables</t>
  </si>
  <si>
    <t>envar_status</t>
  </si>
  <si>
    <t>EMM_ENVVAR_TRANSFER_START</t>
  </si>
  <si>
    <t>EMM_ENVVAR_TRANSFER_OK</t>
  </si>
  <si>
    <t>EMM_ENVVAR_NO_ENTRY</t>
  </si>
  <si>
    <t>EMM_ENVVAR_TRANSFER_ERROR</t>
  </si>
  <si>
    <t>GD_ID_EMM_DEBUG_SET_RESET_ERROR</t>
  </si>
  <si>
    <t>Interface for direct set/reset of errors via GD</t>
  </si>
  <si>
    <t>GD_ID_EMM_STATUS_R</t>
  </si>
  <si>
    <t>Error Management status</t>
  </si>
  <si>
    <t>emm_status</t>
  </si>
  <si>
    <t>EMM_STATUS_NONE</t>
  </si>
  <si>
    <t>EMM_STATUS_RUNNING</t>
  </si>
  <si>
    <t>EMM_STATUS_EXT_ON_AIR</t>
  </si>
  <si>
    <t>EMM_STATUS_KOMBI_ON_AIR</t>
  </si>
  <si>
    <t>EMM_STATUS_HVAC_ON_AIR</t>
  </si>
  <si>
    <t>EMM_STATUS_READY</t>
  </si>
  <si>
    <t>GD_ID_EMM_ERR_LOG_DELETED</t>
  </si>
  <si>
    <t>Error Log Deleted since last Restart</t>
  </si>
  <si>
    <t>x</t>
  </si>
  <si>
    <t>GD_ID_EMM_ERR_ACTIVE</t>
  </si>
  <si>
    <t>One or more errors are active (status + counter)</t>
  </si>
  <si>
    <t>W</t>
  </si>
  <si>
    <t>Error Code</t>
  </si>
  <si>
    <t>Return path for fault management (acknowledgment)</t>
  </si>
  <si>
    <t>R</t>
  </si>
  <si>
    <t>ms</t>
  </si>
  <si>
    <t>mSec</t>
  </si>
  <si>
    <t>Lifemessage</t>
  </si>
  <si>
    <t>End</t>
  </si>
  <si>
    <t>Anl. 1:</t>
  </si>
  <si>
    <t>0 = OFF</t>
  </si>
  <si>
    <t>1 = ON</t>
  </si>
  <si>
    <t>2 = Flashing</t>
  </si>
  <si>
    <t>GD_ID_EMM_ACM_TRANSFER_R</t>
  </si>
  <si>
    <t>Transfer error to the AGCO Connectivity Module (ACM) with hand shake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</si>
</sst>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\ &quot;DM&quot;_-;\-* #,##0.00\ &quot;DM&quot;_-;_-* &quot;-&quot;??\ &quot;DM&quot;_-;_-@_-"/>
    <numFmt numFmtId="165" formatCode="_-* #,##0.00\ [$€]_-;\-* #,##0.00\ [$€]_-;_-* &quot;-&quot;??\ [$€]_-;_-@_-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  <charset val="204"/>
    </font>
    <font>
      <b/>
      <sz val="11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b/>
      <sz val="10"/>
      <name val="Arial"/>
      <family val="2"/>
      <charset val="204"/>
    </font>
    <font>
      <sz val="10"/>
      <color indexed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u/>
      <sz val="10"/>
      <color indexed="12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charset val="204"/>
      <scheme val="minor"/>
    </font>
    <font>
      <sz val="11"/>
      <color indexed="20"/>
      <name val="Calibri"/>
      <family val="2"/>
    </font>
    <font>
      <b/>
      <i/>
      <sz val="16"/>
      <name val="Courier New"/>
      <family val="3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55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395">
    <xf numFmtId="0" fontId="0" fillId="0" borderId="0"/>
    <xf numFmtId="164" fontId="3" fillId="0" borderId="0" applyFont="0" applyFill="0" applyBorder="0" applyAlignment="0" applyProtection="0"/>
    <xf numFmtId="0" fontId="6" fillId="0" borderId="0"/>
    <xf numFmtId="0" fontId="3" fillId="0" borderId="0"/>
    <xf numFmtId="0" fontId="6" fillId="0" borderId="0"/>
    <xf numFmtId="0" fontId="3" fillId="0" borderId="0"/>
    <xf numFmtId="0" fontId="3" fillId="0" borderId="0"/>
    <xf numFmtId="0" fontId="3" fillId="0" borderId="0"/>
    <xf numFmtId="0" fontId="16" fillId="3" borderId="0" applyNumberFormat="0" applyBorder="0" applyAlignment="0" applyProtection="0"/>
    <xf numFmtId="0" fontId="16" fillId="4" borderId="0" applyNumberFormat="0" applyBorder="0" applyAlignment="0" applyProtection="0"/>
    <xf numFmtId="0" fontId="16" fillId="5" borderId="0" applyNumberFormat="0" applyBorder="0" applyAlignment="0" applyProtection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6" borderId="0" applyNumberFormat="0" applyBorder="0" applyAlignment="0" applyProtection="0"/>
    <xf numFmtId="0" fontId="16" fillId="9" borderId="0" applyNumberFormat="0" applyBorder="0" applyAlignment="0" applyProtection="0"/>
    <xf numFmtId="0" fontId="16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20" borderId="0" applyNumberFormat="0" applyBorder="0" applyAlignment="0" applyProtection="0"/>
    <xf numFmtId="0" fontId="18" fillId="21" borderId="21" applyNumberFormat="0" applyAlignment="0" applyProtection="0"/>
    <xf numFmtId="0" fontId="19" fillId="21" borderId="22" applyNumberFormat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0" fillId="8" borderId="22" applyNumberFormat="0" applyAlignment="0" applyProtection="0"/>
    <xf numFmtId="0" fontId="21" fillId="0" borderId="23" applyNumberFormat="0" applyFill="0" applyAlignment="0" applyProtection="0"/>
    <xf numFmtId="0" fontId="22" fillId="0" borderId="0" applyNumberFormat="0" applyFill="0" applyBorder="0" applyAlignment="0" applyProtection="0"/>
    <xf numFmtId="165" fontId="3" fillId="0" borderId="0" applyFont="0" applyFill="0" applyBorder="0" applyAlignment="0" applyProtection="0"/>
    <xf numFmtId="0" fontId="23" fillId="5" borderId="0" applyNumberFormat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5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6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22" borderId="24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7" fillId="4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28" fillId="0" borderId="0" applyNumberFormat="0" applyFill="0" applyBorder="0" applyProtection="0">
      <alignment horizontal="center"/>
    </xf>
    <xf numFmtId="0" fontId="29" fillId="0" borderId="25" applyNumberFormat="0" applyFill="0" applyAlignment="0" applyProtection="0"/>
    <xf numFmtId="0" fontId="30" fillId="0" borderId="26" applyNumberFormat="0" applyFill="0" applyAlignment="0" applyProtection="0"/>
    <xf numFmtId="0" fontId="31" fillId="0" borderId="27" applyNumberFormat="0" applyFill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center"/>
    </xf>
    <xf numFmtId="0" fontId="32" fillId="0" borderId="0" applyNumberFormat="0" applyFill="0" applyBorder="0" applyAlignment="0" applyProtection="0"/>
    <xf numFmtId="0" fontId="33" fillId="0" borderId="28" applyNumberFormat="0" applyFill="0" applyAlignment="0" applyProtection="0"/>
    <xf numFmtId="0" fontId="34" fillId="0" borderId="0" applyNumberFormat="0" applyFill="0" applyBorder="0" applyAlignment="0" applyProtection="0"/>
    <xf numFmtId="0" fontId="35" fillId="23" borderId="2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4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5" fillId="0" borderId="0" xfId="0" applyFont="1" applyFill="1" applyAlignment="1">
      <alignment horizontal="centerContinuous"/>
    </xf>
    <xf numFmtId="0" fontId="5" fillId="0" borderId="0" xfId="2" applyFont="1" applyFill="1" applyAlignment="1">
      <alignment horizontal="centerContinuous"/>
    </xf>
    <xf numFmtId="0" fontId="7" fillId="0" borderId="0" xfId="0" applyFont="1" applyAlignment="1">
      <alignment horizontal="center"/>
    </xf>
    <xf numFmtId="0" fontId="7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Continuous"/>
    </xf>
    <xf numFmtId="0" fontId="0" fillId="0" borderId="0" xfId="0" applyFill="1" applyAlignment="1">
      <alignment horizontal="centerContinuous"/>
    </xf>
    <xf numFmtId="0" fontId="0" fillId="0" borderId="0" xfId="0" applyFill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5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8" fillId="0" borderId="0" xfId="0" applyFont="1" applyFill="1" applyAlignment="1">
      <alignment horizontal="centerContinuous"/>
    </xf>
    <xf numFmtId="0" fontId="8" fillId="0" borderId="0" xfId="0" applyFont="1" applyFill="1" applyAlignment="1">
      <alignment horizontal="center"/>
    </xf>
    <xf numFmtId="0" fontId="6" fillId="0" borderId="0" xfId="2" applyFill="1"/>
    <xf numFmtId="0" fontId="10" fillId="0" borderId="0" xfId="4" applyFont="1" applyBorder="1" applyAlignment="1">
      <alignment horizontal="center" vertical="top" wrapText="1"/>
    </xf>
    <xf numFmtId="0" fontId="9" fillId="0" borderId="0" xfId="3" applyFont="1" applyBorder="1" applyAlignment="1">
      <alignment horizontal="center" vertical="top"/>
    </xf>
    <xf numFmtId="0" fontId="9" fillId="0" borderId="0" xfId="3" applyFont="1" applyBorder="1" applyAlignment="1">
      <alignment horizontal="center" vertical="center" wrapText="1"/>
    </xf>
    <xf numFmtId="0" fontId="9" fillId="0" borderId="5" xfId="3" applyFont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top" wrapText="1"/>
    </xf>
    <xf numFmtId="49" fontId="8" fillId="2" borderId="0" xfId="0" applyNumberFormat="1" applyFont="1" applyFill="1" applyBorder="1" applyAlignment="1">
      <alignment horizontal="center" vertical="top" wrapText="1"/>
    </xf>
    <xf numFmtId="0" fontId="8" fillId="2" borderId="5" xfId="0" applyFont="1" applyFill="1" applyBorder="1" applyAlignment="1">
      <alignment horizontal="center" vertical="center"/>
    </xf>
    <xf numFmtId="49" fontId="8" fillId="2" borderId="0" xfId="0" applyNumberFormat="1" applyFont="1" applyFill="1" applyBorder="1" applyAlignment="1">
      <alignment horizontal="center" vertical="center" wrapText="1"/>
    </xf>
    <xf numFmtId="49" fontId="8" fillId="2" borderId="0" xfId="0" applyNumberFormat="1" applyFont="1" applyFill="1" applyBorder="1" applyAlignment="1">
      <alignment horizontal="center" vertical="center"/>
    </xf>
    <xf numFmtId="0" fontId="10" fillId="0" borderId="0" xfId="4" applyFont="1" applyBorder="1" applyAlignment="1">
      <alignment horizontal="center" vertical="top"/>
    </xf>
    <xf numFmtId="0" fontId="3" fillId="0" borderId="0" xfId="3" applyFont="1" applyBorder="1" applyAlignment="1">
      <alignment horizontal="center" vertical="top"/>
    </xf>
    <xf numFmtId="0" fontId="8" fillId="0" borderId="0" xfId="3" applyFont="1" applyBorder="1" applyAlignment="1">
      <alignment horizontal="center" vertical="top"/>
    </xf>
    <xf numFmtId="0" fontId="3" fillId="0" borderId="4" xfId="3" applyBorder="1" applyAlignment="1">
      <alignment vertical="top"/>
    </xf>
    <xf numFmtId="0" fontId="3" fillId="0" borderId="0" xfId="3" applyBorder="1" applyAlignment="1">
      <alignment vertical="top"/>
    </xf>
    <xf numFmtId="0" fontId="3" fillId="0" borderId="5" xfId="3" applyBorder="1" applyAlignment="1">
      <alignment vertical="top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6" xfId="0" applyBorder="1"/>
    <xf numFmtId="0" fontId="6" fillId="0" borderId="6" xfId="2" applyFont="1" applyBorder="1" applyAlignment="1">
      <alignment wrapText="1"/>
    </xf>
    <xf numFmtId="0" fontId="0" fillId="0" borderId="6" xfId="0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0" fillId="0" borderId="6" xfId="0" applyBorder="1" applyAlignment="1">
      <alignment wrapText="1"/>
    </xf>
    <xf numFmtId="0" fontId="9" fillId="0" borderId="6" xfId="0" applyFont="1" applyBorder="1"/>
    <xf numFmtId="0" fontId="3" fillId="0" borderId="7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0" fillId="0" borderId="11" xfId="0" applyBorder="1"/>
    <xf numFmtId="0" fontId="3" fillId="0" borderId="12" xfId="0" quotePrefix="1" applyFont="1" applyBorder="1" applyAlignment="1">
      <alignment horizontal="center"/>
    </xf>
    <xf numFmtId="0" fontId="0" fillId="0" borderId="1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3" xfId="0" applyFill="1" applyBorder="1" applyAlignment="1">
      <alignment horizontal="left"/>
    </xf>
    <xf numFmtId="0" fontId="0" fillId="0" borderId="9" xfId="0" applyBorder="1"/>
    <xf numFmtId="0" fontId="0" fillId="0" borderId="11" xfId="0" applyBorder="1" applyAlignment="1">
      <alignment horizontal="center"/>
    </xf>
    <xf numFmtId="0" fontId="3" fillId="0" borderId="13" xfId="0" applyFont="1" applyBorder="1" applyAlignment="1">
      <alignment horizontal="center"/>
    </xf>
    <xf numFmtId="49" fontId="3" fillId="0" borderId="11" xfId="0" applyNumberFormat="1" applyFont="1" applyBorder="1" applyAlignment="1">
      <alignment horizontal="center"/>
    </xf>
    <xf numFmtId="2" fontId="3" fillId="0" borderId="14" xfId="0" applyNumberFormat="1" applyFont="1" applyBorder="1" applyAlignment="1">
      <alignment horizontal="center"/>
    </xf>
    <xf numFmtId="2" fontId="3" fillId="0" borderId="13" xfId="5" applyNumberFormat="1" applyFont="1" applyBorder="1" applyAlignment="1">
      <alignment horizontal="center"/>
    </xf>
    <xf numFmtId="2" fontId="3" fillId="0" borderId="0" xfId="5" applyNumberFormat="1" applyFont="1" applyBorder="1" applyAlignment="1">
      <alignment horizontal="center"/>
    </xf>
    <xf numFmtId="0" fontId="0" fillId="0" borderId="13" xfId="0" applyBorder="1"/>
    <xf numFmtId="0" fontId="0" fillId="0" borderId="11" xfId="0" applyFill="1" applyBorder="1" applyAlignment="1">
      <alignment horizontal="left"/>
    </xf>
    <xf numFmtId="0" fontId="0" fillId="0" borderId="15" xfId="0" applyBorder="1" applyAlignment="1">
      <alignment horizontal="center"/>
    </xf>
    <xf numFmtId="2" fontId="3" fillId="0" borderId="11" xfId="5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0" fontId="11" fillId="0" borderId="11" xfId="0" applyFont="1" applyBorder="1" applyAlignment="1">
      <alignment horizontal="left" wrapText="1"/>
    </xf>
    <xf numFmtId="0" fontId="3" fillId="0" borderId="0" xfId="0" quotePrefix="1" applyFont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1" xfId="0" applyFill="1" applyBorder="1"/>
    <xf numFmtId="0" fontId="0" fillId="0" borderId="11" xfId="0" applyFill="1" applyBorder="1" applyAlignment="1">
      <alignment horizontal="center"/>
    </xf>
    <xf numFmtId="0" fontId="3" fillId="0" borderId="9" xfId="6" applyFont="1" applyBorder="1" applyAlignment="1">
      <alignment horizontal="center" vertical="top"/>
    </xf>
    <xf numFmtId="0" fontId="3" fillId="0" borderId="11" xfId="6" applyFont="1" applyBorder="1" applyAlignment="1">
      <alignment horizontal="center" vertical="top"/>
    </xf>
    <xf numFmtId="0" fontId="3" fillId="0" borderId="11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11" xfId="0" applyFont="1" applyBorder="1"/>
    <xf numFmtId="0" fontId="3" fillId="0" borderId="11" xfId="6" applyFont="1" applyBorder="1" applyAlignment="1">
      <alignment horizontal="left" vertical="top"/>
    </xf>
    <xf numFmtId="0" fontId="3" fillId="0" borderId="9" xfId="6" applyFont="1" applyBorder="1" applyAlignment="1">
      <alignment vertical="top"/>
    </xf>
    <xf numFmtId="0" fontId="6" fillId="0" borderId="0" xfId="2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0" fillId="0" borderId="16" xfId="0" applyBorder="1"/>
    <xf numFmtId="0" fontId="3" fillId="0" borderId="16" xfId="3" applyFont="1" applyBorder="1" applyAlignment="1">
      <alignment horizontal="center" vertical="top"/>
    </xf>
    <xf numFmtId="0" fontId="3" fillId="0" borderId="16" xfId="3" quotePrefix="1" applyBorder="1" applyAlignment="1">
      <alignment horizontal="center" vertical="top"/>
    </xf>
    <xf numFmtId="0" fontId="3" fillId="0" borderId="16" xfId="7" applyBorder="1" applyAlignment="1">
      <alignment horizontal="center" vertical="top"/>
    </xf>
    <xf numFmtId="0" fontId="3" fillId="0" borderId="17" xfId="7" applyBorder="1" applyAlignment="1">
      <alignment horizontal="center" vertical="top"/>
    </xf>
    <xf numFmtId="0" fontId="3" fillId="0" borderId="16" xfId="7" applyFont="1" applyBorder="1" applyAlignment="1">
      <alignment horizontal="center" vertical="top"/>
    </xf>
    <xf numFmtId="0" fontId="3" fillId="0" borderId="16" xfId="0" applyFon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2" fontId="3" fillId="0" borderId="16" xfId="5" applyNumberFormat="1" applyFont="1" applyBorder="1" applyAlignment="1">
      <alignment horizontal="center"/>
    </xf>
    <xf numFmtId="2" fontId="3" fillId="0" borderId="18" xfId="5" applyNumberFormat="1" applyFont="1" applyBorder="1" applyAlignment="1">
      <alignment horizontal="center"/>
    </xf>
    <xf numFmtId="0" fontId="0" fillId="0" borderId="19" xfId="0" applyBorder="1"/>
    <xf numFmtId="0" fontId="0" fillId="0" borderId="18" xfId="0" applyBorder="1"/>
    <xf numFmtId="0" fontId="0" fillId="0" borderId="20" xfId="0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left"/>
    </xf>
    <xf numFmtId="0" fontId="0" fillId="0" borderId="0" xfId="0" applyAlignment="1">
      <alignment wrapText="1"/>
    </xf>
    <xf numFmtId="0" fontId="0" fillId="0" borderId="0" xfId="0" applyFill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11" fillId="0" borderId="0" xfId="0" applyFont="1" applyBorder="1" applyAlignment="1">
      <alignment horizontal="left" wrapText="1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3" fillId="0" borderId="0" xfId="6" applyFont="1" applyBorder="1" applyAlignment="1">
      <alignment horizontal="center" vertical="top"/>
    </xf>
    <xf numFmtId="0" fontId="3" fillId="0" borderId="0" xfId="0" applyFont="1" applyBorder="1"/>
    <xf numFmtId="0" fontId="3" fillId="0" borderId="0" xfId="6" applyFont="1" applyBorder="1" applyAlignment="1">
      <alignment horizontal="left" vertical="top"/>
    </xf>
    <xf numFmtId="0" fontId="3" fillId="0" borderId="0" xfId="6" applyFont="1" applyBorder="1" applyAlignment="1">
      <alignment vertical="top"/>
    </xf>
    <xf numFmtId="0" fontId="3" fillId="0" borderId="0" xfId="3" quotePrefix="1" applyBorder="1" applyAlignment="1">
      <alignment horizontal="center" vertical="top"/>
    </xf>
    <xf numFmtId="0" fontId="3" fillId="0" borderId="0" xfId="7" applyBorder="1" applyAlignment="1">
      <alignment horizontal="center" vertical="top"/>
    </xf>
    <xf numFmtId="0" fontId="3" fillId="0" borderId="0" xfId="7" applyFont="1" applyBorder="1" applyAlignment="1">
      <alignment horizontal="center" vertical="top"/>
    </xf>
    <xf numFmtId="0" fontId="8" fillId="0" borderId="0" xfId="0" applyFont="1" applyBorder="1" applyAlignment="1">
      <alignment horizontal="left"/>
    </xf>
    <xf numFmtId="0" fontId="0" fillId="0" borderId="0" xfId="0" applyBorder="1" applyAlignment="1">
      <alignment wrapText="1"/>
    </xf>
    <xf numFmtId="0" fontId="6" fillId="0" borderId="0" xfId="2" applyBorder="1" applyAlignment="1">
      <alignment horizontal="center"/>
    </xf>
    <xf numFmtId="0" fontId="10" fillId="0" borderId="0" xfId="2" applyFont="1" applyBorder="1" applyAlignment="1">
      <alignment horizontal="center"/>
    </xf>
    <xf numFmtId="0" fontId="10" fillId="0" borderId="0" xfId="2" applyFont="1" applyBorder="1" applyAlignment="1">
      <alignment horizontal="left"/>
    </xf>
    <xf numFmtId="0" fontId="10" fillId="0" borderId="0" xfId="2" applyFont="1" applyAlignment="1">
      <alignment horizontal="center"/>
    </xf>
    <xf numFmtId="0" fontId="6" fillId="0" borderId="0" xfId="2" applyAlignment="1">
      <alignment horizontal="center"/>
    </xf>
    <xf numFmtId="0" fontId="9" fillId="0" borderId="0" xfId="3" applyFont="1" applyBorder="1" applyAlignment="1">
      <alignment horizontal="center" vertical="top"/>
    </xf>
    <xf numFmtId="164" fontId="4" fillId="0" borderId="0" xfId="1" applyFont="1" applyAlignment="1">
      <alignment horizontal="center"/>
    </xf>
    <xf numFmtId="164" fontId="3" fillId="0" borderId="0" xfId="1" applyAlignment="1">
      <alignment horizontal="center"/>
    </xf>
    <xf numFmtId="0" fontId="9" fillId="0" borderId="0" xfId="3" applyFont="1" applyBorder="1" applyAlignment="1">
      <alignment horizontal="center" vertical="top" wrapText="1"/>
    </xf>
    <xf numFmtId="0" fontId="8" fillId="0" borderId="0" xfId="3" applyFont="1" applyBorder="1" applyAlignment="1">
      <alignment vertical="top" wrapText="1"/>
    </xf>
    <xf numFmtId="0" fontId="8" fillId="0" borderId="0" xfId="3" applyFont="1" applyBorder="1" applyAlignment="1">
      <alignment vertical="top"/>
    </xf>
    <xf numFmtId="0" fontId="9" fillId="0" borderId="0" xfId="3" applyFont="1" applyBorder="1" applyAlignment="1">
      <alignment vertical="top"/>
    </xf>
    <xf numFmtId="0" fontId="3" fillId="0" borderId="9" xfId="90" applyBorder="1"/>
    <xf numFmtId="0" fontId="3" fillId="0" borderId="11" xfId="90" applyBorder="1"/>
    <xf numFmtId="0" fontId="3" fillId="0" borderId="9" xfId="90" applyBorder="1" applyAlignment="1">
      <alignment horizontal="center"/>
    </xf>
    <xf numFmtId="0" fontId="3" fillId="0" borderId="11" xfId="90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3" fillId="0" borderId="0" xfId="90" applyBorder="1" applyAlignment="1">
      <alignment horizontal="center" wrapText="1"/>
    </xf>
    <xf numFmtId="0" fontId="3" fillId="0" borderId="9" xfId="90" applyFont="1" applyBorder="1"/>
    <xf numFmtId="0" fontId="3" fillId="0" borderId="11" xfId="90" applyFill="1" applyBorder="1" applyAlignment="1">
      <alignment horizontal="left"/>
    </xf>
    <xf numFmtId="2" fontId="3" fillId="0" borderId="11" xfId="5" applyNumberFormat="1" applyFont="1" applyBorder="1" applyAlignment="1">
      <alignment horizontal="center"/>
    </xf>
    <xf numFmtId="2" fontId="3" fillId="0" borderId="0" xfId="5" applyNumberFormat="1" applyFont="1" applyBorder="1" applyAlignment="1">
      <alignment horizontal="center"/>
    </xf>
    <xf numFmtId="0" fontId="3" fillId="0" borderId="12" xfId="90" quotePrefix="1" applyFont="1" applyBorder="1" applyAlignment="1">
      <alignment horizontal="center"/>
    </xf>
    <xf numFmtId="0" fontId="3" fillId="0" borderId="12" xfId="90" applyBorder="1" applyAlignment="1">
      <alignment horizontal="center" wrapText="1"/>
    </xf>
    <xf numFmtId="0" fontId="3" fillId="0" borderId="9" xfId="90" applyBorder="1" applyAlignment="1">
      <alignment horizontal="center"/>
    </xf>
    <xf numFmtId="0" fontId="3" fillId="0" borderId="0" xfId="90" applyBorder="1" applyAlignment="1">
      <alignment horizontal="center" wrapText="1"/>
    </xf>
    <xf numFmtId="0" fontId="3" fillId="0" borderId="11" xfId="90" applyFill="1" applyBorder="1" applyAlignment="1">
      <alignment horizontal="left"/>
    </xf>
  </cellXfs>
  <cellStyles count="395">
    <cellStyle name="20% - Akzent1" xfId="8"/>
    <cellStyle name="20% - Akzent2" xfId="9"/>
    <cellStyle name="20% - Akzent3" xfId="10"/>
    <cellStyle name="20% - Akzent4" xfId="11"/>
    <cellStyle name="20% - Akzent5" xfId="12"/>
    <cellStyle name="20% - Akzent6" xfId="13"/>
    <cellStyle name="40% - Akzent1" xfId="14"/>
    <cellStyle name="40% - Akzent2" xfId="15"/>
    <cellStyle name="40% - Akzent3" xfId="16"/>
    <cellStyle name="40% - Akzent4" xfId="17"/>
    <cellStyle name="40% - Akzent5" xfId="18"/>
    <cellStyle name="40% - Akzent6" xfId="19"/>
    <cellStyle name="60% - Akzent1" xfId="20"/>
    <cellStyle name="60% - Akzent2" xfId="21"/>
    <cellStyle name="60% - Akzent3" xfId="22"/>
    <cellStyle name="60% - Akzent4" xfId="23"/>
    <cellStyle name="60% - Akzent5" xfId="24"/>
    <cellStyle name="60% - Akzent6" xfId="25"/>
    <cellStyle name="Akzent1" xfId="26"/>
    <cellStyle name="Akzent2" xfId="27"/>
    <cellStyle name="Akzent3" xfId="28"/>
    <cellStyle name="Akzent4" xfId="29"/>
    <cellStyle name="Akzent5" xfId="30"/>
    <cellStyle name="Akzent6" xfId="31"/>
    <cellStyle name="Ausgabe" xfId="32"/>
    <cellStyle name="Berechnung" xfId="33"/>
    <cellStyle name="Currency" xfId="1" builtinId="4"/>
    <cellStyle name="Currency 2" xfId="34"/>
    <cellStyle name="Currency 3" xfId="35"/>
    <cellStyle name="Currency 4" xfId="36"/>
    <cellStyle name="Currency 5" xfId="37"/>
    <cellStyle name="Currency 6" xfId="38"/>
    <cellStyle name="Currency 7" xfId="39"/>
    <cellStyle name="Eingabe" xfId="40"/>
    <cellStyle name="Ergebnis" xfId="41"/>
    <cellStyle name="Erklärender Text" xfId="42"/>
    <cellStyle name="Euro" xfId="43"/>
    <cellStyle name="Gut" xfId="44"/>
    <cellStyle name="Hyperlink 2" xfId="45"/>
    <cellStyle name="Hyperlink 3" xfId="46"/>
    <cellStyle name="Hyperlink 3 2" xfId="47"/>
    <cellStyle name="Hyperlink 3 3" xfId="48"/>
    <cellStyle name="Hyperlink 3 4" xfId="49"/>
    <cellStyle name="Normal" xfId="0" builtinId="0"/>
    <cellStyle name="Normal 10" xfId="50"/>
    <cellStyle name="Normal 10 2" xfId="51"/>
    <cellStyle name="Normal 10 2 2" xfId="52"/>
    <cellStyle name="Normal 10 2 2 2" xfId="53"/>
    <cellStyle name="Normal 10 2 2 2 2" xfId="54"/>
    <cellStyle name="Normal 10 2 2 2 2 2" xfId="55"/>
    <cellStyle name="Normal 10 2 2 2 2 2 2" xfId="243"/>
    <cellStyle name="Normal 10 2 2 2 2 3" xfId="242"/>
    <cellStyle name="Normal 10 2 2 2 3" xfId="56"/>
    <cellStyle name="Normal 10 2 2 2 3 2" xfId="244"/>
    <cellStyle name="Normal 10 2 2 2 4" xfId="241"/>
    <cellStyle name="Normal 10 2 2 3" xfId="57"/>
    <cellStyle name="Normal 10 2 2 3 2" xfId="58"/>
    <cellStyle name="Normal 10 2 2 3 2 2" xfId="246"/>
    <cellStyle name="Normal 10 2 2 3 3" xfId="245"/>
    <cellStyle name="Normal 10 2 2 4" xfId="59"/>
    <cellStyle name="Normal 10 2 2 4 2" xfId="60"/>
    <cellStyle name="Normal 10 2 2 4 2 2" xfId="248"/>
    <cellStyle name="Normal 10 2 2 4 3" xfId="247"/>
    <cellStyle name="Normal 10 2 2 5" xfId="61"/>
    <cellStyle name="Normal 10 2 2 5 2" xfId="249"/>
    <cellStyle name="Normal 10 2 2 6" xfId="240"/>
    <cellStyle name="Normal 10 2 3" xfId="62"/>
    <cellStyle name="Normal 10 2 3 2" xfId="63"/>
    <cellStyle name="Normal 10 2 3 2 2" xfId="64"/>
    <cellStyle name="Normal 10 2 3 2 2 2" xfId="252"/>
    <cellStyle name="Normal 10 2 3 2 3" xfId="251"/>
    <cellStyle name="Normal 10 2 3 3" xfId="65"/>
    <cellStyle name="Normal 10 2 3 3 2" xfId="253"/>
    <cellStyle name="Normal 10 2 3 4" xfId="250"/>
    <cellStyle name="Normal 10 2 4" xfId="66"/>
    <cellStyle name="Normal 10 2 4 2" xfId="67"/>
    <cellStyle name="Normal 10 2 4 2 2" xfId="255"/>
    <cellStyle name="Normal 10 2 4 3" xfId="254"/>
    <cellStyle name="Normal 10 2 5" xfId="68"/>
    <cellStyle name="Normal 10 2 5 2" xfId="69"/>
    <cellStyle name="Normal 10 2 5 2 2" xfId="257"/>
    <cellStyle name="Normal 10 2 5 3" xfId="256"/>
    <cellStyle name="Normal 10 2 6" xfId="70"/>
    <cellStyle name="Normal 10 2 6 2" xfId="258"/>
    <cellStyle name="Normal 10 2 7" xfId="239"/>
    <cellStyle name="Normal 10 3" xfId="71"/>
    <cellStyle name="Normal 10 3 2" xfId="72"/>
    <cellStyle name="Normal 10 3 2 2" xfId="73"/>
    <cellStyle name="Normal 10 3 2 2 2" xfId="74"/>
    <cellStyle name="Normal 10 3 2 2 2 2" xfId="262"/>
    <cellStyle name="Normal 10 3 2 2 3" xfId="261"/>
    <cellStyle name="Normal 10 3 2 3" xfId="75"/>
    <cellStyle name="Normal 10 3 2 3 2" xfId="263"/>
    <cellStyle name="Normal 10 3 2 4" xfId="260"/>
    <cellStyle name="Normal 10 3 3" xfId="76"/>
    <cellStyle name="Normal 10 3 3 2" xfId="77"/>
    <cellStyle name="Normal 10 3 3 2 2" xfId="265"/>
    <cellStyle name="Normal 10 3 3 3" xfId="264"/>
    <cellStyle name="Normal 10 3 4" xfId="78"/>
    <cellStyle name="Normal 10 3 4 2" xfId="79"/>
    <cellStyle name="Normal 10 3 4 2 2" xfId="267"/>
    <cellStyle name="Normal 10 3 4 3" xfId="266"/>
    <cellStyle name="Normal 10 3 5" xfId="80"/>
    <cellStyle name="Normal 10 3 5 2" xfId="268"/>
    <cellStyle name="Normal 10 3 6" xfId="259"/>
    <cellStyle name="Normal 10 4" xfId="81"/>
    <cellStyle name="Normal 10 4 2" xfId="82"/>
    <cellStyle name="Normal 10 4 2 2" xfId="83"/>
    <cellStyle name="Normal 10 4 2 2 2" xfId="271"/>
    <cellStyle name="Normal 10 4 2 3" xfId="270"/>
    <cellStyle name="Normal 10 4 3" xfId="84"/>
    <cellStyle name="Normal 10 4 3 2" xfId="272"/>
    <cellStyle name="Normal 10 4 4" xfId="269"/>
    <cellStyle name="Normal 10 5" xfId="85"/>
    <cellStyle name="Normal 10 5 2" xfId="86"/>
    <cellStyle name="Normal 10 5 2 2" xfId="274"/>
    <cellStyle name="Normal 10 5 3" xfId="273"/>
    <cellStyle name="Normal 10 6" xfId="87"/>
    <cellStyle name="Normal 10 6 2" xfId="88"/>
    <cellStyle name="Normal 10 6 2 2" xfId="276"/>
    <cellStyle name="Normal 10 6 3" xfId="275"/>
    <cellStyle name="Normal 10 7" xfId="89"/>
    <cellStyle name="Normal 10 7 2" xfId="277"/>
    <cellStyle name="Normal 10 8" xfId="238"/>
    <cellStyle name="Normal 11" xfId="90"/>
    <cellStyle name="Normal 11 2" xfId="91"/>
    <cellStyle name="Normal 12" xfId="278"/>
    <cellStyle name="Normal 12 2" xfId="279"/>
    <cellStyle name="Normal 12 3" xfId="280"/>
    <cellStyle name="Normal 2" xfId="2"/>
    <cellStyle name="Normal 2 2" xfId="92"/>
    <cellStyle name="Normal 2 2 2" xfId="5"/>
    <cellStyle name="Normal 2 2 2 2" xfId="93"/>
    <cellStyle name="Normal 2 3" xfId="94"/>
    <cellStyle name="Normal 2 3 2" xfId="95"/>
    <cellStyle name="Normal 2 3 2 2" xfId="96"/>
    <cellStyle name="Normal 2 3 2 2 2" xfId="282"/>
    <cellStyle name="Normal 2 3 2 3" xfId="281"/>
    <cellStyle name="Normal 2 3 3" xfId="97"/>
    <cellStyle name="Normal 2 3 3 2" xfId="98"/>
    <cellStyle name="Normal 2 3 3 2 2" xfId="284"/>
    <cellStyle name="Normal 2 3 3 3" xfId="283"/>
    <cellStyle name="Normal 2 3 4" xfId="99"/>
    <cellStyle name="Normal 2 3 4 2" xfId="285"/>
    <cellStyle name="Normal 2 3 5" xfId="100"/>
    <cellStyle name="Normal 2 3 5 2" xfId="286"/>
    <cellStyle name="Normal 3" xfId="101"/>
    <cellStyle name="Normal 3 10" xfId="287"/>
    <cellStyle name="Normal 3 2" xfId="102"/>
    <cellStyle name="Normal 3 2 2" xfId="103"/>
    <cellStyle name="Normal 3 2 2 2" xfId="104"/>
    <cellStyle name="Normal 3 2 2 2 2" xfId="105"/>
    <cellStyle name="Normal 3 2 2 2 2 2" xfId="106"/>
    <cellStyle name="Normal 3 2 2 2 2 2 2" xfId="292"/>
    <cellStyle name="Normal 3 2 2 2 2 3" xfId="291"/>
    <cellStyle name="Normal 3 2 2 2 3" xfId="107"/>
    <cellStyle name="Normal 3 2 2 2 3 2" xfId="293"/>
    <cellStyle name="Normal 3 2 2 2 4" xfId="290"/>
    <cellStyle name="Normal 3 2 2 3" xfId="108"/>
    <cellStyle name="Normal 3 2 2 3 2" xfId="109"/>
    <cellStyle name="Normal 3 2 2 3 2 2" xfId="295"/>
    <cellStyle name="Normal 3 2 2 3 3" xfId="294"/>
    <cellStyle name="Normal 3 2 2 4" xfId="110"/>
    <cellStyle name="Normal 3 2 2 4 2" xfId="111"/>
    <cellStyle name="Normal 3 2 2 4 2 2" xfId="297"/>
    <cellStyle name="Normal 3 2 2 4 3" xfId="296"/>
    <cellStyle name="Normal 3 2 2 5" xfId="112"/>
    <cellStyle name="Normal 3 2 2 5 2" xfId="298"/>
    <cellStyle name="Normal 3 2 2 6" xfId="289"/>
    <cellStyle name="Normal 3 2 3" xfId="113"/>
    <cellStyle name="Normal 3 2 3 2" xfId="114"/>
    <cellStyle name="Normal 3 2 3 2 2" xfId="115"/>
    <cellStyle name="Normal 3 2 3 2 2 2" xfId="301"/>
    <cellStyle name="Normal 3 2 3 2 3" xfId="300"/>
    <cellStyle name="Normal 3 2 3 3" xfId="116"/>
    <cellStyle name="Normal 3 2 3 3 2" xfId="302"/>
    <cellStyle name="Normal 3 2 3 4" xfId="299"/>
    <cellStyle name="Normal 3 2 4" xfId="117"/>
    <cellStyle name="Normal 3 2 4 2" xfId="118"/>
    <cellStyle name="Normal 3 2 4 2 2" xfId="304"/>
    <cellStyle name="Normal 3 2 4 3" xfId="303"/>
    <cellStyle name="Normal 3 2 5" xfId="119"/>
    <cellStyle name="Normal 3 2 5 2" xfId="120"/>
    <cellStyle name="Normal 3 2 5 2 2" xfId="306"/>
    <cellStyle name="Normal 3 2 5 3" xfId="305"/>
    <cellStyle name="Normal 3 2 6" xfId="121"/>
    <cellStyle name="Normal 3 2 6 2" xfId="307"/>
    <cellStyle name="Normal 3 2 7" xfId="288"/>
    <cellStyle name="Normal 3 3" xfId="122"/>
    <cellStyle name="Normal 3 3 2" xfId="123"/>
    <cellStyle name="Normal 3 3 2 2" xfId="124"/>
    <cellStyle name="Normal 3 3 2 2 2" xfId="125"/>
    <cellStyle name="Normal 3 3 2 2 2 2" xfId="311"/>
    <cellStyle name="Normal 3 3 2 2 3" xfId="310"/>
    <cellStyle name="Normal 3 3 2 3" xfId="126"/>
    <cellStyle name="Normal 3 3 2 3 2" xfId="312"/>
    <cellStyle name="Normal 3 3 2 4" xfId="309"/>
    <cellStyle name="Normal 3 3 3" xfId="127"/>
    <cellStyle name="Normal 3 3 3 2" xfId="128"/>
    <cellStyle name="Normal 3 3 3 2 2" xfId="314"/>
    <cellStyle name="Normal 3 3 3 3" xfId="313"/>
    <cellStyle name="Normal 3 3 4" xfId="129"/>
    <cellStyle name="Normal 3 3 4 2" xfId="130"/>
    <cellStyle name="Normal 3 3 4 2 2" xfId="316"/>
    <cellStyle name="Normal 3 3 4 3" xfId="315"/>
    <cellStyle name="Normal 3 3 5" xfId="131"/>
    <cellStyle name="Normal 3 3 5 2" xfId="317"/>
    <cellStyle name="Normal 3 3 6" xfId="308"/>
    <cellStyle name="Normal 3 4" xfId="132"/>
    <cellStyle name="Normal 3 4 2" xfId="133"/>
    <cellStyle name="Normal 3 4 2 2" xfId="134"/>
    <cellStyle name="Normal 3 4 2 2 2" xfId="135"/>
    <cellStyle name="Normal 3 4 2 2 2 2" xfId="321"/>
    <cellStyle name="Normal 3 4 2 2 3" xfId="320"/>
    <cellStyle name="Normal 3 4 2 3" xfId="136"/>
    <cellStyle name="Normal 3 4 2 3 2" xfId="322"/>
    <cellStyle name="Normal 3 4 2 4" xfId="319"/>
    <cellStyle name="Normal 3 4 3" xfId="137"/>
    <cellStyle name="Normal 3 4 3 2" xfId="138"/>
    <cellStyle name="Normal 3 4 3 2 2" xfId="324"/>
    <cellStyle name="Normal 3 4 3 3" xfId="323"/>
    <cellStyle name="Normal 3 4 4" xfId="139"/>
    <cellStyle name="Normal 3 4 4 2" xfId="140"/>
    <cellStyle name="Normal 3 4 4 2 2" xfId="326"/>
    <cellStyle name="Normal 3 4 4 3" xfId="325"/>
    <cellStyle name="Normal 3 4 5" xfId="141"/>
    <cellStyle name="Normal 3 4 5 2" xfId="327"/>
    <cellStyle name="Normal 3 4 6" xfId="142"/>
    <cellStyle name="Normal 3 4 7" xfId="318"/>
    <cellStyle name="Normal 3 5" xfId="143"/>
    <cellStyle name="Normal 3 5 2" xfId="144"/>
    <cellStyle name="Normal 3 5 2 2" xfId="145"/>
    <cellStyle name="Normal 3 5 2 2 2" xfId="146"/>
    <cellStyle name="Normal 3 5 2 2 2 2" xfId="331"/>
    <cellStyle name="Normal 3 5 2 2 3" xfId="330"/>
    <cellStyle name="Normal 3 5 2 3" xfId="147"/>
    <cellStyle name="Normal 3 5 2 3 2" xfId="332"/>
    <cellStyle name="Normal 3 5 2 4" xfId="329"/>
    <cellStyle name="Normal 3 5 3" xfId="148"/>
    <cellStyle name="Normal 3 5 3 2" xfId="149"/>
    <cellStyle name="Normal 3 5 3 2 2" xfId="334"/>
    <cellStyle name="Normal 3 5 3 3" xfId="333"/>
    <cellStyle name="Normal 3 5 4" xfId="150"/>
    <cellStyle name="Normal 3 5 4 2" xfId="151"/>
    <cellStyle name="Normal 3 5 4 2 2" xfId="336"/>
    <cellStyle name="Normal 3 5 4 3" xfId="335"/>
    <cellStyle name="Normal 3 5 5" xfId="152"/>
    <cellStyle name="Normal 3 5 5 2" xfId="337"/>
    <cellStyle name="Normal 3 5 6" xfId="328"/>
    <cellStyle name="Normal 3 6" xfId="153"/>
    <cellStyle name="Normal 3 6 2" xfId="154"/>
    <cellStyle name="Normal 3 6 2 2" xfId="155"/>
    <cellStyle name="Normal 3 6 2 2 2" xfId="340"/>
    <cellStyle name="Normal 3 6 2 3" xfId="339"/>
    <cellStyle name="Normal 3 6 3" xfId="156"/>
    <cellStyle name="Normal 3 6 3 2" xfId="341"/>
    <cellStyle name="Normal 3 6 4" xfId="338"/>
    <cellStyle name="Normal 3 7" xfId="157"/>
    <cellStyle name="Normal 3 7 2" xfId="158"/>
    <cellStyle name="Normal 3 7 2 2" xfId="343"/>
    <cellStyle name="Normal 3 7 3" xfId="342"/>
    <cellStyle name="Normal 3 8" xfId="159"/>
    <cellStyle name="Normal 3 8 2" xfId="160"/>
    <cellStyle name="Normal 3 8 2 2" xfId="345"/>
    <cellStyle name="Normal 3 8 3" xfId="344"/>
    <cellStyle name="Normal 3 9" xfId="161"/>
    <cellStyle name="Normal 3 9 2" xfId="346"/>
    <cellStyle name="Normal 4" xfId="162"/>
    <cellStyle name="Normal 4 2" xfId="163"/>
    <cellStyle name="Normal 5" xfId="164"/>
    <cellStyle name="Normal 5 2" xfId="165"/>
    <cellStyle name="Normal 5 2 2" xfId="166"/>
    <cellStyle name="Normal 5 2 2 2" xfId="167"/>
    <cellStyle name="Normal 5 2 2 2 2" xfId="168"/>
    <cellStyle name="Normal 5 2 2 2 2 2" xfId="350"/>
    <cellStyle name="Normal 5 2 2 2 3" xfId="349"/>
    <cellStyle name="Normal 5 2 2 3" xfId="169"/>
    <cellStyle name="Normal 5 2 2 3 2" xfId="170"/>
    <cellStyle name="Normal 5 2 2 3 2 2" xfId="352"/>
    <cellStyle name="Normal 5 2 2 3 3" xfId="351"/>
    <cellStyle name="Normal 5 2 2 4" xfId="171"/>
    <cellStyle name="Normal 5 2 2 4 2" xfId="353"/>
    <cellStyle name="Normal 5 2 2 5" xfId="348"/>
    <cellStyle name="Normal 5 2 3" xfId="172"/>
    <cellStyle name="Normal 5 2 3 2" xfId="173"/>
    <cellStyle name="Normal 5 2 3 2 2" xfId="355"/>
    <cellStyle name="Normal 5 2 3 3" xfId="354"/>
    <cellStyle name="Normal 5 2 4" xfId="174"/>
    <cellStyle name="Normal 5 2 4 2" xfId="175"/>
    <cellStyle name="Normal 5 2 4 2 2" xfId="357"/>
    <cellStyle name="Normal 5 2 4 3" xfId="356"/>
    <cellStyle name="Normal 5 2 5" xfId="176"/>
    <cellStyle name="Normal 5 2 5 2" xfId="358"/>
    <cellStyle name="Normal 5 2 6" xfId="347"/>
    <cellStyle name="Normal 5 3" xfId="177"/>
    <cellStyle name="Normal 5 3 2" xfId="178"/>
    <cellStyle name="Normal 5 3 2 2" xfId="179"/>
    <cellStyle name="Normal 5 3 2 2 2" xfId="361"/>
    <cellStyle name="Normal 5 3 2 3" xfId="360"/>
    <cellStyle name="Normal 5 3 3" xfId="180"/>
    <cellStyle name="Normal 5 3 3 2" xfId="181"/>
    <cellStyle name="Normal 5 3 3 2 2" xfId="363"/>
    <cellStyle name="Normal 5 3 3 3" xfId="362"/>
    <cellStyle name="Normal 5 3 4" xfId="182"/>
    <cellStyle name="Normal 5 3 4 2" xfId="364"/>
    <cellStyle name="Normal 5 3 5" xfId="359"/>
    <cellStyle name="Normal 5 4" xfId="183"/>
    <cellStyle name="Normal 5 4 2" xfId="184"/>
    <cellStyle name="Normal 5 4 2 2" xfId="366"/>
    <cellStyle name="Normal 5 4 3" xfId="365"/>
    <cellStyle name="Normal 5 5" xfId="185"/>
    <cellStyle name="Normal 5 5 2" xfId="186"/>
    <cellStyle name="Normal 5 5 2 2" xfId="368"/>
    <cellStyle name="Normal 5 5 3" xfId="367"/>
    <cellStyle name="Normal 5 6" xfId="187"/>
    <cellStyle name="Normal 5 6 2" xfId="369"/>
    <cellStyle name="Normal 5 7" xfId="188"/>
    <cellStyle name="Normal 5 7 2" xfId="370"/>
    <cellStyle name="Normal 6" xfId="189"/>
    <cellStyle name="Normal 6 2" xfId="190"/>
    <cellStyle name="Normal 7" xfId="191"/>
    <cellStyle name="Normal 7 2" xfId="192"/>
    <cellStyle name="Normal 7 2 2" xfId="193"/>
    <cellStyle name="Normal 7 2 2 2" xfId="194"/>
    <cellStyle name="Normal 7 2 2 2 2" xfId="373"/>
    <cellStyle name="Normal 7 2 2 3" xfId="372"/>
    <cellStyle name="Normal 7 2 3" xfId="195"/>
    <cellStyle name="Normal 7 2 3 2" xfId="196"/>
    <cellStyle name="Normal 7 2 3 2 2" xfId="375"/>
    <cellStyle name="Normal 7 2 3 3" xfId="374"/>
    <cellStyle name="Normal 7 2 4" xfId="197"/>
    <cellStyle name="Normal 7 2 4 2" xfId="376"/>
    <cellStyle name="Normal 7 2 5" xfId="371"/>
    <cellStyle name="Normal 7 3" xfId="198"/>
    <cellStyle name="Normal 7 3 2" xfId="199"/>
    <cellStyle name="Normal 7 3 2 2" xfId="378"/>
    <cellStyle name="Normal 7 3 3" xfId="377"/>
    <cellStyle name="Normal 7 4" xfId="200"/>
    <cellStyle name="Normal 7 4 2" xfId="201"/>
    <cellStyle name="Normal 7 4 2 2" xfId="380"/>
    <cellStyle name="Normal 7 4 3" xfId="379"/>
    <cellStyle name="Normal 7 5" xfId="202"/>
    <cellStyle name="Normal 7 5 2" xfId="381"/>
    <cellStyle name="Normal 7 6" xfId="203"/>
    <cellStyle name="Normal 7 6 2" xfId="382"/>
    <cellStyle name="Normal 8" xfId="204"/>
    <cellStyle name="Normal 8 2" xfId="205"/>
    <cellStyle name="Normal 9" xfId="206"/>
    <cellStyle name="Normal 9 2" xfId="207"/>
    <cellStyle name="Normal 9 2 2" xfId="208"/>
    <cellStyle name="Normal 9 2 2 2" xfId="209"/>
    <cellStyle name="Normal 9 2 2 2 2" xfId="385"/>
    <cellStyle name="Normal 9 2 2 3" xfId="384"/>
    <cellStyle name="Normal 9 2 3" xfId="210"/>
    <cellStyle name="Normal 9 2 3 2" xfId="211"/>
    <cellStyle name="Normal 9 2 3 2 2" xfId="387"/>
    <cellStyle name="Normal 9 2 3 3" xfId="386"/>
    <cellStyle name="Normal 9 2 4" xfId="212"/>
    <cellStyle name="Normal 9 2 4 2" xfId="388"/>
    <cellStyle name="Normal 9 2 5" xfId="383"/>
    <cellStyle name="Normal 9 3" xfId="213"/>
    <cellStyle name="Normal 9 3 2" xfId="214"/>
    <cellStyle name="Normal 9 3 2 2" xfId="390"/>
    <cellStyle name="Normal 9 3 3" xfId="389"/>
    <cellStyle name="Normal 9 4" xfId="215"/>
    <cellStyle name="Normal 9 4 2" xfId="216"/>
    <cellStyle name="Normal 9 4 2 2" xfId="392"/>
    <cellStyle name="Normal 9 4 3" xfId="391"/>
    <cellStyle name="Normal 9 5" xfId="217"/>
    <cellStyle name="Normal 9 5 2" xfId="393"/>
    <cellStyle name="Normal 9 6" xfId="218"/>
    <cellStyle name="Normal 9 6 2" xfId="394"/>
    <cellStyle name="Notiz" xfId="219"/>
    <cellStyle name="Percent 2" xfId="220"/>
    <cellStyle name="Percent 2 2" xfId="221"/>
    <cellStyle name="Percent 2 2 2" xfId="222"/>
    <cellStyle name="Percent 2 3" xfId="223"/>
    <cellStyle name="Schlecht" xfId="224"/>
    <cellStyle name="Standard 2" xfId="225"/>
    <cellStyle name="Standard 2 2" xfId="226"/>
    <cellStyle name="Standard_EBT" xfId="227"/>
    <cellStyle name="Standard_khr_GD_Routing_RG600" xfId="7"/>
    <cellStyle name="Standard_mfaERR" xfId="3"/>
    <cellStyle name="Standard_mfaERR 2" xfId="4"/>
    <cellStyle name="Standard_Variable_XT" xfId="6"/>
    <cellStyle name="Überschrift" xfId="228"/>
    <cellStyle name="Überschrift 1" xfId="229"/>
    <cellStyle name="Überschrift 2" xfId="230"/>
    <cellStyle name="Überschrift 3" xfId="231"/>
    <cellStyle name="Überschrift 4" xfId="232"/>
    <cellStyle name="Überschrift 5" xfId="233"/>
    <cellStyle name="Überschrift_AWB" xfId="234"/>
    <cellStyle name="Verknüpfte Zelle" xfId="235"/>
    <cellStyle name="Warnender Text" xfId="236"/>
    <cellStyle name="Zelle überprüfen" xfId="23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2</xdr:row>
          <xdr:rowOff>45720</xdr:rowOff>
        </xdr:from>
        <xdr:to>
          <xdr:col>7</xdr:col>
          <xdr:colOff>396240</xdr:colOff>
          <xdr:row>3</xdr:row>
          <xdr:rowOff>182880</xdr:rowOff>
        </xdr:to>
        <xdr:sp macro="" textlink="">
          <xdr:nvSpPr>
            <xdr:cNvPr id="1056" name="btnGenerate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odsrvfil001\home1\PROJEKTE\DOC\KHR\kh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Jax_Doc/AED/Rogator/RG3/Software/GD/GD_Routing_RG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  <sheetName val="EEPR_ADR"/>
      <sheetName val="GD_ID"/>
      <sheetName val="CALIB"/>
      <sheetName val="ERROR_CODE"/>
      <sheetName val="DIAG_MSG"/>
    </sheetNames>
    <sheetDataSet>
      <sheetData sheetId="0"/>
      <sheetData sheetId="1"/>
      <sheetData sheetId="2">
        <row r="70">
          <cell r="A70" t="str">
            <v>zu 1)</v>
          </cell>
          <cell r="B70" t="str">
            <v>Betriebsstatus</v>
          </cell>
          <cell r="D70" t="str">
            <v>DB5 - Bit7</v>
          </cell>
          <cell r="E70" t="str">
            <v>DB6 / DB7</v>
          </cell>
          <cell r="F70" t="str">
            <v>Bedeutung</v>
          </cell>
        </row>
        <row r="71">
          <cell r="D71" t="str">
            <v>---</v>
          </cell>
          <cell r="E71" t="str">
            <v>Bit 15</v>
          </cell>
          <cell r="F71" t="str">
            <v>Betätigung über Hecktaster</v>
          </cell>
        </row>
        <row r="72">
          <cell r="D72" t="str">
            <v>---</v>
          </cell>
          <cell r="E72" t="str">
            <v>Bit 14</v>
          </cell>
          <cell r="F72" t="str">
            <v>Starre Ackerschiene</v>
          </cell>
        </row>
        <row r="73">
          <cell r="D73" t="str">
            <v>---</v>
          </cell>
          <cell r="E73" t="str">
            <v>Bit 13</v>
          </cell>
          <cell r="F73" t="str">
            <v>Tastbetrieb/Automatik</v>
          </cell>
        </row>
        <row r="74">
          <cell r="D74" t="str">
            <v>---</v>
          </cell>
          <cell r="E74" t="str">
            <v>Bit 12</v>
          </cell>
          <cell r="F74" t="str">
            <v>Schnelleinzug</v>
          </cell>
        </row>
        <row r="75">
          <cell r="D75" t="str">
            <v>---</v>
          </cell>
          <cell r="E75" t="str">
            <v>Bit 11</v>
          </cell>
          <cell r="F75" t="str">
            <v>---</v>
          </cell>
        </row>
        <row r="76">
          <cell r="D76" t="str">
            <v>---</v>
          </cell>
          <cell r="E76" t="str">
            <v>Bit 10</v>
          </cell>
          <cell r="F76" t="str">
            <v>Entriegelungsstatus</v>
          </cell>
        </row>
        <row r="77">
          <cell r="D77" t="str">
            <v>---</v>
          </cell>
          <cell r="E77" t="str">
            <v>Bit 9/8</v>
          </cell>
          <cell r="F77" t="str">
            <v>Stellung Aushubhebel</v>
          </cell>
        </row>
        <row r="78">
          <cell r="D78" t="str">
            <v>---</v>
          </cell>
          <cell r="E78" t="str">
            <v>Bit 7</v>
          </cell>
          <cell r="F78" t="str">
            <v>Schwingungstilgung</v>
          </cell>
        </row>
        <row r="79">
          <cell r="D79" t="str">
            <v>---</v>
          </cell>
          <cell r="E79" t="str">
            <v>Bit 6/5</v>
          </cell>
          <cell r="F79" t="str">
            <v>Betriebsart</v>
          </cell>
        </row>
        <row r="80">
          <cell r="D80" t="str">
            <v>---</v>
          </cell>
          <cell r="E80" t="str">
            <v>Bit 4/3</v>
          </cell>
          <cell r="F80" t="str">
            <v>Funktionsstatus</v>
          </cell>
        </row>
        <row r="81">
          <cell r="D81" t="str">
            <v>---</v>
          </cell>
          <cell r="E81" t="str">
            <v>Bit 2/1/0</v>
          </cell>
          <cell r="F81" t="str">
            <v>Ventilstatus</v>
          </cell>
        </row>
        <row r="83">
          <cell r="A83" t="str">
            <v>zu 2)</v>
          </cell>
          <cell r="B83" t="str">
            <v>Stellung Aushubhebel</v>
          </cell>
          <cell r="D83" t="str">
            <v>DB5 - Bit7</v>
          </cell>
          <cell r="E83" t="str">
            <v>DB6 / DB7</v>
          </cell>
          <cell r="F83" t="str">
            <v>Bedeutung</v>
          </cell>
        </row>
        <row r="84">
          <cell r="D84" t="str">
            <v>---</v>
          </cell>
          <cell r="E84">
            <v>0</v>
          </cell>
          <cell r="F84" t="str">
            <v>STOP</v>
          </cell>
        </row>
        <row r="85">
          <cell r="D85" t="str">
            <v>---</v>
          </cell>
          <cell r="E85">
            <v>1</v>
          </cell>
          <cell r="F85" t="str">
            <v>Heben (UP)</v>
          </cell>
        </row>
        <row r="86">
          <cell r="D86" t="str">
            <v>---</v>
          </cell>
          <cell r="E86">
            <v>2</v>
          </cell>
          <cell r="F86" t="str">
            <v>Senken (DOWN)</v>
          </cell>
        </row>
        <row r="87">
          <cell r="D87" t="str">
            <v>---</v>
          </cell>
          <cell r="E87">
            <v>3</v>
          </cell>
          <cell r="F87" t="str">
            <v>Schnelleinzug (FASTDOWN)</v>
          </cell>
        </row>
        <row r="89">
          <cell r="A89" t="str">
            <v>zu 3)</v>
          </cell>
          <cell r="B89" t="str">
            <v>Aktivierung der Automatik</v>
          </cell>
          <cell r="D89" t="str">
            <v>DB5 - Bit7</v>
          </cell>
          <cell r="E89" t="str">
            <v>DB6</v>
          </cell>
          <cell r="F89" t="str">
            <v>Stellung des Schalters Tauschfunktion</v>
          </cell>
        </row>
        <row r="90">
          <cell r="D90" t="str">
            <v>---</v>
          </cell>
          <cell r="E90" t="str">
            <v>0x00</v>
          </cell>
          <cell r="F90" t="str">
            <v>Normalstellung</v>
          </cell>
        </row>
        <row r="91">
          <cell r="D91" t="str">
            <v>---</v>
          </cell>
          <cell r="E91" t="str">
            <v>0x01</v>
          </cell>
          <cell r="F91" t="str">
            <v>Tauschfunktion 1</v>
          </cell>
        </row>
        <row r="92">
          <cell r="D92" t="str">
            <v>---</v>
          </cell>
          <cell r="E92" t="str">
            <v>0x02</v>
          </cell>
          <cell r="F92" t="str">
            <v>Tauschfunktion 2</v>
          </cell>
        </row>
        <row r="93">
          <cell r="D93" t="str">
            <v>---</v>
          </cell>
          <cell r="E93" t="str">
            <v>0x03</v>
          </cell>
          <cell r="F93" t="str">
            <v>Tauschfunktion 3</v>
          </cell>
        </row>
        <row r="95">
          <cell r="D95" t="str">
            <v>DB5 - Bit7</v>
          </cell>
          <cell r="E95" t="str">
            <v>DB7</v>
          </cell>
          <cell r="F95" t="str">
            <v>Tasten auf denen die Heckkraftheberautomatik liegt</v>
          </cell>
        </row>
        <row r="96">
          <cell r="D96">
            <v>0</v>
          </cell>
          <cell r="E96" t="str">
            <v>0x00</v>
          </cell>
          <cell r="F96" t="str">
            <v>keine Tasten für Heckkraftheberautomatik</v>
          </cell>
        </row>
        <row r="97">
          <cell r="D97">
            <v>1</v>
          </cell>
          <cell r="E97" t="str">
            <v>0x01</v>
          </cell>
          <cell r="F97" t="str">
            <v>Ventiltasten rechts</v>
          </cell>
        </row>
        <row r="98">
          <cell r="D98">
            <v>1</v>
          </cell>
          <cell r="E98" t="str">
            <v>0x02</v>
          </cell>
          <cell r="F98" t="str">
            <v>Tasten "Kleblatt" senkrecht</v>
          </cell>
        </row>
        <row r="99">
          <cell r="D99">
            <v>1</v>
          </cell>
          <cell r="E99" t="str">
            <v>0x04</v>
          </cell>
          <cell r="F99" t="str">
            <v>Tasten "Kleblatt" waagrecht</v>
          </cell>
        </row>
        <row r="100">
          <cell r="D100">
            <v>1</v>
          </cell>
          <cell r="E100" t="str">
            <v>0x08</v>
          </cell>
          <cell r="F100" t="str">
            <v>Ventiltasten links</v>
          </cell>
        </row>
        <row r="102">
          <cell r="A102" t="str">
            <v>zu 4)</v>
          </cell>
          <cell r="B102" t="str">
            <v>Subzustand</v>
          </cell>
          <cell r="D102" t="str">
            <v>DB5 - Bit7</v>
          </cell>
          <cell r="E102" t="str">
            <v>DB6</v>
          </cell>
          <cell r="F102" t="str">
            <v>Bedeutung</v>
          </cell>
        </row>
        <row r="103">
          <cell r="D103" t="str">
            <v>---</v>
          </cell>
          <cell r="E103" t="str">
            <v>0x00</v>
          </cell>
          <cell r="F103" t="str">
            <v xml:space="preserve">DEAKTIV       </v>
          </cell>
        </row>
        <row r="104">
          <cell r="D104" t="str">
            <v>---</v>
          </cell>
          <cell r="E104" t="str">
            <v>0x01</v>
          </cell>
          <cell r="F104" t="str">
            <v xml:space="preserve">TI_INIT       </v>
          </cell>
        </row>
        <row r="105">
          <cell r="D105" t="str">
            <v>---</v>
          </cell>
          <cell r="E105" t="str">
            <v>0x02</v>
          </cell>
          <cell r="F105" t="str">
            <v>RECORD_STANDBY</v>
          </cell>
        </row>
        <row r="106">
          <cell r="D106" t="str">
            <v>---</v>
          </cell>
          <cell r="E106" t="str">
            <v>0x03</v>
          </cell>
          <cell r="F106" t="str">
            <v xml:space="preserve">RECORD_AKTIV  </v>
          </cell>
        </row>
        <row r="107">
          <cell r="D107" t="str">
            <v>---</v>
          </cell>
          <cell r="E107" t="str">
            <v>0x04</v>
          </cell>
          <cell r="F107" t="str">
            <v xml:space="preserve">PLAY_STANDBY  </v>
          </cell>
        </row>
        <row r="108">
          <cell r="D108" t="str">
            <v>---</v>
          </cell>
          <cell r="E108" t="str">
            <v>0x05</v>
          </cell>
          <cell r="F108" t="str">
            <v xml:space="preserve">PLAY_AKTIV    </v>
          </cell>
        </row>
        <row r="109">
          <cell r="D109" t="str">
            <v>---</v>
          </cell>
          <cell r="E109" t="str">
            <v>0x06</v>
          </cell>
          <cell r="F109" t="str">
            <v xml:space="preserve">CONFIG        </v>
          </cell>
        </row>
        <row r="110">
          <cell r="D110" t="str">
            <v>---</v>
          </cell>
          <cell r="E110" t="str">
            <v>0x07</v>
          </cell>
          <cell r="F110" t="str">
            <v xml:space="preserve">EDIT          </v>
          </cell>
        </row>
        <row r="111">
          <cell r="D111" t="str">
            <v>---</v>
          </cell>
          <cell r="E111" t="str">
            <v>0x08</v>
          </cell>
          <cell r="F111" t="str">
            <v xml:space="preserve">DATAXCHANGE   </v>
          </cell>
        </row>
        <row r="112">
          <cell r="D112" t="str">
            <v>---</v>
          </cell>
          <cell r="E112" t="str">
            <v>0xF0</v>
          </cell>
          <cell r="F112" t="str">
            <v xml:space="preserve">SAFESTATE     </v>
          </cell>
        </row>
        <row r="113">
          <cell r="D113" t="str">
            <v>---</v>
          </cell>
          <cell r="E113" t="str">
            <v>0xFF</v>
          </cell>
          <cell r="F113" t="str">
            <v>NO_SUBSTATEWXL</v>
          </cell>
        </row>
        <row r="115">
          <cell r="D115" t="str">
            <v>---</v>
          </cell>
          <cell r="E115" t="str">
            <v>DB7</v>
          </cell>
          <cell r="F115" t="str">
            <v>Bedeutung</v>
          </cell>
        </row>
        <row r="116">
          <cell r="D116" t="str">
            <v>---</v>
          </cell>
          <cell r="E116" t="str">
            <v>0x??</v>
          </cell>
          <cell r="F116" t="str">
            <v>Teilnehmernummer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s"/>
      <sheetName val="Readme"/>
      <sheetName val="Rules"/>
      <sheetName val="EXT Domain Areas"/>
      <sheetName val="Routing-Data RG3"/>
      <sheetName val="NT01"/>
      <sheetName val="CEAG"/>
      <sheetName val="MFA"/>
      <sheetName val="DRIVE"/>
      <sheetName val="EFC"/>
      <sheetName val="TELEMETRY"/>
      <sheetName val="ZE"/>
      <sheetName val="INFO"/>
      <sheetName val="WBZ"/>
      <sheetName val="SBL"/>
      <sheetName val="SCT"/>
      <sheetName val="TA"/>
      <sheetName val="RG3"/>
      <sheetName val="EMM"/>
      <sheetName val="ES"/>
      <sheetName val="LCP"/>
      <sheetName val="4WS"/>
      <sheetName val="DASH"/>
      <sheetName val="DIAGNOSE"/>
      <sheetName val="template"/>
      <sheetName val="Sheet2"/>
      <sheetName val="GD_Routing_RG3"/>
    </sheetNames>
    <sheetDataSet>
      <sheetData sheetId="0"/>
      <sheetData sheetId="1"/>
      <sheetData sheetId="2"/>
      <sheetData sheetId="3"/>
      <sheetData sheetId="4">
        <row r="6">
          <cell r="B6" t="str">
            <v>DASH</v>
          </cell>
        </row>
        <row r="23">
          <cell r="P23" t="str">
            <v>Select Machine Variant</v>
          </cell>
        </row>
        <row r="29">
          <cell r="P29" t="str">
            <v>Generate Data for:</v>
          </cell>
        </row>
        <row r="30">
          <cell r="P30" t="str">
            <v>RG3</v>
          </cell>
        </row>
        <row r="32">
          <cell r="P32" t="str">
            <v>Generate Source Code</v>
          </cell>
        </row>
        <row r="34">
          <cell r="P34" t="str">
            <v>EXT File Name:</v>
          </cell>
        </row>
        <row r="35">
          <cell r="P35" t="str">
            <v>NT01 XML File Name:</v>
          </cell>
        </row>
        <row r="36">
          <cell r="P36" t="str">
            <v>EDT XML File Name:</v>
          </cell>
        </row>
        <row r="37">
          <cell r="P37" t="str">
            <v>GD DBC File Name:</v>
          </cell>
        </row>
        <row r="38">
          <cell r="P38" t="str">
            <v>Simplified GD DBC File Name:</v>
          </cell>
        </row>
        <row r="53">
          <cell r="P53" t="str">
            <v>Machine Variants</v>
          </cell>
        </row>
        <row r="54">
          <cell r="P54" t="str">
            <v>RG3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5"/>
  <dimension ref="A1:AA411"/>
  <sheetViews>
    <sheetView tabSelected="1" zoomScale="85" workbookViewId="0">
      <pane xSplit="3" ySplit="10" topLeftCell="D57" activePane="bottomRight" state="frozen"/>
      <selection pane="topRight" activeCell="C1" sqref="C1"/>
      <selection pane="bottomLeft" activeCell="A11" sqref="A11"/>
      <selection pane="bottomRight" activeCell="A79" sqref="A79:XFD79"/>
    </sheetView>
  </sheetViews>
  <sheetFormatPr defaultColWidth="11.44140625" defaultRowHeight="13.2" x14ac:dyDescent="0.25"/>
  <cols>
    <col min="1" max="1" width="8.33203125" style="98" customWidth="1"/>
    <col min="2" max="2" width="8.33203125" style="123" customWidth="1"/>
    <col min="3" max="3" width="33.5546875" customWidth="1"/>
    <col min="4" max="8" width="9.44140625" style="98" customWidth="1"/>
    <col min="9" max="9" width="9.44140625" style="99" customWidth="1"/>
    <col min="10" max="10" width="9.44140625" customWidth="1"/>
    <col min="11" max="11" width="9.88671875" bestFit="1" customWidth="1"/>
    <col min="12" max="12" width="40.5546875" bestFit="1" customWidth="1"/>
    <col min="13" max="13" width="12" customWidth="1"/>
    <col min="14" max="16" width="11.44140625" customWidth="1"/>
    <col min="17" max="17" width="16.109375" customWidth="1"/>
    <col min="18" max="18" width="12.44140625" bestFit="1" customWidth="1"/>
    <col min="19" max="21" width="12.44140625" customWidth="1"/>
    <col min="22" max="22" width="11.44140625" style="11" customWidth="1"/>
    <col min="23" max="23" width="11.44140625" style="12" customWidth="1"/>
    <col min="24" max="24" width="11.44140625" style="13" customWidth="1"/>
    <col min="25" max="25" width="11.44140625" style="11" customWidth="1"/>
    <col min="26" max="26" width="11.44140625" style="12" customWidth="1"/>
    <col min="27" max="27" width="11.44140625" style="13" customWidth="1"/>
  </cols>
  <sheetData>
    <row r="1" spans="1:27" ht="17.399999999999999" x14ac:dyDescent="0.3">
      <c r="A1" s="125" t="s">
        <v>0</v>
      </c>
      <c r="B1" s="125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V1" s="1"/>
      <c r="W1" s="2"/>
      <c r="X1" s="3"/>
      <c r="Y1" s="1"/>
      <c r="Z1" s="2"/>
      <c r="AA1" s="3"/>
    </row>
    <row r="3" spans="1:27" ht="17.399999999999999" x14ac:dyDescent="0.3">
      <c r="A3" s="4"/>
      <c r="B3" s="5"/>
      <c r="C3" s="6" t="s">
        <v>1</v>
      </c>
      <c r="D3" s="7" t="s">
        <v>2</v>
      </c>
      <c r="E3" s="4"/>
      <c r="F3" s="4"/>
      <c r="G3" s="8"/>
      <c r="H3" s="8"/>
      <c r="I3" s="4"/>
      <c r="J3" s="9"/>
      <c r="K3" s="9"/>
      <c r="L3" s="9"/>
      <c r="M3" s="10"/>
    </row>
    <row r="4" spans="1:27" ht="17.399999999999999" x14ac:dyDescent="0.3">
      <c r="A4" s="4"/>
      <c r="B4" s="5"/>
      <c r="C4" s="7" t="s">
        <v>3</v>
      </c>
      <c r="D4" s="7">
        <v>5</v>
      </c>
      <c r="E4" s="14"/>
      <c r="F4" s="14"/>
      <c r="G4" s="15"/>
      <c r="H4" s="15"/>
      <c r="I4" s="14"/>
      <c r="J4" s="9"/>
      <c r="K4" s="9"/>
      <c r="L4" s="9"/>
      <c r="M4" s="10"/>
    </row>
    <row r="5" spans="1:27" ht="17.399999999999999" x14ac:dyDescent="0.3">
      <c r="A5" s="4"/>
      <c r="B5" s="5"/>
      <c r="C5" s="7" t="s">
        <v>4</v>
      </c>
      <c r="D5" s="7">
        <v>31</v>
      </c>
      <c r="E5" s="4"/>
      <c r="F5" s="4"/>
      <c r="G5" s="8"/>
      <c r="H5" s="8"/>
      <c r="I5" s="4"/>
      <c r="J5" s="9"/>
      <c r="K5" s="9"/>
      <c r="L5" s="9"/>
      <c r="M5" s="10"/>
    </row>
    <row r="6" spans="1:27" x14ac:dyDescent="0.25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7</v>
      </c>
      <c r="H6" s="17">
        <v>8</v>
      </c>
      <c r="I6" s="16">
        <v>9</v>
      </c>
      <c r="J6" s="17">
        <v>10</v>
      </c>
      <c r="K6" s="16">
        <v>11</v>
      </c>
      <c r="L6" s="17">
        <v>12</v>
      </c>
      <c r="M6" s="16">
        <v>13</v>
      </c>
      <c r="N6" s="17">
        <v>14</v>
      </c>
      <c r="O6" s="16">
        <v>15</v>
      </c>
      <c r="P6" s="17">
        <v>16</v>
      </c>
      <c r="Q6" s="16">
        <v>17</v>
      </c>
      <c r="R6" s="17">
        <v>18</v>
      </c>
      <c r="S6" s="16">
        <v>19</v>
      </c>
      <c r="T6" s="17">
        <v>20</v>
      </c>
      <c r="U6" s="16">
        <v>21</v>
      </c>
      <c r="V6" s="17">
        <v>22</v>
      </c>
      <c r="W6" s="16">
        <v>23</v>
      </c>
      <c r="X6" s="17">
        <v>24</v>
      </c>
      <c r="Y6" s="16">
        <v>25</v>
      </c>
      <c r="Z6" s="17">
        <v>26</v>
      </c>
      <c r="AA6" s="16">
        <v>27</v>
      </c>
    </row>
    <row r="7" spans="1:27" x14ac:dyDescent="0.25">
      <c r="A7" s="10"/>
      <c r="B7" s="18"/>
      <c r="C7" s="10"/>
      <c r="D7" s="15"/>
      <c r="E7" s="15"/>
      <c r="F7" s="15"/>
      <c r="G7" s="15"/>
      <c r="H7" s="15"/>
      <c r="I7" s="10"/>
      <c r="J7" s="10"/>
      <c r="K7" s="10"/>
      <c r="L7" s="10"/>
      <c r="M7" s="10"/>
    </row>
    <row r="8" spans="1:27" s="12" customFormat="1" ht="52.8" x14ac:dyDescent="0.25">
      <c r="A8" s="127" t="s">
        <v>5</v>
      </c>
      <c r="B8" s="19" t="s">
        <v>6</v>
      </c>
      <c r="C8" s="128" t="s">
        <v>7</v>
      </c>
      <c r="D8" s="127" t="s">
        <v>8</v>
      </c>
      <c r="E8" s="20" t="s">
        <v>6</v>
      </c>
      <c r="F8" s="124" t="s">
        <v>9</v>
      </c>
      <c r="G8" s="124"/>
      <c r="H8" s="20" t="s">
        <v>10</v>
      </c>
      <c r="I8" s="20" t="s">
        <v>11</v>
      </c>
      <c r="J8" s="20" t="s">
        <v>12</v>
      </c>
      <c r="K8" s="127" t="s">
        <v>13</v>
      </c>
      <c r="L8" s="130" t="s">
        <v>14</v>
      </c>
      <c r="M8" s="124" t="s">
        <v>15</v>
      </c>
      <c r="N8" s="124"/>
      <c r="O8" s="124" t="s">
        <v>16</v>
      </c>
      <c r="P8" s="124"/>
      <c r="Q8" s="124" t="s">
        <v>17</v>
      </c>
      <c r="R8" s="20" t="s">
        <v>18</v>
      </c>
      <c r="S8" s="21" t="s">
        <v>19</v>
      </c>
      <c r="T8" s="21" t="s">
        <v>20</v>
      </c>
      <c r="U8" s="22" t="s">
        <v>21</v>
      </c>
      <c r="V8" s="23" t="s">
        <v>22</v>
      </c>
      <c r="W8" s="24" t="s">
        <v>23</v>
      </c>
      <c r="X8" s="25" t="s">
        <v>24</v>
      </c>
      <c r="Y8" s="26" t="s">
        <v>25</v>
      </c>
      <c r="Z8" s="26" t="s">
        <v>26</v>
      </c>
      <c r="AA8" s="27" t="s">
        <v>27</v>
      </c>
    </row>
    <row r="9" spans="1:27" s="12" customFormat="1" x14ac:dyDescent="0.25">
      <c r="A9" s="124"/>
      <c r="B9" s="28" t="s">
        <v>28</v>
      </c>
      <c r="C9" s="129"/>
      <c r="D9" s="124"/>
      <c r="E9" s="29" t="s">
        <v>29</v>
      </c>
      <c r="F9" s="29" t="s">
        <v>30</v>
      </c>
      <c r="G9" s="29" t="s">
        <v>31</v>
      </c>
      <c r="H9" s="29"/>
      <c r="I9" s="30" t="s">
        <v>32</v>
      </c>
      <c r="J9" s="29"/>
      <c r="K9" s="124"/>
      <c r="L9" s="130"/>
      <c r="M9" s="29" t="s">
        <v>33</v>
      </c>
      <c r="N9" s="29" t="s">
        <v>34</v>
      </c>
      <c r="O9" s="29" t="s">
        <v>35</v>
      </c>
      <c r="P9" s="29" t="s">
        <v>36</v>
      </c>
      <c r="Q9" s="124"/>
      <c r="R9" s="20"/>
      <c r="S9" s="20"/>
      <c r="T9" s="20"/>
      <c r="U9" s="20"/>
      <c r="V9" s="31"/>
      <c r="W9" s="32"/>
      <c r="X9" s="33"/>
      <c r="Y9" s="34"/>
      <c r="Z9" s="35"/>
      <c r="AA9" s="36"/>
    </row>
    <row r="10" spans="1:27" s="37" customFormat="1" ht="13.8" thickBot="1" x14ac:dyDescent="0.3">
      <c r="B10" s="38"/>
      <c r="D10" s="39"/>
      <c r="E10" s="39"/>
      <c r="F10" s="40"/>
      <c r="G10" s="40"/>
      <c r="H10" s="40"/>
      <c r="I10" s="39"/>
      <c r="J10" s="41"/>
      <c r="K10" s="42"/>
      <c r="L10" s="42"/>
      <c r="V10" s="43"/>
      <c r="W10" s="44"/>
      <c r="X10" s="45"/>
      <c r="Y10" s="46"/>
      <c r="Z10" s="39"/>
      <c r="AA10" s="47"/>
    </row>
    <row r="11" spans="1:27" s="12" customFormat="1" ht="13.8" thickTop="1" x14ac:dyDescent="0.25">
      <c r="A11" s="48">
        <v>0</v>
      </c>
      <c r="B11" s="49"/>
      <c r="C11" s="50" t="s">
        <v>37</v>
      </c>
      <c r="D11" s="48"/>
      <c r="E11" s="51" t="s">
        <v>38</v>
      </c>
      <c r="F11" s="52">
        <v>0</v>
      </c>
      <c r="G11" s="52">
        <v>255</v>
      </c>
      <c r="H11" s="53"/>
      <c r="I11" s="54"/>
      <c r="J11" s="55"/>
      <c r="K11" s="56"/>
      <c r="L11" s="55" t="s">
        <v>39</v>
      </c>
      <c r="M11" s="57">
        <f t="shared" ref="M11:M74" si="0">$D$5</f>
        <v>31</v>
      </c>
      <c r="N11" s="57">
        <f t="shared" ref="N11:N74" si="1">$D$4</f>
        <v>5</v>
      </c>
      <c r="O11" s="57">
        <f>IF(A11&lt;&gt;"",M11*2^9+A11,"")</f>
        <v>15872</v>
      </c>
      <c r="P11" s="57" t="str">
        <f t="shared" ref="P11:P74" si="2">IF(A11&lt;&gt;"","0x" &amp;DEC2HEX( O11,4),"")</f>
        <v>0x3E00</v>
      </c>
      <c r="Q11" s="58" t="s">
        <v>40</v>
      </c>
      <c r="R11" s="59"/>
      <c r="S11" s="60"/>
      <c r="T11" s="60"/>
      <c r="U11" s="61"/>
      <c r="V11" s="11"/>
      <c r="W11" s="62"/>
      <c r="X11" s="13"/>
      <c r="Y11"/>
      <c r="Z11" s="62"/>
      <c r="AA11"/>
    </row>
    <row r="12" spans="1:27" x14ac:dyDescent="0.25">
      <c r="A12" s="48">
        <v>1</v>
      </c>
      <c r="B12" s="49"/>
      <c r="C12" s="50" t="s">
        <v>41</v>
      </c>
      <c r="D12" s="48"/>
      <c r="E12" s="51" t="s">
        <v>38</v>
      </c>
      <c r="F12" s="52">
        <v>0</v>
      </c>
      <c r="G12" s="52">
        <v>255</v>
      </c>
      <c r="H12" s="53"/>
      <c r="I12" s="63"/>
      <c r="J12" s="55"/>
      <c r="K12" s="56"/>
      <c r="L12" s="55" t="s">
        <v>42</v>
      </c>
      <c r="M12" s="48">
        <f t="shared" si="0"/>
        <v>31</v>
      </c>
      <c r="N12" s="48">
        <f t="shared" si="1"/>
        <v>5</v>
      </c>
      <c r="O12" s="48">
        <f>IF(A12&lt;&gt;"",M12*2^9+A12,"")</f>
        <v>15873</v>
      </c>
      <c r="P12" s="56" t="str">
        <f t="shared" si="2"/>
        <v>0x3E01</v>
      </c>
      <c r="Q12" s="58" t="s">
        <v>40</v>
      </c>
      <c r="R12" s="64"/>
      <c r="S12" s="65"/>
      <c r="T12" s="65"/>
      <c r="U12" s="61"/>
      <c r="W12" s="50"/>
      <c r="Y12"/>
      <c r="Z12" s="50"/>
      <c r="AA12"/>
    </row>
    <row r="13" spans="1:27" x14ac:dyDescent="0.25">
      <c r="A13" s="48">
        <v>2</v>
      </c>
      <c r="B13" s="49"/>
      <c r="C13" s="50" t="s">
        <v>43</v>
      </c>
      <c r="D13" s="48"/>
      <c r="E13" s="51" t="s">
        <v>38</v>
      </c>
      <c r="F13" s="52">
        <v>0</v>
      </c>
      <c r="G13" s="52">
        <v>255</v>
      </c>
      <c r="H13" s="53"/>
      <c r="I13" s="63"/>
      <c r="J13" s="55"/>
      <c r="K13" s="56"/>
      <c r="L13" s="55" t="s">
        <v>44</v>
      </c>
      <c r="M13" s="48">
        <f t="shared" si="0"/>
        <v>31</v>
      </c>
      <c r="N13" s="48">
        <f t="shared" si="1"/>
        <v>5</v>
      </c>
      <c r="O13" s="48">
        <f t="shared" ref="O13:O76" si="3">IF(A13&lt;&gt;"",M13*2^9+A13,"")</f>
        <v>15874</v>
      </c>
      <c r="P13" s="56" t="str">
        <f t="shared" si="2"/>
        <v>0x3E02</v>
      </c>
      <c r="Q13" s="58" t="s">
        <v>40</v>
      </c>
      <c r="R13" s="64"/>
      <c r="S13" s="65"/>
      <c r="T13" s="65"/>
      <c r="U13" s="61"/>
      <c r="W13" s="50"/>
      <c r="Y13"/>
      <c r="Z13" s="50"/>
      <c r="AA13"/>
    </row>
    <row r="14" spans="1:27" x14ac:dyDescent="0.25">
      <c r="A14" s="48">
        <v>3</v>
      </c>
      <c r="B14" s="49"/>
      <c r="C14" s="50" t="s">
        <v>45</v>
      </c>
      <c r="D14" s="48"/>
      <c r="E14" s="51" t="s">
        <v>38</v>
      </c>
      <c r="F14" s="52">
        <v>0</v>
      </c>
      <c r="G14" s="52">
        <v>255</v>
      </c>
      <c r="H14" s="53"/>
      <c r="I14" s="63"/>
      <c r="J14" s="55"/>
      <c r="K14" s="56"/>
      <c r="L14" s="55" t="s">
        <v>46</v>
      </c>
      <c r="M14" s="48">
        <f t="shared" si="0"/>
        <v>31</v>
      </c>
      <c r="N14" s="48">
        <f t="shared" si="1"/>
        <v>5</v>
      </c>
      <c r="O14" s="48">
        <f t="shared" si="3"/>
        <v>15875</v>
      </c>
      <c r="P14" s="56" t="str">
        <f t="shared" si="2"/>
        <v>0x3E03</v>
      </c>
      <c r="Q14" s="58" t="s">
        <v>40</v>
      </c>
      <c r="R14" s="64"/>
      <c r="S14" s="65"/>
      <c r="T14" s="65"/>
      <c r="U14" s="61"/>
      <c r="W14" s="50"/>
      <c r="Y14"/>
      <c r="Z14" s="50"/>
      <c r="AA14"/>
    </row>
    <row r="15" spans="1:27" x14ac:dyDescent="0.25">
      <c r="A15" s="48">
        <v>4</v>
      </c>
      <c r="B15" s="49"/>
      <c r="C15" s="50" t="s">
        <v>47</v>
      </c>
      <c r="D15" s="48"/>
      <c r="E15" s="51" t="s">
        <v>38</v>
      </c>
      <c r="F15" s="52">
        <v>0</v>
      </c>
      <c r="G15" s="52">
        <v>255</v>
      </c>
      <c r="H15" s="53"/>
      <c r="I15" s="63"/>
      <c r="J15" s="55"/>
      <c r="K15" s="56"/>
      <c r="L15" s="55" t="s">
        <v>48</v>
      </c>
      <c r="M15" s="48">
        <f t="shared" si="0"/>
        <v>31</v>
      </c>
      <c r="N15" s="48">
        <f t="shared" si="1"/>
        <v>5</v>
      </c>
      <c r="O15" s="48">
        <f t="shared" si="3"/>
        <v>15876</v>
      </c>
      <c r="P15" s="56" t="str">
        <f t="shared" si="2"/>
        <v>0x3E04</v>
      </c>
      <c r="Q15" s="58" t="s">
        <v>40</v>
      </c>
      <c r="R15" s="64"/>
      <c r="S15" s="65"/>
      <c r="T15" s="65"/>
      <c r="U15" s="61"/>
      <c r="W15" s="50"/>
      <c r="Y15"/>
      <c r="Z15" s="50"/>
      <c r="AA15"/>
    </row>
    <row r="16" spans="1:27" x14ac:dyDescent="0.25">
      <c r="A16" s="48">
        <v>5</v>
      </c>
      <c r="B16" s="49"/>
      <c r="C16" s="50" t="s">
        <v>49</v>
      </c>
      <c r="D16" s="48"/>
      <c r="E16" s="51" t="s">
        <v>38</v>
      </c>
      <c r="F16" s="52">
        <v>0</v>
      </c>
      <c r="G16" s="52">
        <v>255</v>
      </c>
      <c r="H16" s="53"/>
      <c r="I16" s="63"/>
      <c r="J16" s="55"/>
      <c r="K16" s="56"/>
      <c r="L16" s="55" t="s">
        <v>50</v>
      </c>
      <c r="M16" s="48">
        <f t="shared" si="0"/>
        <v>31</v>
      </c>
      <c r="N16" s="48">
        <f t="shared" si="1"/>
        <v>5</v>
      </c>
      <c r="O16" s="48">
        <f t="shared" si="3"/>
        <v>15877</v>
      </c>
      <c r="P16" s="56" t="str">
        <f t="shared" si="2"/>
        <v>0x3E05</v>
      </c>
      <c r="Q16" s="58" t="s">
        <v>40</v>
      </c>
      <c r="R16" s="64"/>
      <c r="S16" s="65"/>
      <c r="T16" s="65"/>
      <c r="U16" s="61"/>
      <c r="W16" s="50"/>
      <c r="Y16"/>
      <c r="Z16" s="50"/>
      <c r="AA16"/>
    </row>
    <row r="17" spans="1:27" x14ac:dyDescent="0.25">
      <c r="A17" s="48">
        <v>6</v>
      </c>
      <c r="B17" s="49"/>
      <c r="C17" s="50" t="s">
        <v>51</v>
      </c>
      <c r="D17" s="48"/>
      <c r="E17" s="51" t="s">
        <v>38</v>
      </c>
      <c r="F17" s="52">
        <v>0</v>
      </c>
      <c r="G17" s="52">
        <v>255</v>
      </c>
      <c r="H17" s="53"/>
      <c r="I17" s="63"/>
      <c r="J17" s="55"/>
      <c r="K17" s="56"/>
      <c r="L17" s="55" t="s">
        <v>52</v>
      </c>
      <c r="M17" s="48">
        <f t="shared" si="0"/>
        <v>31</v>
      </c>
      <c r="N17" s="48">
        <f t="shared" si="1"/>
        <v>5</v>
      </c>
      <c r="O17" s="48">
        <f t="shared" si="3"/>
        <v>15878</v>
      </c>
      <c r="P17" s="56" t="str">
        <f t="shared" si="2"/>
        <v>0x3E06</v>
      </c>
      <c r="Q17" s="58" t="s">
        <v>40</v>
      </c>
      <c r="R17" s="64"/>
      <c r="S17" s="65"/>
      <c r="T17" s="65"/>
      <c r="U17" s="61"/>
      <c r="W17" s="50"/>
      <c r="Y17"/>
      <c r="Z17" s="50"/>
      <c r="AA17"/>
    </row>
    <row r="18" spans="1:27" x14ac:dyDescent="0.25">
      <c r="A18" s="48">
        <v>7</v>
      </c>
      <c r="B18" s="49"/>
      <c r="C18" s="50" t="s">
        <v>53</v>
      </c>
      <c r="D18" s="48"/>
      <c r="E18" s="51" t="s">
        <v>38</v>
      </c>
      <c r="F18" s="52">
        <v>0</v>
      </c>
      <c r="G18" s="52">
        <v>255</v>
      </c>
      <c r="H18" s="53"/>
      <c r="I18" s="63"/>
      <c r="J18" s="55"/>
      <c r="K18" s="56"/>
      <c r="L18" s="55" t="s">
        <v>54</v>
      </c>
      <c r="M18" s="48">
        <f t="shared" si="0"/>
        <v>31</v>
      </c>
      <c r="N18" s="48">
        <f t="shared" si="1"/>
        <v>5</v>
      </c>
      <c r="O18" s="48">
        <f t="shared" si="3"/>
        <v>15879</v>
      </c>
      <c r="P18" s="56" t="str">
        <f t="shared" si="2"/>
        <v>0x3E07</v>
      </c>
      <c r="Q18" s="58" t="s">
        <v>40</v>
      </c>
      <c r="R18" s="64"/>
      <c r="S18" s="65"/>
      <c r="T18" s="65"/>
      <c r="U18" s="61"/>
      <c r="W18" s="50"/>
      <c r="Y18"/>
      <c r="Z18" s="50"/>
      <c r="AA18"/>
    </row>
    <row r="19" spans="1:27" x14ac:dyDescent="0.25">
      <c r="A19" s="48">
        <v>8</v>
      </c>
      <c r="B19" s="49"/>
      <c r="C19" s="50" t="s">
        <v>55</v>
      </c>
      <c r="D19" s="48"/>
      <c r="E19" s="51" t="s">
        <v>38</v>
      </c>
      <c r="F19" s="52">
        <v>0</v>
      </c>
      <c r="G19" s="52">
        <v>255</v>
      </c>
      <c r="H19" s="53"/>
      <c r="I19" s="63"/>
      <c r="J19" s="55"/>
      <c r="K19" s="56"/>
      <c r="L19" s="55" t="s">
        <v>56</v>
      </c>
      <c r="M19" s="48">
        <f t="shared" si="0"/>
        <v>31</v>
      </c>
      <c r="N19" s="48">
        <f t="shared" si="1"/>
        <v>5</v>
      </c>
      <c r="O19" s="48">
        <f t="shared" si="3"/>
        <v>15880</v>
      </c>
      <c r="P19" s="56" t="str">
        <f t="shared" si="2"/>
        <v>0x3E08</v>
      </c>
      <c r="Q19" s="58" t="s">
        <v>40</v>
      </c>
      <c r="R19" s="64"/>
      <c r="S19" s="65"/>
      <c r="T19" s="65"/>
      <c r="U19" s="61"/>
      <c r="W19" s="50"/>
      <c r="Y19"/>
      <c r="Z19" s="50"/>
      <c r="AA19"/>
    </row>
    <row r="20" spans="1:27" x14ac:dyDescent="0.25">
      <c r="A20" s="48">
        <v>9</v>
      </c>
      <c r="B20" s="49"/>
      <c r="C20" s="50" t="s">
        <v>57</v>
      </c>
      <c r="D20" s="48"/>
      <c r="E20" s="51" t="s">
        <v>38</v>
      </c>
      <c r="F20" s="52">
        <v>0</v>
      </c>
      <c r="G20" s="52">
        <v>255</v>
      </c>
      <c r="H20" s="53"/>
      <c r="I20" s="63"/>
      <c r="J20" s="55"/>
      <c r="K20" s="56"/>
      <c r="L20" s="55" t="s">
        <v>58</v>
      </c>
      <c r="M20" s="48">
        <f t="shared" si="0"/>
        <v>31</v>
      </c>
      <c r="N20" s="48">
        <f t="shared" si="1"/>
        <v>5</v>
      </c>
      <c r="O20" s="48">
        <f t="shared" si="3"/>
        <v>15881</v>
      </c>
      <c r="P20" s="56" t="str">
        <f t="shared" si="2"/>
        <v>0x3E09</v>
      </c>
      <c r="Q20" s="58" t="s">
        <v>40</v>
      </c>
      <c r="R20" s="64"/>
      <c r="S20" s="65"/>
      <c r="T20" s="65"/>
      <c r="U20" s="61"/>
      <c r="W20" s="50"/>
      <c r="Y20"/>
      <c r="Z20" s="50"/>
      <c r="AA20"/>
    </row>
    <row r="21" spans="1:27" x14ac:dyDescent="0.25">
      <c r="A21" s="48">
        <v>10</v>
      </c>
      <c r="B21" s="49"/>
      <c r="C21" s="50" t="s">
        <v>59</v>
      </c>
      <c r="D21" s="48"/>
      <c r="E21" s="51" t="s">
        <v>38</v>
      </c>
      <c r="F21" s="52">
        <v>0</v>
      </c>
      <c r="G21" s="52">
        <v>255</v>
      </c>
      <c r="H21" s="53"/>
      <c r="I21" s="63"/>
      <c r="J21" s="55"/>
      <c r="K21" s="56"/>
      <c r="L21" s="55" t="s">
        <v>60</v>
      </c>
      <c r="M21" s="48">
        <f t="shared" si="0"/>
        <v>31</v>
      </c>
      <c r="N21" s="48">
        <f t="shared" si="1"/>
        <v>5</v>
      </c>
      <c r="O21" s="48">
        <f t="shared" si="3"/>
        <v>15882</v>
      </c>
      <c r="P21" s="56" t="str">
        <f t="shared" si="2"/>
        <v>0x3E0A</v>
      </c>
      <c r="Q21" s="58" t="s">
        <v>40</v>
      </c>
      <c r="R21" s="64"/>
      <c r="S21" s="65"/>
      <c r="T21" s="65"/>
      <c r="U21" s="61"/>
      <c r="W21" s="50"/>
      <c r="Y21"/>
      <c r="Z21" s="50"/>
      <c r="AA21"/>
    </row>
    <row r="22" spans="1:27" x14ac:dyDescent="0.25">
      <c r="A22" s="48">
        <v>11</v>
      </c>
      <c r="B22" s="49"/>
      <c r="C22" s="50" t="s">
        <v>61</v>
      </c>
      <c r="D22" s="48"/>
      <c r="E22" s="51" t="s">
        <v>38</v>
      </c>
      <c r="F22" s="52">
        <v>0</v>
      </c>
      <c r="G22" s="52">
        <v>255</v>
      </c>
      <c r="H22" s="53"/>
      <c r="I22" s="63"/>
      <c r="J22" s="55"/>
      <c r="K22" s="56"/>
      <c r="L22" s="55" t="s">
        <v>62</v>
      </c>
      <c r="M22" s="48">
        <f t="shared" si="0"/>
        <v>31</v>
      </c>
      <c r="N22" s="48">
        <f t="shared" si="1"/>
        <v>5</v>
      </c>
      <c r="O22" s="48">
        <f t="shared" si="3"/>
        <v>15883</v>
      </c>
      <c r="P22" s="56" t="str">
        <f t="shared" si="2"/>
        <v>0x3E0B</v>
      </c>
      <c r="Q22" s="58" t="s">
        <v>40</v>
      </c>
      <c r="R22" s="64"/>
      <c r="S22" s="65"/>
      <c r="T22" s="65"/>
      <c r="U22" s="61"/>
      <c r="W22" s="50"/>
      <c r="Y22"/>
      <c r="Z22" s="50"/>
      <c r="AA22"/>
    </row>
    <row r="23" spans="1:27" x14ac:dyDescent="0.25">
      <c r="A23" s="48">
        <v>12</v>
      </c>
      <c r="B23" s="49"/>
      <c r="C23" s="50" t="s">
        <v>63</v>
      </c>
      <c r="D23" s="48"/>
      <c r="E23" s="51" t="s">
        <v>38</v>
      </c>
      <c r="F23" s="52">
        <v>0</v>
      </c>
      <c r="G23" s="52">
        <v>255</v>
      </c>
      <c r="H23" s="53"/>
      <c r="I23" s="63"/>
      <c r="J23" s="55"/>
      <c r="K23" s="56"/>
      <c r="L23" s="55" t="s">
        <v>64</v>
      </c>
      <c r="M23" s="48">
        <f t="shared" si="0"/>
        <v>31</v>
      </c>
      <c r="N23" s="48">
        <f t="shared" si="1"/>
        <v>5</v>
      </c>
      <c r="O23" s="48">
        <f t="shared" si="3"/>
        <v>15884</v>
      </c>
      <c r="P23" s="56" t="str">
        <f t="shared" si="2"/>
        <v>0x3E0C</v>
      </c>
      <c r="Q23" s="58" t="s">
        <v>40</v>
      </c>
      <c r="R23" s="64"/>
      <c r="S23" s="65"/>
      <c r="T23" s="65"/>
      <c r="U23" s="61"/>
      <c r="W23" s="50"/>
      <c r="Y23"/>
      <c r="Z23" s="50"/>
      <c r="AA23"/>
    </row>
    <row r="24" spans="1:27" x14ac:dyDescent="0.25">
      <c r="A24" s="48">
        <v>13</v>
      </c>
      <c r="B24" s="49"/>
      <c r="C24" s="50" t="s">
        <v>65</v>
      </c>
      <c r="D24" s="48"/>
      <c r="E24" s="51" t="s">
        <v>38</v>
      </c>
      <c r="F24" s="52">
        <v>0</v>
      </c>
      <c r="G24" s="52">
        <v>255</v>
      </c>
      <c r="H24" s="53"/>
      <c r="I24" s="63"/>
      <c r="J24" s="55"/>
      <c r="K24" s="56"/>
      <c r="L24" s="55" t="s">
        <v>66</v>
      </c>
      <c r="M24" s="48">
        <f t="shared" si="0"/>
        <v>31</v>
      </c>
      <c r="N24" s="48">
        <f t="shared" si="1"/>
        <v>5</v>
      </c>
      <c r="O24" s="48">
        <f t="shared" si="3"/>
        <v>15885</v>
      </c>
      <c r="P24" s="56" t="str">
        <f t="shared" si="2"/>
        <v>0x3E0D</v>
      </c>
      <c r="Q24" s="58" t="s">
        <v>40</v>
      </c>
      <c r="R24" s="64"/>
      <c r="S24" s="65"/>
      <c r="T24" s="65"/>
      <c r="U24" s="61"/>
      <c r="W24" s="50"/>
      <c r="Y24"/>
      <c r="Z24" s="50"/>
      <c r="AA24"/>
    </row>
    <row r="25" spans="1:27" x14ac:dyDescent="0.25">
      <c r="A25" s="48">
        <v>14</v>
      </c>
      <c r="B25" s="49"/>
      <c r="C25" s="50" t="s">
        <v>67</v>
      </c>
      <c r="D25" s="48"/>
      <c r="E25" s="51" t="s">
        <v>38</v>
      </c>
      <c r="F25" s="52">
        <v>0</v>
      </c>
      <c r="G25" s="52">
        <v>255</v>
      </c>
      <c r="H25" s="53"/>
      <c r="I25" s="63"/>
      <c r="J25" s="55"/>
      <c r="K25" s="56"/>
      <c r="L25" s="55" t="s">
        <v>68</v>
      </c>
      <c r="M25" s="48">
        <f t="shared" si="0"/>
        <v>31</v>
      </c>
      <c r="N25" s="48">
        <f t="shared" si="1"/>
        <v>5</v>
      </c>
      <c r="O25" s="48">
        <f t="shared" si="3"/>
        <v>15886</v>
      </c>
      <c r="P25" s="56" t="str">
        <f t="shared" si="2"/>
        <v>0x3E0E</v>
      </c>
      <c r="Q25" s="58" t="s">
        <v>40</v>
      </c>
      <c r="R25" s="64"/>
      <c r="S25" s="65"/>
      <c r="T25" s="65"/>
      <c r="U25" s="61"/>
      <c r="W25" s="50"/>
      <c r="Y25"/>
      <c r="Z25" s="50"/>
      <c r="AA25"/>
    </row>
    <row r="26" spans="1:27" x14ac:dyDescent="0.25">
      <c r="A26" s="48">
        <v>15</v>
      </c>
      <c r="B26" s="49"/>
      <c r="C26" s="50" t="s">
        <v>69</v>
      </c>
      <c r="D26" s="48"/>
      <c r="E26" s="51" t="s">
        <v>38</v>
      </c>
      <c r="F26" s="52">
        <v>0</v>
      </c>
      <c r="G26" s="52">
        <v>255</v>
      </c>
      <c r="H26" s="53"/>
      <c r="I26" s="63"/>
      <c r="J26" s="55"/>
      <c r="K26" s="56"/>
      <c r="L26" s="55" t="s">
        <v>70</v>
      </c>
      <c r="M26" s="48">
        <f t="shared" si="0"/>
        <v>31</v>
      </c>
      <c r="N26" s="48">
        <f t="shared" si="1"/>
        <v>5</v>
      </c>
      <c r="O26" s="48">
        <f t="shared" si="3"/>
        <v>15887</v>
      </c>
      <c r="P26" s="56" t="str">
        <f t="shared" si="2"/>
        <v>0x3E0F</v>
      </c>
      <c r="Q26" s="58" t="s">
        <v>40</v>
      </c>
      <c r="R26" s="64"/>
      <c r="S26" s="65"/>
      <c r="T26" s="65"/>
      <c r="U26" s="61"/>
      <c r="W26" s="50"/>
      <c r="Y26"/>
      <c r="Z26" s="50"/>
      <c r="AA26"/>
    </row>
    <row r="27" spans="1:27" x14ac:dyDescent="0.25">
      <c r="A27" s="48">
        <v>16</v>
      </c>
      <c r="B27" s="49"/>
      <c r="C27" s="50" t="s">
        <v>71</v>
      </c>
      <c r="D27" s="48"/>
      <c r="E27" s="51" t="s">
        <v>38</v>
      </c>
      <c r="F27" s="52">
        <v>0</v>
      </c>
      <c r="G27" s="52">
        <v>255</v>
      </c>
      <c r="H27" s="53"/>
      <c r="I27" s="63"/>
      <c r="J27" s="55"/>
      <c r="K27" s="56"/>
      <c r="L27" s="55" t="s">
        <v>72</v>
      </c>
      <c r="M27" s="48">
        <f t="shared" si="0"/>
        <v>31</v>
      </c>
      <c r="N27" s="48">
        <f t="shared" si="1"/>
        <v>5</v>
      </c>
      <c r="O27" s="48">
        <f t="shared" si="3"/>
        <v>15888</v>
      </c>
      <c r="P27" s="56" t="str">
        <f t="shared" si="2"/>
        <v>0x3E10</v>
      </c>
      <c r="Q27" s="58" t="s">
        <v>40</v>
      </c>
      <c r="R27" s="64"/>
      <c r="S27" s="65"/>
      <c r="T27" s="65"/>
      <c r="U27" s="61"/>
      <c r="W27" s="50"/>
      <c r="Y27"/>
      <c r="Z27" s="50"/>
      <c r="AA27"/>
    </row>
    <row r="28" spans="1:27" x14ac:dyDescent="0.25">
      <c r="A28" s="48">
        <v>17</v>
      </c>
      <c r="B28" s="49"/>
      <c r="C28" s="50" t="s">
        <v>73</v>
      </c>
      <c r="D28" s="48"/>
      <c r="E28" s="51" t="s">
        <v>38</v>
      </c>
      <c r="F28" s="52">
        <v>0</v>
      </c>
      <c r="G28" s="52">
        <v>255</v>
      </c>
      <c r="H28" s="53"/>
      <c r="I28" s="63"/>
      <c r="J28" s="55"/>
      <c r="K28" s="56"/>
      <c r="L28" s="55" t="s">
        <v>74</v>
      </c>
      <c r="M28" s="48">
        <f t="shared" si="0"/>
        <v>31</v>
      </c>
      <c r="N28" s="48">
        <f t="shared" si="1"/>
        <v>5</v>
      </c>
      <c r="O28" s="48">
        <f t="shared" si="3"/>
        <v>15889</v>
      </c>
      <c r="P28" s="56" t="str">
        <f t="shared" si="2"/>
        <v>0x3E11</v>
      </c>
      <c r="Q28" s="58" t="s">
        <v>40</v>
      </c>
      <c r="R28" s="64"/>
      <c r="S28" s="65"/>
      <c r="T28" s="65"/>
      <c r="U28" s="61"/>
      <c r="W28" s="50"/>
      <c r="Y28"/>
      <c r="Z28" s="50"/>
      <c r="AA28"/>
    </row>
    <row r="29" spans="1:27" x14ac:dyDescent="0.25">
      <c r="A29" s="48">
        <v>18</v>
      </c>
      <c r="B29" s="49"/>
      <c r="C29" s="50" t="s">
        <v>75</v>
      </c>
      <c r="D29" s="48"/>
      <c r="E29" s="51" t="s">
        <v>38</v>
      </c>
      <c r="F29" s="52">
        <v>0</v>
      </c>
      <c r="G29" s="52">
        <v>255</v>
      </c>
      <c r="H29" s="53"/>
      <c r="I29" s="63"/>
      <c r="J29" s="55"/>
      <c r="K29" s="56"/>
      <c r="L29" s="55" t="s">
        <v>76</v>
      </c>
      <c r="M29" s="48">
        <f t="shared" si="0"/>
        <v>31</v>
      </c>
      <c r="N29" s="48">
        <f t="shared" si="1"/>
        <v>5</v>
      </c>
      <c r="O29" s="48">
        <f t="shared" si="3"/>
        <v>15890</v>
      </c>
      <c r="P29" s="56" t="str">
        <f t="shared" si="2"/>
        <v>0x3E12</v>
      </c>
      <c r="Q29" s="58" t="s">
        <v>40</v>
      </c>
      <c r="R29" s="64"/>
      <c r="S29" s="65"/>
      <c r="T29" s="65"/>
      <c r="U29" s="61"/>
      <c r="W29" s="50"/>
      <c r="Y29"/>
      <c r="Z29" s="50"/>
      <c r="AA29"/>
    </row>
    <row r="30" spans="1:27" x14ac:dyDescent="0.25">
      <c r="A30" s="48">
        <v>19</v>
      </c>
      <c r="B30" s="49"/>
      <c r="C30" s="50" t="s">
        <v>77</v>
      </c>
      <c r="D30" s="48"/>
      <c r="E30" s="51" t="s">
        <v>38</v>
      </c>
      <c r="F30" s="52">
        <v>0</v>
      </c>
      <c r="G30" s="52">
        <v>255</v>
      </c>
      <c r="H30" s="53"/>
      <c r="I30" s="63"/>
      <c r="J30" s="55"/>
      <c r="K30" s="56"/>
      <c r="L30" s="55" t="s">
        <v>78</v>
      </c>
      <c r="M30" s="48">
        <f t="shared" si="0"/>
        <v>31</v>
      </c>
      <c r="N30" s="48">
        <f t="shared" si="1"/>
        <v>5</v>
      </c>
      <c r="O30" s="48">
        <f t="shared" si="3"/>
        <v>15891</v>
      </c>
      <c r="P30" s="56" t="str">
        <f t="shared" si="2"/>
        <v>0x3E13</v>
      </c>
      <c r="Q30" s="58" t="s">
        <v>40</v>
      </c>
      <c r="R30" s="64"/>
      <c r="S30" s="65"/>
      <c r="T30" s="65"/>
      <c r="U30" s="61"/>
      <c r="W30" s="50"/>
      <c r="Y30"/>
      <c r="Z30" s="50"/>
      <c r="AA30"/>
    </row>
    <row r="31" spans="1:27" x14ac:dyDescent="0.25">
      <c r="A31" s="48">
        <v>20</v>
      </c>
      <c r="B31" s="49"/>
      <c r="C31" s="50" t="s">
        <v>79</v>
      </c>
      <c r="D31" s="48"/>
      <c r="E31" s="51" t="s">
        <v>38</v>
      </c>
      <c r="F31" s="52">
        <v>0</v>
      </c>
      <c r="G31" s="52">
        <v>255</v>
      </c>
      <c r="H31" s="53"/>
      <c r="I31" s="63"/>
      <c r="J31" s="55"/>
      <c r="K31" s="56"/>
      <c r="L31" s="55" t="s">
        <v>80</v>
      </c>
      <c r="M31" s="48">
        <f t="shared" si="0"/>
        <v>31</v>
      </c>
      <c r="N31" s="48">
        <f t="shared" si="1"/>
        <v>5</v>
      </c>
      <c r="O31" s="48">
        <f t="shared" si="3"/>
        <v>15892</v>
      </c>
      <c r="P31" s="56" t="str">
        <f t="shared" si="2"/>
        <v>0x3E14</v>
      </c>
      <c r="Q31" s="58" t="s">
        <v>40</v>
      </c>
      <c r="R31" s="64"/>
      <c r="S31" s="65"/>
      <c r="T31" s="65"/>
      <c r="U31" s="61"/>
      <c r="W31" s="50"/>
      <c r="Y31"/>
      <c r="Z31" s="50"/>
      <c r="AA31"/>
    </row>
    <row r="32" spans="1:27" x14ac:dyDescent="0.25">
      <c r="A32" s="48">
        <v>21</v>
      </c>
      <c r="B32" s="49"/>
      <c r="C32" s="50" t="s">
        <v>81</v>
      </c>
      <c r="D32" s="48"/>
      <c r="E32" s="51" t="s">
        <v>38</v>
      </c>
      <c r="F32" s="52">
        <v>0</v>
      </c>
      <c r="G32" s="52">
        <v>255</v>
      </c>
      <c r="H32" s="53"/>
      <c r="I32" s="63"/>
      <c r="J32" s="55"/>
      <c r="K32" s="56"/>
      <c r="L32" s="55" t="s">
        <v>82</v>
      </c>
      <c r="M32" s="48">
        <f t="shared" si="0"/>
        <v>31</v>
      </c>
      <c r="N32" s="48">
        <f t="shared" si="1"/>
        <v>5</v>
      </c>
      <c r="O32" s="48">
        <f t="shared" si="3"/>
        <v>15893</v>
      </c>
      <c r="P32" s="56" t="str">
        <f t="shared" si="2"/>
        <v>0x3E15</v>
      </c>
      <c r="Q32" s="58" t="s">
        <v>40</v>
      </c>
      <c r="R32" s="64"/>
      <c r="S32" s="65"/>
      <c r="T32" s="65"/>
      <c r="U32" s="61"/>
      <c r="W32" s="50"/>
      <c r="Y32"/>
      <c r="Z32" s="50"/>
      <c r="AA32"/>
    </row>
    <row r="33" spans="1:27" x14ac:dyDescent="0.25">
      <c r="A33" s="48">
        <v>22</v>
      </c>
      <c r="B33" s="49"/>
      <c r="C33" s="50" t="s">
        <v>83</v>
      </c>
      <c r="D33" s="48"/>
      <c r="E33" s="51" t="s">
        <v>38</v>
      </c>
      <c r="F33" s="52">
        <v>0</v>
      </c>
      <c r="G33" s="52">
        <v>255</v>
      </c>
      <c r="H33" s="53"/>
      <c r="I33" s="63"/>
      <c r="J33" s="55"/>
      <c r="K33" s="56"/>
      <c r="L33" s="55" t="s">
        <v>84</v>
      </c>
      <c r="M33" s="48">
        <f t="shared" si="0"/>
        <v>31</v>
      </c>
      <c r="N33" s="48">
        <f t="shared" si="1"/>
        <v>5</v>
      </c>
      <c r="O33" s="48">
        <f t="shared" si="3"/>
        <v>15894</v>
      </c>
      <c r="P33" s="56" t="str">
        <f t="shared" si="2"/>
        <v>0x3E16</v>
      </c>
      <c r="Q33" s="58" t="s">
        <v>40</v>
      </c>
      <c r="R33" s="64"/>
      <c r="S33" s="65"/>
      <c r="T33" s="65"/>
      <c r="U33" s="61"/>
      <c r="W33" s="50"/>
      <c r="Y33"/>
      <c r="Z33" s="50"/>
      <c r="AA33"/>
    </row>
    <row r="34" spans="1:27" x14ac:dyDescent="0.25">
      <c r="A34" s="48">
        <v>23</v>
      </c>
      <c r="B34" s="49"/>
      <c r="C34" s="50" t="s">
        <v>85</v>
      </c>
      <c r="D34" s="48"/>
      <c r="E34" s="51" t="s">
        <v>38</v>
      </c>
      <c r="F34" s="52">
        <v>0</v>
      </c>
      <c r="G34" s="52">
        <v>255</v>
      </c>
      <c r="H34" s="53"/>
      <c r="I34" s="63"/>
      <c r="J34" s="55"/>
      <c r="K34" s="56"/>
      <c r="L34" s="55" t="s">
        <v>86</v>
      </c>
      <c r="M34" s="48">
        <f t="shared" si="0"/>
        <v>31</v>
      </c>
      <c r="N34" s="48">
        <f t="shared" si="1"/>
        <v>5</v>
      </c>
      <c r="O34" s="48">
        <f t="shared" si="3"/>
        <v>15895</v>
      </c>
      <c r="P34" s="56" t="str">
        <f t="shared" si="2"/>
        <v>0x3E17</v>
      </c>
      <c r="Q34" s="58" t="s">
        <v>40</v>
      </c>
      <c r="R34" s="64"/>
      <c r="S34" s="65"/>
      <c r="T34" s="65"/>
      <c r="U34" s="61"/>
      <c r="W34" s="50"/>
      <c r="Y34"/>
      <c r="Z34" s="50"/>
      <c r="AA34"/>
    </row>
    <row r="35" spans="1:27" x14ac:dyDescent="0.25">
      <c r="A35" s="48">
        <v>24</v>
      </c>
      <c r="B35" s="49"/>
      <c r="C35" s="50" t="s">
        <v>87</v>
      </c>
      <c r="D35" s="48"/>
      <c r="E35" s="51" t="s">
        <v>38</v>
      </c>
      <c r="F35" s="52">
        <v>0</v>
      </c>
      <c r="G35" s="52">
        <v>255</v>
      </c>
      <c r="H35" s="53"/>
      <c r="I35" s="63"/>
      <c r="J35" s="55"/>
      <c r="K35" s="56"/>
      <c r="L35" s="55" t="s">
        <v>88</v>
      </c>
      <c r="M35" s="48">
        <f t="shared" si="0"/>
        <v>31</v>
      </c>
      <c r="N35" s="48">
        <f t="shared" si="1"/>
        <v>5</v>
      </c>
      <c r="O35" s="48">
        <f t="shared" si="3"/>
        <v>15896</v>
      </c>
      <c r="P35" s="56" t="str">
        <f t="shared" si="2"/>
        <v>0x3E18</v>
      </c>
      <c r="Q35" s="58" t="s">
        <v>40</v>
      </c>
      <c r="R35" s="64"/>
      <c r="S35" s="65"/>
      <c r="T35" s="65"/>
      <c r="U35" s="61"/>
      <c r="W35" s="50"/>
      <c r="Y35"/>
      <c r="Z35" s="50"/>
      <c r="AA35"/>
    </row>
    <row r="36" spans="1:27" x14ac:dyDescent="0.25">
      <c r="A36" s="48">
        <v>25</v>
      </c>
      <c r="B36" s="49"/>
      <c r="C36" s="50" t="s">
        <v>89</v>
      </c>
      <c r="D36" s="48"/>
      <c r="E36" s="51" t="s">
        <v>38</v>
      </c>
      <c r="F36" s="52">
        <v>0</v>
      </c>
      <c r="G36" s="52">
        <v>255</v>
      </c>
      <c r="H36" s="53"/>
      <c r="I36" s="63"/>
      <c r="J36" s="55"/>
      <c r="K36" s="56"/>
      <c r="L36" s="55" t="s">
        <v>90</v>
      </c>
      <c r="M36" s="48">
        <f t="shared" si="0"/>
        <v>31</v>
      </c>
      <c r="N36" s="48">
        <f t="shared" si="1"/>
        <v>5</v>
      </c>
      <c r="O36" s="48">
        <f t="shared" si="3"/>
        <v>15897</v>
      </c>
      <c r="P36" s="56" t="str">
        <f t="shared" si="2"/>
        <v>0x3E19</v>
      </c>
      <c r="Q36" s="58" t="s">
        <v>40</v>
      </c>
      <c r="R36" s="64"/>
      <c r="S36" s="65"/>
      <c r="T36" s="65"/>
      <c r="U36" s="61"/>
      <c r="W36" s="50"/>
      <c r="Y36"/>
      <c r="Z36" s="50"/>
      <c r="AA36"/>
    </row>
    <row r="37" spans="1:27" x14ac:dyDescent="0.25">
      <c r="A37" s="48">
        <v>26</v>
      </c>
      <c r="B37" s="49"/>
      <c r="C37" s="50" t="s">
        <v>91</v>
      </c>
      <c r="D37" s="48"/>
      <c r="E37" s="51" t="s">
        <v>38</v>
      </c>
      <c r="F37" s="52">
        <v>0</v>
      </c>
      <c r="G37" s="52">
        <v>255</v>
      </c>
      <c r="H37" s="53"/>
      <c r="I37" s="63"/>
      <c r="J37" s="55"/>
      <c r="K37" s="56"/>
      <c r="L37" s="55" t="s">
        <v>92</v>
      </c>
      <c r="M37" s="48">
        <f t="shared" si="0"/>
        <v>31</v>
      </c>
      <c r="N37" s="48">
        <f t="shared" si="1"/>
        <v>5</v>
      </c>
      <c r="O37" s="48">
        <f t="shared" si="3"/>
        <v>15898</v>
      </c>
      <c r="P37" s="56" t="str">
        <f t="shared" si="2"/>
        <v>0x3E1A</v>
      </c>
      <c r="Q37" s="58" t="s">
        <v>40</v>
      </c>
      <c r="R37" s="64"/>
      <c r="S37" s="65"/>
      <c r="T37" s="65"/>
      <c r="U37" s="61"/>
      <c r="W37" s="50"/>
      <c r="Y37"/>
      <c r="Z37" s="50"/>
      <c r="AA37"/>
    </row>
    <row r="38" spans="1:27" x14ac:dyDescent="0.25">
      <c r="A38" s="48">
        <v>27</v>
      </c>
      <c r="B38" s="49"/>
      <c r="C38" s="50" t="s">
        <v>93</v>
      </c>
      <c r="D38" s="48"/>
      <c r="E38" s="51" t="s">
        <v>38</v>
      </c>
      <c r="F38" s="52">
        <v>0</v>
      </c>
      <c r="G38" s="52">
        <v>255</v>
      </c>
      <c r="H38" s="53"/>
      <c r="I38" s="63"/>
      <c r="J38" s="55"/>
      <c r="K38" s="56"/>
      <c r="L38" s="55" t="s">
        <v>94</v>
      </c>
      <c r="M38" s="48">
        <f t="shared" si="0"/>
        <v>31</v>
      </c>
      <c r="N38" s="48">
        <f t="shared" si="1"/>
        <v>5</v>
      </c>
      <c r="O38" s="48">
        <f t="shared" si="3"/>
        <v>15899</v>
      </c>
      <c r="P38" s="56" t="str">
        <f t="shared" si="2"/>
        <v>0x3E1B</v>
      </c>
      <c r="Q38" s="58" t="s">
        <v>40</v>
      </c>
      <c r="R38" s="64"/>
      <c r="S38" s="65"/>
      <c r="T38" s="65"/>
      <c r="U38" s="61"/>
      <c r="W38" s="50"/>
      <c r="Y38"/>
      <c r="Z38" s="50"/>
      <c r="AA38"/>
    </row>
    <row r="39" spans="1:27" x14ac:dyDescent="0.25">
      <c r="A39" s="48">
        <v>28</v>
      </c>
      <c r="B39" s="49"/>
      <c r="C39" s="50" t="s">
        <v>95</v>
      </c>
      <c r="D39" s="48"/>
      <c r="E39" s="51" t="s">
        <v>38</v>
      </c>
      <c r="F39" s="52">
        <v>0</v>
      </c>
      <c r="G39" s="52">
        <v>255</v>
      </c>
      <c r="H39" s="53"/>
      <c r="I39" s="63"/>
      <c r="J39" s="55"/>
      <c r="K39" s="56"/>
      <c r="L39" s="55" t="s">
        <v>96</v>
      </c>
      <c r="M39" s="48">
        <f t="shared" si="0"/>
        <v>31</v>
      </c>
      <c r="N39" s="48">
        <f t="shared" si="1"/>
        <v>5</v>
      </c>
      <c r="O39" s="48">
        <f t="shared" si="3"/>
        <v>15900</v>
      </c>
      <c r="P39" s="56" t="str">
        <f t="shared" si="2"/>
        <v>0x3E1C</v>
      </c>
      <c r="Q39" s="58" t="s">
        <v>40</v>
      </c>
      <c r="R39" s="64"/>
      <c r="S39" s="65"/>
      <c r="T39" s="65"/>
      <c r="U39" s="61"/>
      <c r="W39" s="50"/>
      <c r="Y39"/>
      <c r="Z39" s="50"/>
      <c r="AA39"/>
    </row>
    <row r="40" spans="1:27" x14ac:dyDescent="0.25">
      <c r="A40" s="48">
        <v>29</v>
      </c>
      <c r="B40" s="49"/>
      <c r="C40" s="50" t="s">
        <v>97</v>
      </c>
      <c r="D40" s="48"/>
      <c r="E40" s="51" t="s">
        <v>38</v>
      </c>
      <c r="F40" s="52">
        <v>0</v>
      </c>
      <c r="G40" s="52">
        <v>255</v>
      </c>
      <c r="H40" s="53"/>
      <c r="I40" s="63"/>
      <c r="J40" s="55"/>
      <c r="K40" s="56"/>
      <c r="L40" s="55" t="s">
        <v>98</v>
      </c>
      <c r="M40" s="48">
        <f t="shared" si="0"/>
        <v>31</v>
      </c>
      <c r="N40" s="48">
        <f t="shared" si="1"/>
        <v>5</v>
      </c>
      <c r="O40" s="48">
        <f t="shared" si="3"/>
        <v>15901</v>
      </c>
      <c r="P40" s="56" t="str">
        <f t="shared" si="2"/>
        <v>0x3E1D</v>
      </c>
      <c r="Q40" s="58" t="s">
        <v>40</v>
      </c>
      <c r="R40" s="64"/>
      <c r="S40" s="65"/>
      <c r="T40" s="65"/>
      <c r="U40" s="61"/>
      <c r="W40" s="50"/>
      <c r="Y40"/>
      <c r="Z40" s="50"/>
      <c r="AA40"/>
    </row>
    <row r="41" spans="1:27" x14ac:dyDescent="0.25">
      <c r="A41" s="48">
        <v>30</v>
      </c>
      <c r="B41" s="49"/>
      <c r="C41" s="50" t="s">
        <v>99</v>
      </c>
      <c r="D41" s="48"/>
      <c r="E41" s="51" t="s">
        <v>38</v>
      </c>
      <c r="F41" s="52">
        <v>0</v>
      </c>
      <c r="G41" s="52">
        <v>255</v>
      </c>
      <c r="H41" s="53"/>
      <c r="I41" s="63"/>
      <c r="J41" s="55"/>
      <c r="K41" s="56"/>
      <c r="L41" s="55" t="s">
        <v>100</v>
      </c>
      <c r="M41" s="48">
        <f t="shared" si="0"/>
        <v>31</v>
      </c>
      <c r="N41" s="48">
        <f t="shared" si="1"/>
        <v>5</v>
      </c>
      <c r="O41" s="48">
        <f t="shared" si="3"/>
        <v>15902</v>
      </c>
      <c r="P41" s="56" t="str">
        <f t="shared" si="2"/>
        <v>0x3E1E</v>
      </c>
      <c r="Q41" s="58" t="s">
        <v>40</v>
      </c>
      <c r="R41" s="64"/>
      <c r="S41" s="65"/>
      <c r="T41" s="65"/>
      <c r="U41" s="61"/>
      <c r="W41" s="50"/>
      <c r="Y41"/>
      <c r="Z41" s="50"/>
      <c r="AA41"/>
    </row>
    <row r="42" spans="1:27" x14ac:dyDescent="0.25">
      <c r="A42" s="48">
        <v>31</v>
      </c>
      <c r="B42" s="49"/>
      <c r="C42" s="50" t="s">
        <v>101</v>
      </c>
      <c r="D42" s="48"/>
      <c r="E42" s="51" t="s">
        <v>38</v>
      </c>
      <c r="F42" s="52">
        <v>0</v>
      </c>
      <c r="G42" s="52">
        <v>255</v>
      </c>
      <c r="H42" s="53"/>
      <c r="I42" s="63"/>
      <c r="J42" s="55"/>
      <c r="K42" s="56"/>
      <c r="L42" s="55" t="s">
        <v>102</v>
      </c>
      <c r="M42" s="48">
        <f t="shared" si="0"/>
        <v>31</v>
      </c>
      <c r="N42" s="48">
        <f t="shared" si="1"/>
        <v>5</v>
      </c>
      <c r="O42" s="48">
        <f t="shared" si="3"/>
        <v>15903</v>
      </c>
      <c r="P42" s="56" t="str">
        <f t="shared" si="2"/>
        <v>0x3E1F</v>
      </c>
      <c r="Q42" s="58" t="s">
        <v>40</v>
      </c>
      <c r="R42" s="35"/>
      <c r="S42" s="65"/>
      <c r="T42" s="65"/>
      <c r="U42" s="61"/>
      <c r="W42" s="50"/>
      <c r="Y42"/>
      <c r="Z42" s="50"/>
      <c r="AA42"/>
    </row>
    <row r="43" spans="1:27" x14ac:dyDescent="0.25">
      <c r="A43" s="48">
        <v>32</v>
      </c>
      <c r="B43" s="49"/>
      <c r="C43" s="50" t="s">
        <v>103</v>
      </c>
      <c r="D43" s="48"/>
      <c r="E43" s="51" t="s">
        <v>38</v>
      </c>
      <c r="F43" s="52">
        <v>0</v>
      </c>
      <c r="G43" s="52">
        <v>255</v>
      </c>
      <c r="H43" s="53"/>
      <c r="I43" s="63"/>
      <c r="J43" s="55"/>
      <c r="K43" s="56"/>
      <c r="L43" s="55" t="s">
        <v>104</v>
      </c>
      <c r="M43" s="48">
        <f t="shared" si="0"/>
        <v>31</v>
      </c>
      <c r="N43" s="48">
        <f t="shared" si="1"/>
        <v>5</v>
      </c>
      <c r="O43" s="48">
        <f t="shared" si="3"/>
        <v>15904</v>
      </c>
      <c r="P43" s="56" t="str">
        <f t="shared" si="2"/>
        <v>0x3E20</v>
      </c>
      <c r="Q43" s="58" t="s">
        <v>40</v>
      </c>
      <c r="R43" s="35"/>
      <c r="S43" s="65"/>
      <c r="T43" s="65"/>
      <c r="U43" s="61"/>
      <c r="W43" s="50"/>
      <c r="Y43"/>
      <c r="Z43" s="50"/>
      <c r="AA43"/>
    </row>
    <row r="44" spans="1:27" x14ac:dyDescent="0.25">
      <c r="A44" s="48">
        <v>33</v>
      </c>
      <c r="B44" s="49"/>
      <c r="C44" s="50" t="s">
        <v>105</v>
      </c>
      <c r="D44" s="48"/>
      <c r="E44" s="51" t="s">
        <v>38</v>
      </c>
      <c r="F44" s="52">
        <v>0</v>
      </c>
      <c r="G44" s="52">
        <v>255</v>
      </c>
      <c r="H44" s="53"/>
      <c r="I44" s="63"/>
      <c r="J44" s="55"/>
      <c r="K44" s="56"/>
      <c r="L44" s="55" t="s">
        <v>106</v>
      </c>
      <c r="M44" s="48">
        <f t="shared" si="0"/>
        <v>31</v>
      </c>
      <c r="N44" s="48">
        <f t="shared" si="1"/>
        <v>5</v>
      </c>
      <c r="O44" s="48">
        <f t="shared" si="3"/>
        <v>15905</v>
      </c>
      <c r="P44" s="56" t="str">
        <f t="shared" si="2"/>
        <v>0x3E21</v>
      </c>
      <c r="Q44" s="58" t="s">
        <v>40</v>
      </c>
      <c r="R44" s="35"/>
      <c r="S44" s="65"/>
      <c r="T44" s="65"/>
      <c r="U44" s="61"/>
      <c r="W44" s="50"/>
      <c r="Y44"/>
      <c r="Z44" s="50"/>
      <c r="AA44"/>
    </row>
    <row r="45" spans="1:27" x14ac:dyDescent="0.25">
      <c r="A45" s="48">
        <v>34</v>
      </c>
      <c r="B45" s="49"/>
      <c r="C45" s="50" t="s">
        <v>107</v>
      </c>
      <c r="D45" s="48"/>
      <c r="E45" s="51" t="s">
        <v>38</v>
      </c>
      <c r="F45" s="52">
        <v>0</v>
      </c>
      <c r="G45" s="52">
        <v>255</v>
      </c>
      <c r="H45" s="53"/>
      <c r="I45" s="63"/>
      <c r="J45" s="55"/>
      <c r="K45" s="56"/>
      <c r="L45" s="55" t="s">
        <v>108</v>
      </c>
      <c r="M45" s="48">
        <f t="shared" si="0"/>
        <v>31</v>
      </c>
      <c r="N45" s="48">
        <f t="shared" si="1"/>
        <v>5</v>
      </c>
      <c r="O45" s="48">
        <f t="shared" si="3"/>
        <v>15906</v>
      </c>
      <c r="P45" s="56" t="str">
        <f t="shared" si="2"/>
        <v>0x3E22</v>
      </c>
      <c r="Q45" s="58" t="s">
        <v>40</v>
      </c>
      <c r="R45" s="35"/>
      <c r="S45" s="65"/>
      <c r="T45" s="65"/>
      <c r="U45" s="61"/>
      <c r="W45" s="50"/>
      <c r="Y45"/>
      <c r="Z45" s="50"/>
      <c r="AA45"/>
    </row>
    <row r="46" spans="1:27" x14ac:dyDescent="0.25">
      <c r="A46" s="48">
        <v>35</v>
      </c>
      <c r="B46" s="49"/>
      <c r="C46" s="50" t="s">
        <v>109</v>
      </c>
      <c r="D46" s="48"/>
      <c r="E46" s="51" t="s">
        <v>38</v>
      </c>
      <c r="F46" s="52">
        <v>0</v>
      </c>
      <c r="G46" s="52">
        <v>255</v>
      </c>
      <c r="H46" s="53"/>
      <c r="I46" s="63"/>
      <c r="J46" s="55"/>
      <c r="K46" s="56"/>
      <c r="L46" s="55" t="s">
        <v>110</v>
      </c>
      <c r="M46" s="48">
        <f t="shared" si="0"/>
        <v>31</v>
      </c>
      <c r="N46" s="48">
        <f t="shared" si="1"/>
        <v>5</v>
      </c>
      <c r="O46" s="48">
        <f t="shared" si="3"/>
        <v>15907</v>
      </c>
      <c r="P46" s="56" t="str">
        <f t="shared" si="2"/>
        <v>0x3E23</v>
      </c>
      <c r="Q46" s="58" t="s">
        <v>40</v>
      </c>
      <c r="R46" s="35"/>
      <c r="S46" s="65"/>
      <c r="T46" s="65"/>
      <c r="U46" s="61"/>
      <c r="W46" s="50"/>
      <c r="Y46"/>
      <c r="Z46" s="50"/>
      <c r="AA46"/>
    </row>
    <row r="47" spans="1:27" x14ac:dyDescent="0.25">
      <c r="A47" s="48">
        <v>36</v>
      </c>
      <c r="B47" s="49"/>
      <c r="C47" s="50" t="s">
        <v>111</v>
      </c>
      <c r="D47" s="48"/>
      <c r="E47" s="51" t="s">
        <v>38</v>
      </c>
      <c r="F47" s="52">
        <v>0</v>
      </c>
      <c r="G47" s="52">
        <v>255</v>
      </c>
      <c r="H47" s="53"/>
      <c r="I47" s="63"/>
      <c r="J47" s="55"/>
      <c r="K47" s="56"/>
      <c r="L47" s="55" t="s">
        <v>112</v>
      </c>
      <c r="M47" s="48">
        <f t="shared" si="0"/>
        <v>31</v>
      </c>
      <c r="N47" s="48">
        <f t="shared" si="1"/>
        <v>5</v>
      </c>
      <c r="O47" s="48">
        <f t="shared" si="3"/>
        <v>15908</v>
      </c>
      <c r="P47" s="56" t="str">
        <f t="shared" si="2"/>
        <v>0x3E24</v>
      </c>
      <c r="Q47" s="58" t="s">
        <v>40</v>
      </c>
      <c r="R47" s="35"/>
      <c r="S47" s="65"/>
      <c r="T47" s="65"/>
      <c r="U47" s="61"/>
      <c r="W47" s="50"/>
      <c r="Y47"/>
      <c r="Z47" s="50"/>
      <c r="AA47"/>
    </row>
    <row r="48" spans="1:27" x14ac:dyDescent="0.25">
      <c r="A48" s="48">
        <v>37</v>
      </c>
      <c r="B48" s="49"/>
      <c r="C48" s="50" t="s">
        <v>113</v>
      </c>
      <c r="D48" s="48"/>
      <c r="E48" s="51" t="s">
        <v>38</v>
      </c>
      <c r="F48" s="52">
        <v>0</v>
      </c>
      <c r="G48" s="52">
        <v>255</v>
      </c>
      <c r="H48" s="53"/>
      <c r="I48" s="63"/>
      <c r="J48" s="55"/>
      <c r="K48" s="56"/>
      <c r="L48" s="55" t="s">
        <v>114</v>
      </c>
      <c r="M48" s="48">
        <f t="shared" si="0"/>
        <v>31</v>
      </c>
      <c r="N48" s="48">
        <f t="shared" si="1"/>
        <v>5</v>
      </c>
      <c r="O48" s="48">
        <f t="shared" si="3"/>
        <v>15909</v>
      </c>
      <c r="P48" s="56" t="str">
        <f t="shared" si="2"/>
        <v>0x3E25</v>
      </c>
      <c r="Q48" s="58" t="s">
        <v>40</v>
      </c>
      <c r="R48" s="35"/>
      <c r="S48" s="65"/>
      <c r="T48" s="65"/>
      <c r="U48" s="61"/>
      <c r="W48" s="50"/>
      <c r="Y48"/>
      <c r="Z48" s="50"/>
      <c r="AA48"/>
    </row>
    <row r="49" spans="1:27" x14ac:dyDescent="0.25">
      <c r="A49" s="48">
        <v>38</v>
      </c>
      <c r="B49" s="49"/>
      <c r="C49" s="50" t="s">
        <v>115</v>
      </c>
      <c r="D49" s="48"/>
      <c r="E49" s="51" t="s">
        <v>38</v>
      </c>
      <c r="F49" s="52">
        <v>0</v>
      </c>
      <c r="G49" s="52">
        <v>255</v>
      </c>
      <c r="H49" s="53"/>
      <c r="I49" s="63"/>
      <c r="J49" s="55"/>
      <c r="K49" s="56"/>
      <c r="L49" s="55" t="s">
        <v>116</v>
      </c>
      <c r="M49" s="48">
        <f t="shared" si="0"/>
        <v>31</v>
      </c>
      <c r="N49" s="48">
        <f t="shared" si="1"/>
        <v>5</v>
      </c>
      <c r="O49" s="48">
        <f t="shared" si="3"/>
        <v>15910</v>
      </c>
      <c r="P49" s="56" t="str">
        <f t="shared" si="2"/>
        <v>0x3E26</v>
      </c>
      <c r="Q49" s="58" t="s">
        <v>40</v>
      </c>
      <c r="R49" s="35"/>
      <c r="S49" s="65"/>
      <c r="T49" s="65"/>
      <c r="U49" s="61"/>
      <c r="W49" s="50"/>
      <c r="Y49"/>
      <c r="Z49" s="50"/>
      <c r="AA49"/>
    </row>
    <row r="50" spans="1:27" x14ac:dyDescent="0.25">
      <c r="A50" s="48">
        <v>39</v>
      </c>
      <c r="B50" s="49"/>
      <c r="C50" s="50" t="s">
        <v>117</v>
      </c>
      <c r="D50" s="48"/>
      <c r="E50" s="51" t="s">
        <v>38</v>
      </c>
      <c r="F50" s="52">
        <v>0</v>
      </c>
      <c r="G50" s="52">
        <v>255</v>
      </c>
      <c r="H50" s="53"/>
      <c r="I50" s="63"/>
      <c r="J50" s="55"/>
      <c r="K50" s="56"/>
      <c r="L50" s="55" t="s">
        <v>118</v>
      </c>
      <c r="M50" s="48">
        <f t="shared" si="0"/>
        <v>31</v>
      </c>
      <c r="N50" s="48">
        <f t="shared" si="1"/>
        <v>5</v>
      </c>
      <c r="O50" s="48">
        <f t="shared" si="3"/>
        <v>15911</v>
      </c>
      <c r="P50" s="56" t="str">
        <f t="shared" si="2"/>
        <v>0x3E27</v>
      </c>
      <c r="Q50" s="58" t="s">
        <v>40</v>
      </c>
      <c r="R50" s="35"/>
      <c r="S50" s="65"/>
      <c r="T50" s="65"/>
      <c r="U50" s="61"/>
      <c r="W50" s="50"/>
      <c r="Y50"/>
      <c r="Z50" s="50"/>
      <c r="AA50"/>
    </row>
    <row r="51" spans="1:27" x14ac:dyDescent="0.25">
      <c r="A51" s="48">
        <v>40</v>
      </c>
      <c r="B51" s="49"/>
      <c r="C51" s="50" t="s">
        <v>119</v>
      </c>
      <c r="D51" s="48"/>
      <c r="E51" s="51" t="s">
        <v>38</v>
      </c>
      <c r="F51" s="52">
        <v>0</v>
      </c>
      <c r="G51" s="52">
        <v>255</v>
      </c>
      <c r="H51" s="53"/>
      <c r="I51" s="63"/>
      <c r="J51" s="55"/>
      <c r="K51" s="56"/>
      <c r="L51" s="55" t="s">
        <v>120</v>
      </c>
      <c r="M51" s="48">
        <f t="shared" si="0"/>
        <v>31</v>
      </c>
      <c r="N51" s="48">
        <f t="shared" si="1"/>
        <v>5</v>
      </c>
      <c r="O51" s="48">
        <f t="shared" si="3"/>
        <v>15912</v>
      </c>
      <c r="P51" s="56" t="str">
        <f t="shared" si="2"/>
        <v>0x3E28</v>
      </c>
      <c r="Q51" s="58" t="s">
        <v>40</v>
      </c>
      <c r="R51" s="35"/>
      <c r="S51" s="65"/>
      <c r="T51" s="65"/>
      <c r="U51" s="61"/>
      <c r="W51" s="50"/>
      <c r="Y51"/>
      <c r="Z51" s="50"/>
      <c r="AA51"/>
    </row>
    <row r="52" spans="1:27" x14ac:dyDescent="0.25">
      <c r="A52" s="48">
        <v>41</v>
      </c>
      <c r="B52" s="49"/>
      <c r="C52" s="50" t="s">
        <v>121</v>
      </c>
      <c r="D52" s="48"/>
      <c r="E52" s="51" t="s">
        <v>38</v>
      </c>
      <c r="F52" s="52">
        <v>0</v>
      </c>
      <c r="G52" s="52">
        <v>255</v>
      </c>
      <c r="H52" s="53"/>
      <c r="I52" s="63"/>
      <c r="J52" s="55"/>
      <c r="K52" s="56"/>
      <c r="L52" s="55" t="s">
        <v>122</v>
      </c>
      <c r="M52" s="48">
        <f t="shared" si="0"/>
        <v>31</v>
      </c>
      <c r="N52" s="48">
        <f t="shared" si="1"/>
        <v>5</v>
      </c>
      <c r="O52" s="48">
        <f t="shared" si="3"/>
        <v>15913</v>
      </c>
      <c r="P52" s="56" t="str">
        <f t="shared" si="2"/>
        <v>0x3E29</v>
      </c>
      <c r="Q52" s="58" t="s">
        <v>40</v>
      </c>
      <c r="R52" s="66"/>
      <c r="S52" s="65"/>
      <c r="T52" s="65"/>
      <c r="U52" s="61"/>
      <c r="W52" s="50"/>
      <c r="Y52"/>
      <c r="Z52" s="50"/>
      <c r="AA52"/>
    </row>
    <row r="53" spans="1:27" x14ac:dyDescent="0.25">
      <c r="A53" s="48">
        <v>42</v>
      </c>
      <c r="B53" s="49"/>
      <c r="C53" s="50" t="s">
        <v>123</v>
      </c>
      <c r="D53" s="48"/>
      <c r="E53" s="51" t="s">
        <v>38</v>
      </c>
      <c r="F53" s="52">
        <v>0</v>
      </c>
      <c r="G53" s="52">
        <v>255</v>
      </c>
      <c r="H53" s="53"/>
      <c r="I53" s="63"/>
      <c r="J53" s="55"/>
      <c r="K53" s="56"/>
      <c r="L53" s="55" t="s">
        <v>124</v>
      </c>
      <c r="M53" s="48">
        <f t="shared" si="0"/>
        <v>31</v>
      </c>
      <c r="N53" s="48">
        <f t="shared" si="1"/>
        <v>5</v>
      </c>
      <c r="O53" s="48">
        <f t="shared" si="3"/>
        <v>15914</v>
      </c>
      <c r="P53" s="56" t="str">
        <f t="shared" si="2"/>
        <v>0x3E2A</v>
      </c>
      <c r="Q53" s="58" t="s">
        <v>40</v>
      </c>
      <c r="R53" s="35"/>
      <c r="S53" s="65"/>
      <c r="T53" s="65"/>
      <c r="U53" s="61"/>
      <c r="W53" s="50"/>
      <c r="Y53"/>
      <c r="Z53" s="50"/>
      <c r="AA53"/>
    </row>
    <row r="54" spans="1:27" x14ac:dyDescent="0.25">
      <c r="A54" s="48">
        <v>43</v>
      </c>
      <c r="B54" s="49"/>
      <c r="C54" s="50" t="s">
        <v>125</v>
      </c>
      <c r="D54" s="48"/>
      <c r="E54" s="51" t="s">
        <v>38</v>
      </c>
      <c r="F54" s="52">
        <v>0</v>
      </c>
      <c r="G54" s="52">
        <v>255</v>
      </c>
      <c r="H54" s="53"/>
      <c r="I54" s="63"/>
      <c r="J54" s="55"/>
      <c r="K54" s="56"/>
      <c r="L54" s="55" t="s">
        <v>126</v>
      </c>
      <c r="M54" s="48">
        <f t="shared" si="0"/>
        <v>31</v>
      </c>
      <c r="N54" s="48">
        <f t="shared" si="1"/>
        <v>5</v>
      </c>
      <c r="O54" s="48">
        <f t="shared" si="3"/>
        <v>15915</v>
      </c>
      <c r="P54" s="56" t="str">
        <f t="shared" si="2"/>
        <v>0x3E2B</v>
      </c>
      <c r="Q54" s="58" t="s">
        <v>40</v>
      </c>
      <c r="R54" s="35"/>
      <c r="S54" s="65"/>
      <c r="T54" s="65"/>
      <c r="U54" s="61"/>
      <c r="W54" s="50"/>
      <c r="Y54"/>
      <c r="Z54" s="50"/>
      <c r="AA54"/>
    </row>
    <row r="55" spans="1:27" x14ac:dyDescent="0.25">
      <c r="A55" s="48">
        <v>44</v>
      </c>
      <c r="B55" s="49"/>
      <c r="C55" s="50" t="s">
        <v>127</v>
      </c>
      <c r="D55" s="48"/>
      <c r="E55" s="51" t="s">
        <v>38</v>
      </c>
      <c r="F55" s="52">
        <v>0</v>
      </c>
      <c r="G55" s="52">
        <v>255</v>
      </c>
      <c r="H55" s="53"/>
      <c r="I55" s="63"/>
      <c r="J55" s="55"/>
      <c r="K55" s="56"/>
      <c r="L55" s="55" t="s">
        <v>128</v>
      </c>
      <c r="M55" s="48">
        <f t="shared" si="0"/>
        <v>31</v>
      </c>
      <c r="N55" s="48">
        <f t="shared" si="1"/>
        <v>5</v>
      </c>
      <c r="O55" s="48">
        <f t="shared" si="3"/>
        <v>15916</v>
      </c>
      <c r="P55" s="56" t="str">
        <f t="shared" si="2"/>
        <v>0x3E2C</v>
      </c>
      <c r="Q55" s="58" t="s">
        <v>40</v>
      </c>
      <c r="R55" s="35"/>
      <c r="S55" s="65"/>
      <c r="T55" s="65"/>
      <c r="U55" s="61"/>
      <c r="W55" s="50"/>
      <c r="Y55"/>
      <c r="Z55" s="50"/>
      <c r="AA55"/>
    </row>
    <row r="56" spans="1:27" x14ac:dyDescent="0.25">
      <c r="A56" s="48">
        <v>45</v>
      </c>
      <c r="B56" s="49"/>
      <c r="C56" s="50" t="s">
        <v>129</v>
      </c>
      <c r="D56" s="48"/>
      <c r="E56" s="51" t="s">
        <v>38</v>
      </c>
      <c r="F56" s="52">
        <v>0</v>
      </c>
      <c r="G56" s="52">
        <v>255</v>
      </c>
      <c r="H56" s="53"/>
      <c r="I56" s="63"/>
      <c r="J56" s="55"/>
      <c r="K56" s="56"/>
      <c r="L56" s="55" t="s">
        <v>130</v>
      </c>
      <c r="M56" s="48">
        <f t="shared" si="0"/>
        <v>31</v>
      </c>
      <c r="N56" s="48">
        <f t="shared" si="1"/>
        <v>5</v>
      </c>
      <c r="O56" s="48">
        <f t="shared" si="3"/>
        <v>15917</v>
      </c>
      <c r="P56" s="56" t="str">
        <f t="shared" si="2"/>
        <v>0x3E2D</v>
      </c>
      <c r="Q56" s="58" t="s">
        <v>40</v>
      </c>
      <c r="R56" s="35"/>
      <c r="S56" s="65"/>
      <c r="T56" s="65"/>
      <c r="U56" s="61"/>
      <c r="W56" s="50"/>
      <c r="Y56"/>
      <c r="Z56" s="50"/>
      <c r="AA56"/>
    </row>
    <row r="57" spans="1:27" x14ac:dyDescent="0.25">
      <c r="A57" s="48">
        <v>46</v>
      </c>
      <c r="B57" s="49"/>
      <c r="C57" s="50" t="s">
        <v>131</v>
      </c>
      <c r="D57" s="48"/>
      <c r="E57" s="51" t="s">
        <v>38</v>
      </c>
      <c r="F57" s="52">
        <v>0</v>
      </c>
      <c r="G57" s="52">
        <v>255</v>
      </c>
      <c r="H57" s="53"/>
      <c r="I57" s="63"/>
      <c r="J57" s="55"/>
      <c r="K57" s="56"/>
      <c r="L57" s="55" t="s">
        <v>132</v>
      </c>
      <c r="M57" s="48">
        <f t="shared" si="0"/>
        <v>31</v>
      </c>
      <c r="N57" s="48">
        <f t="shared" si="1"/>
        <v>5</v>
      </c>
      <c r="O57" s="48">
        <f t="shared" si="3"/>
        <v>15918</v>
      </c>
      <c r="P57" s="56" t="str">
        <f t="shared" si="2"/>
        <v>0x3E2E</v>
      </c>
      <c r="Q57" s="58" t="s">
        <v>40</v>
      </c>
      <c r="R57" s="35"/>
      <c r="S57" s="65"/>
      <c r="T57" s="65"/>
      <c r="U57" s="61"/>
      <c r="W57" s="50"/>
      <c r="Y57"/>
      <c r="Z57" s="50"/>
      <c r="AA57"/>
    </row>
    <row r="58" spans="1:27" x14ac:dyDescent="0.25">
      <c r="A58" s="48">
        <v>47</v>
      </c>
      <c r="B58" s="49"/>
      <c r="C58" s="50" t="s">
        <v>133</v>
      </c>
      <c r="D58" s="48"/>
      <c r="E58" s="51" t="s">
        <v>38</v>
      </c>
      <c r="F58" s="52">
        <v>0</v>
      </c>
      <c r="G58" s="52">
        <v>255</v>
      </c>
      <c r="H58" s="53"/>
      <c r="I58" s="63"/>
      <c r="J58" s="55"/>
      <c r="K58" s="56"/>
      <c r="L58" s="55" t="s">
        <v>134</v>
      </c>
      <c r="M58" s="48">
        <f t="shared" si="0"/>
        <v>31</v>
      </c>
      <c r="N58" s="48">
        <f t="shared" si="1"/>
        <v>5</v>
      </c>
      <c r="O58" s="48">
        <f t="shared" si="3"/>
        <v>15919</v>
      </c>
      <c r="P58" s="56" t="str">
        <f t="shared" si="2"/>
        <v>0x3E2F</v>
      </c>
      <c r="Q58" s="58" t="s">
        <v>40</v>
      </c>
      <c r="R58" s="35"/>
      <c r="S58" s="65"/>
      <c r="T58" s="65"/>
      <c r="U58" s="61"/>
      <c r="W58" s="50"/>
      <c r="Y58"/>
      <c r="Z58" s="50"/>
      <c r="AA58"/>
    </row>
    <row r="59" spans="1:27" x14ac:dyDescent="0.25">
      <c r="A59" s="48">
        <v>48</v>
      </c>
      <c r="B59" s="49"/>
      <c r="C59" s="50" t="s">
        <v>135</v>
      </c>
      <c r="D59" s="48"/>
      <c r="E59" s="51" t="s">
        <v>38</v>
      </c>
      <c r="F59" s="52">
        <v>0</v>
      </c>
      <c r="G59" s="52">
        <v>255</v>
      </c>
      <c r="H59" s="53"/>
      <c r="I59" s="63"/>
      <c r="J59" s="55"/>
      <c r="K59" s="56"/>
      <c r="L59" s="55" t="s">
        <v>136</v>
      </c>
      <c r="M59" s="48">
        <f t="shared" si="0"/>
        <v>31</v>
      </c>
      <c r="N59" s="48">
        <f t="shared" si="1"/>
        <v>5</v>
      </c>
      <c r="O59" s="48">
        <f t="shared" si="3"/>
        <v>15920</v>
      </c>
      <c r="P59" s="56" t="str">
        <f t="shared" si="2"/>
        <v>0x3E30</v>
      </c>
      <c r="Q59" s="58" t="s">
        <v>40</v>
      </c>
      <c r="R59" s="35"/>
      <c r="S59" s="65"/>
      <c r="T59" s="65"/>
      <c r="U59" s="61"/>
      <c r="W59" s="50"/>
      <c r="Y59"/>
      <c r="Z59" s="50"/>
      <c r="AA59"/>
    </row>
    <row r="60" spans="1:27" x14ac:dyDescent="0.25">
      <c r="A60" s="48">
        <v>49</v>
      </c>
      <c r="B60" s="49"/>
      <c r="C60" s="50" t="s">
        <v>137</v>
      </c>
      <c r="D60" s="48"/>
      <c r="E60" s="51" t="s">
        <v>38</v>
      </c>
      <c r="F60" s="52">
        <v>0</v>
      </c>
      <c r="G60" s="52">
        <v>255</v>
      </c>
      <c r="H60" s="53"/>
      <c r="I60" s="63"/>
      <c r="J60" s="55"/>
      <c r="K60" s="56"/>
      <c r="L60" s="55" t="s">
        <v>138</v>
      </c>
      <c r="M60" s="48">
        <f t="shared" si="0"/>
        <v>31</v>
      </c>
      <c r="N60" s="48">
        <f t="shared" si="1"/>
        <v>5</v>
      </c>
      <c r="O60" s="48">
        <f t="shared" si="3"/>
        <v>15921</v>
      </c>
      <c r="P60" s="56" t="str">
        <f t="shared" si="2"/>
        <v>0x3E31</v>
      </c>
      <c r="Q60" s="58" t="s">
        <v>40</v>
      </c>
      <c r="R60" s="35"/>
      <c r="S60" s="65"/>
      <c r="T60" s="65"/>
      <c r="U60" s="61"/>
      <c r="W60" s="50"/>
      <c r="Y60"/>
      <c r="Z60" s="50"/>
      <c r="AA60"/>
    </row>
    <row r="61" spans="1:27" x14ac:dyDescent="0.25">
      <c r="A61" s="48">
        <v>50</v>
      </c>
      <c r="B61" s="49"/>
      <c r="C61" s="50" t="s">
        <v>139</v>
      </c>
      <c r="D61" s="48"/>
      <c r="E61" s="51" t="s">
        <v>38</v>
      </c>
      <c r="F61" s="52">
        <v>0</v>
      </c>
      <c r="G61" s="52">
        <v>255</v>
      </c>
      <c r="H61" s="53"/>
      <c r="I61" s="63"/>
      <c r="J61" s="55"/>
      <c r="K61" s="56"/>
      <c r="L61" s="55" t="s">
        <v>140</v>
      </c>
      <c r="M61" s="48">
        <f t="shared" si="0"/>
        <v>31</v>
      </c>
      <c r="N61" s="48">
        <f t="shared" si="1"/>
        <v>5</v>
      </c>
      <c r="O61" s="48">
        <f t="shared" si="3"/>
        <v>15922</v>
      </c>
      <c r="P61" s="56" t="str">
        <f t="shared" si="2"/>
        <v>0x3E32</v>
      </c>
      <c r="Q61" s="58" t="s">
        <v>40</v>
      </c>
      <c r="R61" s="35"/>
      <c r="S61" s="65"/>
      <c r="T61" s="65"/>
      <c r="U61" s="61"/>
      <c r="W61" s="50"/>
      <c r="Y61"/>
      <c r="Z61" s="50"/>
      <c r="AA61"/>
    </row>
    <row r="62" spans="1:27" x14ac:dyDescent="0.25">
      <c r="A62" s="48">
        <v>51</v>
      </c>
      <c r="B62" s="49"/>
      <c r="C62" s="50" t="s">
        <v>141</v>
      </c>
      <c r="D62" s="48"/>
      <c r="E62" s="51" t="s">
        <v>38</v>
      </c>
      <c r="F62" s="52">
        <v>0</v>
      </c>
      <c r="G62" s="52">
        <v>255</v>
      </c>
      <c r="H62" s="53"/>
      <c r="I62" s="63"/>
      <c r="J62" s="55"/>
      <c r="K62" s="56"/>
      <c r="L62" s="55" t="s">
        <v>142</v>
      </c>
      <c r="M62" s="48">
        <f t="shared" si="0"/>
        <v>31</v>
      </c>
      <c r="N62" s="48">
        <f t="shared" si="1"/>
        <v>5</v>
      </c>
      <c r="O62" s="48">
        <f t="shared" si="3"/>
        <v>15923</v>
      </c>
      <c r="P62" s="56" t="str">
        <f t="shared" si="2"/>
        <v>0x3E33</v>
      </c>
      <c r="Q62" s="58" t="s">
        <v>40</v>
      </c>
      <c r="R62" s="35"/>
      <c r="S62" s="65"/>
      <c r="T62" s="65"/>
      <c r="U62" s="61"/>
      <c r="W62" s="50"/>
      <c r="Y62"/>
      <c r="Z62" s="50"/>
      <c r="AA62"/>
    </row>
    <row r="63" spans="1:27" x14ac:dyDescent="0.25">
      <c r="A63" s="48">
        <v>52</v>
      </c>
      <c r="B63" s="49"/>
      <c r="C63" s="50" t="s">
        <v>143</v>
      </c>
      <c r="D63" s="48"/>
      <c r="E63" s="51" t="s">
        <v>38</v>
      </c>
      <c r="F63" s="52">
        <v>0</v>
      </c>
      <c r="G63" s="52">
        <v>255</v>
      </c>
      <c r="H63" s="53"/>
      <c r="I63" s="63"/>
      <c r="J63" s="55"/>
      <c r="K63" s="56"/>
      <c r="L63" s="55" t="s">
        <v>144</v>
      </c>
      <c r="M63" s="48">
        <f t="shared" si="0"/>
        <v>31</v>
      </c>
      <c r="N63" s="48">
        <f t="shared" si="1"/>
        <v>5</v>
      </c>
      <c r="O63" s="48">
        <f t="shared" si="3"/>
        <v>15924</v>
      </c>
      <c r="P63" s="56" t="str">
        <f t="shared" si="2"/>
        <v>0x3E34</v>
      </c>
      <c r="Q63" s="58" t="s">
        <v>40</v>
      </c>
      <c r="R63" s="35"/>
      <c r="S63" s="65"/>
      <c r="T63" s="65"/>
      <c r="U63" s="61"/>
      <c r="W63" s="50"/>
      <c r="Y63"/>
      <c r="Z63" s="50"/>
      <c r="AA63"/>
    </row>
    <row r="64" spans="1:27" x14ac:dyDescent="0.25">
      <c r="A64" s="48">
        <v>53</v>
      </c>
      <c r="B64" s="49"/>
      <c r="C64" s="50" t="s">
        <v>145</v>
      </c>
      <c r="D64" s="48"/>
      <c r="E64" s="51" t="s">
        <v>38</v>
      </c>
      <c r="F64" s="52">
        <v>0</v>
      </c>
      <c r="G64" s="52">
        <v>255</v>
      </c>
      <c r="H64" s="53"/>
      <c r="I64" s="63"/>
      <c r="J64" s="55"/>
      <c r="K64" s="56"/>
      <c r="L64" s="55" t="s">
        <v>146</v>
      </c>
      <c r="M64" s="48">
        <f t="shared" si="0"/>
        <v>31</v>
      </c>
      <c r="N64" s="48">
        <f t="shared" si="1"/>
        <v>5</v>
      </c>
      <c r="O64" s="48">
        <f t="shared" si="3"/>
        <v>15925</v>
      </c>
      <c r="P64" s="56" t="str">
        <f t="shared" si="2"/>
        <v>0x3E35</v>
      </c>
      <c r="Q64" s="58" t="s">
        <v>40</v>
      </c>
      <c r="R64" s="35"/>
      <c r="S64" s="65"/>
      <c r="T64" s="65"/>
      <c r="U64" s="61"/>
      <c r="W64" s="50"/>
      <c r="Y64"/>
      <c r="Z64" s="50"/>
      <c r="AA64"/>
    </row>
    <row r="65" spans="1:27" x14ac:dyDescent="0.25">
      <c r="A65" s="48">
        <v>54</v>
      </c>
      <c r="B65" s="49"/>
      <c r="C65" s="50" t="s">
        <v>147</v>
      </c>
      <c r="D65" s="48"/>
      <c r="E65" s="51" t="s">
        <v>38</v>
      </c>
      <c r="F65" s="52">
        <v>0</v>
      </c>
      <c r="G65" s="52">
        <v>255</v>
      </c>
      <c r="H65" s="53"/>
      <c r="I65" s="63"/>
      <c r="J65" s="55"/>
      <c r="K65" s="56"/>
      <c r="L65" s="55" t="s">
        <v>148</v>
      </c>
      <c r="M65" s="48">
        <f t="shared" si="0"/>
        <v>31</v>
      </c>
      <c r="N65" s="48">
        <f t="shared" si="1"/>
        <v>5</v>
      </c>
      <c r="O65" s="48">
        <f t="shared" si="3"/>
        <v>15926</v>
      </c>
      <c r="P65" s="56" t="str">
        <f t="shared" si="2"/>
        <v>0x3E36</v>
      </c>
      <c r="Q65" s="58" t="s">
        <v>40</v>
      </c>
      <c r="R65" s="35"/>
      <c r="S65" s="65"/>
      <c r="T65" s="65"/>
      <c r="U65" s="61"/>
      <c r="W65" s="50"/>
      <c r="Y65"/>
      <c r="Z65" s="50"/>
      <c r="AA65"/>
    </row>
    <row r="66" spans="1:27" x14ac:dyDescent="0.25">
      <c r="A66" s="48">
        <v>55</v>
      </c>
      <c r="B66" s="49"/>
      <c r="C66" s="50" t="s">
        <v>149</v>
      </c>
      <c r="D66" s="48"/>
      <c r="E66" s="51" t="s">
        <v>38</v>
      </c>
      <c r="F66" s="52">
        <v>0</v>
      </c>
      <c r="G66" s="52">
        <v>255</v>
      </c>
      <c r="H66" s="53"/>
      <c r="I66" s="63"/>
      <c r="J66" s="55"/>
      <c r="K66" s="56"/>
      <c r="L66" s="55" t="s">
        <v>150</v>
      </c>
      <c r="M66" s="48">
        <f t="shared" si="0"/>
        <v>31</v>
      </c>
      <c r="N66" s="48">
        <f t="shared" si="1"/>
        <v>5</v>
      </c>
      <c r="O66" s="48">
        <f t="shared" si="3"/>
        <v>15927</v>
      </c>
      <c r="P66" s="56" t="str">
        <f t="shared" si="2"/>
        <v>0x3E37</v>
      </c>
      <c r="Q66" s="58" t="s">
        <v>40</v>
      </c>
      <c r="R66" s="35"/>
      <c r="S66" s="65"/>
      <c r="T66" s="65"/>
      <c r="U66" s="61"/>
      <c r="W66" s="50"/>
      <c r="Y66"/>
      <c r="Z66" s="50"/>
      <c r="AA66"/>
    </row>
    <row r="67" spans="1:27" x14ac:dyDescent="0.25">
      <c r="A67" s="48">
        <v>56</v>
      </c>
      <c r="B67" s="49"/>
      <c r="C67" s="50" t="s">
        <v>151</v>
      </c>
      <c r="D67" s="48"/>
      <c r="E67" s="51" t="s">
        <v>38</v>
      </c>
      <c r="F67" s="52">
        <v>0</v>
      </c>
      <c r="G67" s="52">
        <v>255</v>
      </c>
      <c r="H67" s="53"/>
      <c r="I67" s="63"/>
      <c r="J67" s="55"/>
      <c r="K67" s="56"/>
      <c r="L67" s="55" t="s">
        <v>152</v>
      </c>
      <c r="M67" s="48">
        <f t="shared" si="0"/>
        <v>31</v>
      </c>
      <c r="N67" s="48">
        <f t="shared" si="1"/>
        <v>5</v>
      </c>
      <c r="O67" s="48">
        <f t="shared" si="3"/>
        <v>15928</v>
      </c>
      <c r="P67" s="56" t="str">
        <f t="shared" si="2"/>
        <v>0x3E38</v>
      </c>
      <c r="Q67" s="58" t="s">
        <v>40</v>
      </c>
      <c r="R67" s="35"/>
      <c r="S67" s="65"/>
      <c r="T67" s="65"/>
      <c r="U67" s="61"/>
      <c r="W67" s="50"/>
      <c r="Y67"/>
      <c r="Z67" s="50"/>
      <c r="AA67"/>
    </row>
    <row r="68" spans="1:27" x14ac:dyDescent="0.25">
      <c r="A68" s="48">
        <v>57</v>
      </c>
      <c r="B68" s="49"/>
      <c r="C68" s="50" t="s">
        <v>153</v>
      </c>
      <c r="D68" s="48"/>
      <c r="E68" s="51" t="s">
        <v>38</v>
      </c>
      <c r="F68" s="52">
        <v>0</v>
      </c>
      <c r="G68" s="52">
        <v>255</v>
      </c>
      <c r="H68" s="53"/>
      <c r="I68" s="63"/>
      <c r="J68" s="55"/>
      <c r="K68" s="56"/>
      <c r="L68" s="55" t="s">
        <v>154</v>
      </c>
      <c r="M68" s="48">
        <f t="shared" si="0"/>
        <v>31</v>
      </c>
      <c r="N68" s="48">
        <f t="shared" si="1"/>
        <v>5</v>
      </c>
      <c r="O68" s="48">
        <f t="shared" si="3"/>
        <v>15929</v>
      </c>
      <c r="P68" s="56" t="str">
        <f t="shared" si="2"/>
        <v>0x3E39</v>
      </c>
      <c r="Q68" s="58" t="s">
        <v>40</v>
      </c>
      <c r="R68" s="35"/>
      <c r="S68" s="65"/>
      <c r="T68" s="65"/>
      <c r="U68" s="61"/>
      <c r="W68" s="50"/>
      <c r="Y68"/>
      <c r="Z68" s="50"/>
      <c r="AA68"/>
    </row>
    <row r="69" spans="1:27" x14ac:dyDescent="0.25">
      <c r="A69" s="48">
        <v>58</v>
      </c>
      <c r="B69" s="49"/>
      <c r="C69" s="50" t="s">
        <v>155</v>
      </c>
      <c r="D69" s="48"/>
      <c r="E69" s="51" t="s">
        <v>38</v>
      </c>
      <c r="F69" s="52">
        <v>0</v>
      </c>
      <c r="G69" s="52">
        <v>255</v>
      </c>
      <c r="H69" s="53"/>
      <c r="I69" s="63"/>
      <c r="J69" s="55"/>
      <c r="K69" s="56"/>
      <c r="L69" s="55" t="s">
        <v>156</v>
      </c>
      <c r="M69" s="48">
        <f t="shared" si="0"/>
        <v>31</v>
      </c>
      <c r="N69" s="48">
        <f t="shared" si="1"/>
        <v>5</v>
      </c>
      <c r="O69" s="48">
        <f t="shared" si="3"/>
        <v>15930</v>
      </c>
      <c r="P69" s="56" t="str">
        <f t="shared" si="2"/>
        <v>0x3E3A</v>
      </c>
      <c r="Q69" s="58" t="s">
        <v>40</v>
      </c>
      <c r="R69" s="35"/>
      <c r="S69" s="65"/>
      <c r="T69" s="65"/>
      <c r="U69" s="61"/>
      <c r="W69" s="50"/>
      <c r="Y69"/>
      <c r="Z69" s="50"/>
      <c r="AA69"/>
    </row>
    <row r="70" spans="1:27" x14ac:dyDescent="0.25">
      <c r="A70" s="48">
        <v>59</v>
      </c>
      <c r="B70" s="49"/>
      <c r="C70" s="50" t="s">
        <v>157</v>
      </c>
      <c r="D70" s="48"/>
      <c r="E70" s="51" t="s">
        <v>38</v>
      </c>
      <c r="F70" s="52">
        <v>0</v>
      </c>
      <c r="G70" s="52">
        <v>255</v>
      </c>
      <c r="H70" s="53"/>
      <c r="I70" s="63"/>
      <c r="J70" s="55"/>
      <c r="K70" s="56"/>
      <c r="L70" s="55" t="s">
        <v>158</v>
      </c>
      <c r="M70" s="48">
        <f t="shared" si="0"/>
        <v>31</v>
      </c>
      <c r="N70" s="48">
        <f t="shared" si="1"/>
        <v>5</v>
      </c>
      <c r="O70" s="48">
        <f t="shared" si="3"/>
        <v>15931</v>
      </c>
      <c r="P70" s="56" t="str">
        <f t="shared" si="2"/>
        <v>0x3E3B</v>
      </c>
      <c r="Q70" s="58" t="s">
        <v>40</v>
      </c>
      <c r="R70" s="35"/>
      <c r="S70" s="65"/>
      <c r="T70" s="65"/>
      <c r="U70" s="61"/>
      <c r="W70" s="50"/>
      <c r="Y70"/>
      <c r="Z70" s="50"/>
      <c r="AA70"/>
    </row>
    <row r="71" spans="1:27" x14ac:dyDescent="0.25">
      <c r="A71" s="48">
        <v>60</v>
      </c>
      <c r="B71" s="49"/>
      <c r="C71" s="50" t="s">
        <v>159</v>
      </c>
      <c r="D71" s="48"/>
      <c r="E71" s="51" t="s">
        <v>38</v>
      </c>
      <c r="F71" s="52">
        <v>0</v>
      </c>
      <c r="G71" s="52">
        <v>255</v>
      </c>
      <c r="H71" s="53"/>
      <c r="I71" s="63"/>
      <c r="J71" s="55"/>
      <c r="K71" s="56"/>
      <c r="L71" s="55" t="s">
        <v>160</v>
      </c>
      <c r="M71" s="48">
        <f t="shared" si="0"/>
        <v>31</v>
      </c>
      <c r="N71" s="48">
        <f t="shared" si="1"/>
        <v>5</v>
      </c>
      <c r="O71" s="48">
        <f t="shared" si="3"/>
        <v>15932</v>
      </c>
      <c r="P71" s="56" t="str">
        <f t="shared" si="2"/>
        <v>0x3E3C</v>
      </c>
      <c r="Q71" s="58" t="s">
        <v>40</v>
      </c>
      <c r="R71" s="35"/>
      <c r="S71" s="65"/>
      <c r="T71" s="65"/>
      <c r="U71" s="61"/>
      <c r="W71" s="50"/>
      <c r="Y71"/>
      <c r="Z71" s="50"/>
      <c r="AA71"/>
    </row>
    <row r="72" spans="1:27" x14ac:dyDescent="0.25">
      <c r="A72" s="48">
        <v>61</v>
      </c>
      <c r="B72" s="49"/>
      <c r="C72" s="50" t="s">
        <v>161</v>
      </c>
      <c r="D72" s="48"/>
      <c r="E72" s="51" t="s">
        <v>38</v>
      </c>
      <c r="F72" s="52">
        <v>0</v>
      </c>
      <c r="G72" s="52">
        <v>255</v>
      </c>
      <c r="H72" s="53"/>
      <c r="I72" s="63"/>
      <c r="J72" s="55"/>
      <c r="K72" s="56"/>
      <c r="L72" s="55" t="s">
        <v>162</v>
      </c>
      <c r="M72" s="48">
        <f t="shared" si="0"/>
        <v>31</v>
      </c>
      <c r="N72" s="48">
        <f t="shared" si="1"/>
        <v>5</v>
      </c>
      <c r="O72" s="48">
        <f t="shared" si="3"/>
        <v>15933</v>
      </c>
      <c r="P72" s="56" t="str">
        <f t="shared" si="2"/>
        <v>0x3E3D</v>
      </c>
      <c r="Q72" s="58" t="s">
        <v>40</v>
      </c>
      <c r="R72" s="35"/>
      <c r="S72" s="65"/>
      <c r="T72" s="65"/>
      <c r="U72" s="61"/>
      <c r="W72" s="50"/>
      <c r="Y72"/>
      <c r="Z72" s="50"/>
      <c r="AA72"/>
    </row>
    <row r="73" spans="1:27" x14ac:dyDescent="0.25">
      <c r="A73" s="48">
        <v>62</v>
      </c>
      <c r="B73" s="49"/>
      <c r="C73" s="50" t="s">
        <v>163</v>
      </c>
      <c r="D73" s="48"/>
      <c r="E73" s="51" t="s">
        <v>38</v>
      </c>
      <c r="F73" s="52">
        <v>0</v>
      </c>
      <c r="G73" s="52">
        <v>255</v>
      </c>
      <c r="H73" s="53"/>
      <c r="I73" s="63"/>
      <c r="J73" s="55"/>
      <c r="K73" s="56"/>
      <c r="L73" s="55" t="s">
        <v>164</v>
      </c>
      <c r="M73" s="48">
        <f t="shared" si="0"/>
        <v>31</v>
      </c>
      <c r="N73" s="48">
        <f t="shared" si="1"/>
        <v>5</v>
      </c>
      <c r="O73" s="48">
        <f t="shared" si="3"/>
        <v>15934</v>
      </c>
      <c r="P73" s="56" t="str">
        <f t="shared" si="2"/>
        <v>0x3E3E</v>
      </c>
      <c r="Q73" s="58" t="s">
        <v>40</v>
      </c>
      <c r="R73" s="35"/>
      <c r="S73" s="65"/>
      <c r="T73" s="65"/>
      <c r="U73" s="61"/>
      <c r="W73" s="50"/>
      <c r="Y73"/>
      <c r="Z73" s="50"/>
      <c r="AA73"/>
    </row>
    <row r="74" spans="1:27" x14ac:dyDescent="0.25">
      <c r="A74" s="48">
        <v>63</v>
      </c>
      <c r="B74" s="49"/>
      <c r="C74" s="50" t="s">
        <v>165</v>
      </c>
      <c r="D74" s="48"/>
      <c r="E74" s="51" t="s">
        <v>38</v>
      </c>
      <c r="F74" s="52">
        <v>0</v>
      </c>
      <c r="G74" s="52">
        <v>255</v>
      </c>
      <c r="H74" s="53"/>
      <c r="I74" s="63"/>
      <c r="J74" s="55"/>
      <c r="K74" s="56"/>
      <c r="L74" s="55" t="s">
        <v>166</v>
      </c>
      <c r="M74" s="48">
        <f t="shared" si="0"/>
        <v>31</v>
      </c>
      <c r="N74" s="48">
        <f t="shared" si="1"/>
        <v>5</v>
      </c>
      <c r="O74" s="48">
        <f t="shared" si="3"/>
        <v>15935</v>
      </c>
      <c r="P74" s="56" t="str">
        <f t="shared" si="2"/>
        <v>0x3E3F</v>
      </c>
      <c r="Q74" s="58" t="s">
        <v>40</v>
      </c>
      <c r="R74" s="35"/>
      <c r="S74" s="65"/>
      <c r="T74" s="65"/>
      <c r="U74" s="61"/>
      <c r="W74" s="50"/>
      <c r="Y74"/>
      <c r="Z74" s="50"/>
      <c r="AA74"/>
    </row>
    <row r="75" spans="1:27" x14ac:dyDescent="0.25">
      <c r="A75" s="48"/>
      <c r="B75" s="49"/>
      <c r="C75" s="50"/>
      <c r="D75" s="48"/>
      <c r="E75" s="51"/>
      <c r="F75" s="52"/>
      <c r="G75" s="52"/>
      <c r="H75" s="53"/>
      <c r="I75" s="63"/>
      <c r="J75" s="55"/>
      <c r="K75" s="56"/>
      <c r="L75" s="55"/>
      <c r="M75" s="48">
        <f t="shared" ref="M75:M114" si="4">$D$5</f>
        <v>31</v>
      </c>
      <c r="N75" s="48">
        <f t="shared" ref="N75:N114" si="5">$D$4</f>
        <v>5</v>
      </c>
      <c r="O75" s="48" t="str">
        <f t="shared" si="3"/>
        <v/>
      </c>
      <c r="P75" s="56" t="str">
        <f t="shared" ref="P75:P114" si="6">IF(A75&lt;&gt;"","0x" &amp;DEC2HEX( O75,4),"")</f>
        <v/>
      </c>
      <c r="Q75" s="67"/>
      <c r="R75" s="35"/>
      <c r="S75" s="65"/>
      <c r="T75" s="65"/>
      <c r="U75" s="61"/>
      <c r="W75" s="50"/>
      <c r="Y75"/>
      <c r="Z75" s="50"/>
      <c r="AA75"/>
    </row>
    <row r="76" spans="1:27" x14ac:dyDescent="0.25">
      <c r="A76" s="48"/>
      <c r="B76" s="49"/>
      <c r="C76" s="50"/>
      <c r="D76" s="48"/>
      <c r="E76" s="51"/>
      <c r="F76" s="52"/>
      <c r="G76" s="52"/>
      <c r="H76" s="53"/>
      <c r="I76" s="63"/>
      <c r="J76" s="55"/>
      <c r="K76" s="56"/>
      <c r="L76" s="55"/>
      <c r="M76" s="48">
        <f t="shared" si="4"/>
        <v>31</v>
      </c>
      <c r="N76" s="48">
        <f t="shared" si="5"/>
        <v>5</v>
      </c>
      <c r="O76" s="48" t="str">
        <f t="shared" si="3"/>
        <v/>
      </c>
      <c r="P76" s="56" t="str">
        <f t="shared" si="6"/>
        <v/>
      </c>
      <c r="Q76" s="67"/>
      <c r="R76" s="35"/>
      <c r="S76" s="65"/>
      <c r="T76" s="65"/>
      <c r="U76" s="61"/>
      <c r="W76" s="50"/>
      <c r="Y76"/>
      <c r="Z76" s="50"/>
      <c r="AA76"/>
    </row>
    <row r="77" spans="1:27" x14ac:dyDescent="0.25">
      <c r="A77" s="48">
        <v>66</v>
      </c>
      <c r="B77" s="49"/>
      <c r="C77" s="50" t="s">
        <v>167</v>
      </c>
      <c r="D77" s="48"/>
      <c r="E77" s="51"/>
      <c r="F77" s="52">
        <v>0</v>
      </c>
      <c r="G77" s="52">
        <v>255</v>
      </c>
      <c r="H77" s="53"/>
      <c r="I77" s="63"/>
      <c r="J77" s="55"/>
      <c r="K77" s="56"/>
      <c r="L77" s="55" t="s">
        <v>168</v>
      </c>
      <c r="M77" s="48">
        <f t="shared" si="4"/>
        <v>31</v>
      </c>
      <c r="N77" s="48">
        <f t="shared" si="5"/>
        <v>5</v>
      </c>
      <c r="O77" s="48">
        <f t="shared" ref="O77:O113" si="7">IF(A77&lt;&gt;"",M77*2^9+A77,"")</f>
        <v>15938</v>
      </c>
      <c r="P77" s="56" t="str">
        <f t="shared" si="6"/>
        <v>0x3E42</v>
      </c>
      <c r="Q77" s="67" t="s">
        <v>169</v>
      </c>
      <c r="R77" s="35"/>
      <c r="S77" s="65"/>
      <c r="T77" s="65"/>
      <c r="U77" s="61"/>
      <c r="W77" s="50"/>
      <c r="Y77"/>
      <c r="Z77" s="50"/>
      <c r="AA77"/>
    </row>
    <row r="78" spans="1:27" x14ac:dyDescent="0.25">
      <c r="A78" s="133">
        <v>67</v>
      </c>
      <c r="B78" s="135"/>
      <c r="C78" s="132" t="s">
        <v>232</v>
      </c>
      <c r="D78" s="133"/>
      <c r="E78" s="141"/>
      <c r="F78" s="142">
        <v>0</v>
      </c>
      <c r="G78" s="142">
        <v>65535</v>
      </c>
      <c r="H78" s="136"/>
      <c r="I78" s="138"/>
      <c r="J78" s="131"/>
      <c r="K78" s="134"/>
      <c r="L78" s="137" t="s">
        <v>233</v>
      </c>
      <c r="M78" s="48">
        <f t="shared" si="4"/>
        <v>31</v>
      </c>
      <c r="N78" s="48">
        <f t="shared" si="5"/>
        <v>5</v>
      </c>
      <c r="O78" s="48">
        <f t="shared" si="7"/>
        <v>15939</v>
      </c>
      <c r="P78" s="56" t="str">
        <f t="shared" si="6"/>
        <v>0x3E43</v>
      </c>
      <c r="Q78" s="67"/>
      <c r="R78" s="35"/>
      <c r="S78" s="65"/>
      <c r="T78" s="65"/>
      <c r="U78" s="61"/>
      <c r="W78" s="50"/>
      <c r="Y78"/>
      <c r="Z78" s="50"/>
      <c r="AA78"/>
    </row>
    <row r="79" spans="1:27" x14ac:dyDescent="0.25">
      <c r="A79" s="143"/>
      <c r="B79" s="135"/>
      <c r="C79" s="131"/>
      <c r="D79" s="143"/>
      <c r="E79" s="141"/>
      <c r="F79" s="142"/>
      <c r="G79" s="142"/>
      <c r="H79" s="144"/>
      <c r="I79" s="145"/>
      <c r="J79" s="131"/>
      <c r="K79" s="134"/>
      <c r="L79" s="137"/>
      <c r="M79" s="48"/>
      <c r="N79" s="48"/>
      <c r="O79" s="48"/>
      <c r="P79" s="56"/>
      <c r="Q79" s="67"/>
      <c r="R79" s="35"/>
      <c r="S79" s="139"/>
      <c r="T79" s="139"/>
      <c r="U79" s="140"/>
      <c r="W79" s="50"/>
      <c r="Y79"/>
      <c r="Z79" s="50"/>
      <c r="AA79"/>
    </row>
    <row r="80" spans="1:27" x14ac:dyDescent="0.25">
      <c r="A80" s="48">
        <v>98</v>
      </c>
      <c r="B80" s="49"/>
      <c r="C80" s="55" t="s">
        <v>170</v>
      </c>
      <c r="D80" s="48"/>
      <c r="E80" s="51"/>
      <c r="F80" s="52">
        <v>0</v>
      </c>
      <c r="G80" s="52">
        <v>255</v>
      </c>
      <c r="H80" s="53"/>
      <c r="I80" s="68"/>
      <c r="J80" s="50"/>
      <c r="K80" s="56"/>
      <c r="L80" s="50" t="s">
        <v>171</v>
      </c>
      <c r="M80" s="48">
        <f t="shared" si="4"/>
        <v>31</v>
      </c>
      <c r="N80" s="48">
        <f t="shared" si="5"/>
        <v>5</v>
      </c>
      <c r="O80" s="48">
        <f t="shared" si="7"/>
        <v>15970</v>
      </c>
      <c r="P80" s="56" t="str">
        <f t="shared" si="6"/>
        <v>0x3E62</v>
      </c>
      <c r="Q80" s="67" t="s">
        <v>169</v>
      </c>
      <c r="R80" s="35"/>
      <c r="S80" s="65"/>
      <c r="T80" s="65"/>
      <c r="U80" s="61"/>
      <c r="W80" s="50"/>
      <c r="Y80"/>
      <c r="Z80" s="50"/>
      <c r="AA80"/>
    </row>
    <row r="81" spans="1:27" x14ac:dyDescent="0.25">
      <c r="A81" s="48"/>
      <c r="B81" s="49"/>
      <c r="C81" s="55"/>
      <c r="D81" s="48"/>
      <c r="E81" s="51"/>
      <c r="F81" s="52"/>
      <c r="G81" s="52"/>
      <c r="H81" s="53"/>
      <c r="I81" s="69"/>
      <c r="J81" s="50"/>
      <c r="K81" s="56"/>
      <c r="L81" s="50"/>
      <c r="M81" s="48">
        <f t="shared" si="4"/>
        <v>31</v>
      </c>
      <c r="N81" s="48">
        <f t="shared" si="5"/>
        <v>5</v>
      </c>
      <c r="O81" s="48" t="str">
        <f t="shared" si="7"/>
        <v/>
      </c>
      <c r="P81" s="56" t="str">
        <f t="shared" si="6"/>
        <v/>
      </c>
      <c r="Q81" s="67"/>
      <c r="R81" s="35"/>
      <c r="S81" s="65"/>
      <c r="T81" s="65"/>
      <c r="U81" s="61"/>
      <c r="W81" s="50"/>
      <c r="Y81"/>
      <c r="Z81" s="50"/>
      <c r="AA81"/>
    </row>
    <row r="82" spans="1:27" x14ac:dyDescent="0.25">
      <c r="A82" s="48">
        <v>128</v>
      </c>
      <c r="B82" s="49"/>
      <c r="C82" s="55" t="s">
        <v>172</v>
      </c>
      <c r="D82" s="48"/>
      <c r="E82" s="51" t="s">
        <v>173</v>
      </c>
      <c r="F82" s="52">
        <v>0</v>
      </c>
      <c r="G82" s="52">
        <v>255</v>
      </c>
      <c r="H82" s="53"/>
      <c r="I82" s="69"/>
      <c r="J82" s="50"/>
      <c r="K82" s="56"/>
      <c r="L82" s="50" t="s">
        <v>174</v>
      </c>
      <c r="M82" s="48">
        <f t="shared" si="4"/>
        <v>31</v>
      </c>
      <c r="N82" s="48">
        <f t="shared" si="5"/>
        <v>5</v>
      </c>
      <c r="O82" s="48">
        <f t="shared" si="7"/>
        <v>16000</v>
      </c>
      <c r="P82" s="56" t="str">
        <f t="shared" si="6"/>
        <v>0x3E80</v>
      </c>
      <c r="Q82" s="67" t="s">
        <v>175</v>
      </c>
      <c r="R82" s="35"/>
      <c r="S82" s="65"/>
      <c r="T82" s="65"/>
      <c r="U82" s="61"/>
      <c r="W82" s="50"/>
      <c r="Y82"/>
      <c r="Z82" s="50"/>
      <c r="AA82"/>
    </row>
    <row r="83" spans="1:27" x14ac:dyDescent="0.25">
      <c r="A83" s="48">
        <v>129</v>
      </c>
      <c r="B83" s="49"/>
      <c r="C83" s="55" t="s">
        <v>176</v>
      </c>
      <c r="D83" s="48"/>
      <c r="E83" s="51" t="s">
        <v>173</v>
      </c>
      <c r="F83" s="52">
        <v>0</v>
      </c>
      <c r="G83" s="52">
        <v>65535</v>
      </c>
      <c r="H83" s="53"/>
      <c r="I83" s="69"/>
      <c r="J83" s="50"/>
      <c r="K83" s="56"/>
      <c r="L83" s="50" t="s">
        <v>177</v>
      </c>
      <c r="M83" s="48">
        <f t="shared" si="4"/>
        <v>31</v>
      </c>
      <c r="N83" s="48">
        <f t="shared" si="5"/>
        <v>5</v>
      </c>
      <c r="O83" s="48">
        <f t="shared" si="7"/>
        <v>16001</v>
      </c>
      <c r="P83" s="56" t="str">
        <f t="shared" si="6"/>
        <v>0x3E81</v>
      </c>
      <c r="Q83" s="67" t="s">
        <v>178</v>
      </c>
      <c r="R83" s="35"/>
      <c r="S83" s="65"/>
      <c r="T83" s="65"/>
      <c r="U83" s="61"/>
      <c r="W83" s="50"/>
      <c r="Y83"/>
      <c r="Z83" s="50"/>
      <c r="AA83"/>
    </row>
    <row r="84" spans="1:27" x14ac:dyDescent="0.25">
      <c r="A84" s="48">
        <v>130</v>
      </c>
      <c r="B84" s="49"/>
      <c r="C84" s="55" t="s">
        <v>179</v>
      </c>
      <c r="D84" s="48"/>
      <c r="E84" s="51" t="s">
        <v>173</v>
      </c>
      <c r="F84" s="52">
        <v>0</v>
      </c>
      <c r="G84" s="52">
        <v>65535</v>
      </c>
      <c r="H84" s="53"/>
      <c r="I84" s="69"/>
      <c r="J84" s="50"/>
      <c r="K84" s="56"/>
      <c r="L84" s="50" t="s">
        <v>180</v>
      </c>
      <c r="M84" s="48">
        <f t="shared" si="4"/>
        <v>31</v>
      </c>
      <c r="N84" s="48">
        <f t="shared" si="5"/>
        <v>5</v>
      </c>
      <c r="O84" s="48">
        <f t="shared" si="7"/>
        <v>16002</v>
      </c>
      <c r="P84" s="56" t="str">
        <f t="shared" si="6"/>
        <v>0x3E82</v>
      </c>
      <c r="Q84" s="67" t="s">
        <v>178</v>
      </c>
      <c r="R84" s="35"/>
      <c r="S84" s="65"/>
      <c r="T84" s="65"/>
      <c r="U84" s="61"/>
      <c r="W84" s="50"/>
      <c r="Y84"/>
      <c r="Z84" s="50"/>
      <c r="AA84"/>
    </row>
    <row r="85" spans="1:27" x14ac:dyDescent="0.25">
      <c r="A85" s="48">
        <v>131</v>
      </c>
      <c r="B85" s="49"/>
      <c r="C85" s="55" t="s">
        <v>181</v>
      </c>
      <c r="D85" s="48"/>
      <c r="E85" s="51" t="s">
        <v>173</v>
      </c>
      <c r="F85" s="52">
        <v>0</v>
      </c>
      <c r="G85" s="52">
        <v>65535</v>
      </c>
      <c r="H85" s="53"/>
      <c r="I85" s="69"/>
      <c r="J85" s="50"/>
      <c r="K85" s="56"/>
      <c r="L85" s="50" t="s">
        <v>182</v>
      </c>
      <c r="M85" s="48">
        <f t="shared" si="4"/>
        <v>31</v>
      </c>
      <c r="N85" s="48">
        <f t="shared" si="5"/>
        <v>5</v>
      </c>
      <c r="O85" s="48">
        <f t="shared" si="7"/>
        <v>16003</v>
      </c>
      <c r="P85" s="56" t="str">
        <f t="shared" si="6"/>
        <v>0x3E83</v>
      </c>
      <c r="Q85" s="67" t="s">
        <v>178</v>
      </c>
      <c r="R85" s="35"/>
      <c r="S85" s="65"/>
      <c r="T85" s="65"/>
      <c r="U85" s="61"/>
      <c r="W85" s="50"/>
      <c r="Y85"/>
      <c r="Z85" s="50"/>
      <c r="AA85"/>
    </row>
    <row r="86" spans="1:27" x14ac:dyDescent="0.25">
      <c r="A86" s="48">
        <v>132</v>
      </c>
      <c r="B86" s="49"/>
      <c r="C86" s="55" t="s">
        <v>183</v>
      </c>
      <c r="D86" s="48"/>
      <c r="E86" s="51" t="s">
        <v>173</v>
      </c>
      <c r="F86" s="52">
        <v>0</v>
      </c>
      <c r="G86" s="52">
        <v>65535</v>
      </c>
      <c r="H86" s="53"/>
      <c r="I86" s="69"/>
      <c r="J86" s="50"/>
      <c r="K86" s="56"/>
      <c r="L86" s="50" t="s">
        <v>184</v>
      </c>
      <c r="M86" s="48">
        <f t="shared" si="4"/>
        <v>31</v>
      </c>
      <c r="N86" s="48">
        <f t="shared" si="5"/>
        <v>5</v>
      </c>
      <c r="O86" s="48">
        <f t="shared" si="7"/>
        <v>16004</v>
      </c>
      <c r="P86" s="56" t="str">
        <f t="shared" si="6"/>
        <v>0x3E84</v>
      </c>
      <c r="Q86" s="67" t="s">
        <v>178</v>
      </c>
      <c r="R86" s="35"/>
      <c r="S86" s="65"/>
      <c r="T86" s="65"/>
      <c r="U86" s="61"/>
      <c r="W86" s="50"/>
      <c r="Y86"/>
      <c r="Z86" s="50"/>
      <c r="AA86"/>
    </row>
    <row r="87" spans="1:27" x14ac:dyDescent="0.25">
      <c r="A87" s="48">
        <v>133</v>
      </c>
      <c r="B87" s="49"/>
      <c r="C87" s="55" t="s">
        <v>185</v>
      </c>
      <c r="D87" s="48"/>
      <c r="E87" s="51" t="s">
        <v>173</v>
      </c>
      <c r="F87" s="52">
        <v>0</v>
      </c>
      <c r="G87" s="52">
        <v>65535</v>
      </c>
      <c r="H87" s="53"/>
      <c r="I87" s="69"/>
      <c r="J87" s="50"/>
      <c r="K87" s="56"/>
      <c r="L87" s="50" t="s">
        <v>186</v>
      </c>
      <c r="M87" s="48">
        <f t="shared" si="4"/>
        <v>31</v>
      </c>
      <c r="N87" s="48">
        <f t="shared" si="5"/>
        <v>5</v>
      </c>
      <c r="O87" s="48">
        <f t="shared" si="7"/>
        <v>16005</v>
      </c>
      <c r="P87" s="56" t="str">
        <f t="shared" si="6"/>
        <v>0x3E85</v>
      </c>
      <c r="Q87" s="67" t="s">
        <v>178</v>
      </c>
      <c r="R87" s="35"/>
      <c r="S87" s="65"/>
      <c r="T87" s="65"/>
      <c r="U87" s="61"/>
      <c r="W87" s="50"/>
      <c r="Y87"/>
      <c r="Z87" s="50"/>
      <c r="AA87"/>
    </row>
    <row r="88" spans="1:27" x14ac:dyDescent="0.25">
      <c r="A88" s="48">
        <v>134</v>
      </c>
      <c r="B88" s="49"/>
      <c r="C88" s="55" t="s">
        <v>187</v>
      </c>
      <c r="D88" s="48"/>
      <c r="E88" s="51" t="s">
        <v>173</v>
      </c>
      <c r="F88" s="52">
        <v>0</v>
      </c>
      <c r="G88" s="52">
        <v>65535</v>
      </c>
      <c r="H88" s="53"/>
      <c r="I88" s="69"/>
      <c r="J88" s="50"/>
      <c r="K88" s="56"/>
      <c r="L88" s="50" t="s">
        <v>188</v>
      </c>
      <c r="M88" s="48">
        <f t="shared" si="4"/>
        <v>31</v>
      </c>
      <c r="N88" s="48">
        <f t="shared" si="5"/>
        <v>5</v>
      </c>
      <c r="O88" s="48">
        <f t="shared" si="7"/>
        <v>16006</v>
      </c>
      <c r="P88" s="56" t="str">
        <f t="shared" si="6"/>
        <v>0x3E86</v>
      </c>
      <c r="Q88" s="67" t="s">
        <v>178</v>
      </c>
      <c r="R88" s="35"/>
      <c r="S88" s="65"/>
      <c r="T88" s="65"/>
      <c r="U88" s="61"/>
      <c r="W88" s="50"/>
      <c r="Y88"/>
      <c r="Z88" s="50"/>
      <c r="AA88"/>
    </row>
    <row r="89" spans="1:27" x14ac:dyDescent="0.25">
      <c r="A89" s="48">
        <v>135</v>
      </c>
      <c r="B89" s="49"/>
      <c r="C89" s="55" t="s">
        <v>189</v>
      </c>
      <c r="D89" s="48"/>
      <c r="E89" s="51" t="s">
        <v>173</v>
      </c>
      <c r="F89" s="52">
        <v>0</v>
      </c>
      <c r="G89" s="52">
        <v>65535</v>
      </c>
      <c r="H89" s="53"/>
      <c r="I89" s="69"/>
      <c r="J89" s="50"/>
      <c r="K89" s="56"/>
      <c r="L89" s="50" t="s">
        <v>190</v>
      </c>
      <c r="M89" s="48">
        <f t="shared" si="4"/>
        <v>31</v>
      </c>
      <c r="N89" s="48">
        <f t="shared" si="5"/>
        <v>5</v>
      </c>
      <c r="O89" s="48">
        <f t="shared" si="7"/>
        <v>16007</v>
      </c>
      <c r="P89" s="56" t="str">
        <f t="shared" si="6"/>
        <v>0x3E87</v>
      </c>
      <c r="Q89" s="67" t="s">
        <v>178</v>
      </c>
      <c r="R89" s="35"/>
      <c r="S89" s="65"/>
      <c r="T89" s="65"/>
      <c r="U89" s="61"/>
      <c r="W89" s="50"/>
      <c r="Y89"/>
      <c r="Z89" s="50"/>
      <c r="AA89"/>
    </row>
    <row r="90" spans="1:27" x14ac:dyDescent="0.25">
      <c r="A90" s="48">
        <v>136</v>
      </c>
      <c r="B90" s="49"/>
      <c r="C90" s="55" t="s">
        <v>191</v>
      </c>
      <c r="D90" s="48"/>
      <c r="E90" s="51" t="s">
        <v>173</v>
      </c>
      <c r="F90" s="52">
        <v>0</v>
      </c>
      <c r="G90" s="52">
        <v>65535</v>
      </c>
      <c r="H90" s="53"/>
      <c r="I90" s="69"/>
      <c r="J90" s="50"/>
      <c r="K90" s="56"/>
      <c r="L90" s="50" t="s">
        <v>192</v>
      </c>
      <c r="M90" s="48">
        <f t="shared" si="4"/>
        <v>31</v>
      </c>
      <c r="N90" s="48">
        <f t="shared" si="5"/>
        <v>5</v>
      </c>
      <c r="O90" s="48">
        <f t="shared" si="7"/>
        <v>16008</v>
      </c>
      <c r="P90" s="56" t="str">
        <f t="shared" si="6"/>
        <v>0x3E88</v>
      </c>
      <c r="Q90" s="67" t="s">
        <v>178</v>
      </c>
      <c r="R90" s="35"/>
      <c r="S90" s="65"/>
      <c r="T90" s="65"/>
      <c r="U90" s="61"/>
      <c r="W90" s="50"/>
      <c r="Y90"/>
      <c r="Z90" s="50"/>
      <c r="AA90"/>
    </row>
    <row r="91" spans="1:27" x14ac:dyDescent="0.25">
      <c r="A91" s="48">
        <v>137</v>
      </c>
      <c r="B91" s="49"/>
      <c r="C91" s="55" t="s">
        <v>193</v>
      </c>
      <c r="D91" s="48"/>
      <c r="E91" s="51" t="s">
        <v>173</v>
      </c>
      <c r="F91" s="52">
        <v>0</v>
      </c>
      <c r="G91" s="52">
        <v>65535</v>
      </c>
      <c r="H91" s="53"/>
      <c r="I91" s="69"/>
      <c r="J91" s="50"/>
      <c r="K91" s="56"/>
      <c r="L91" s="50" t="s">
        <v>192</v>
      </c>
      <c r="M91" s="48">
        <f t="shared" si="4"/>
        <v>31</v>
      </c>
      <c r="N91" s="48">
        <f t="shared" si="5"/>
        <v>5</v>
      </c>
      <c r="O91" s="48">
        <f t="shared" si="7"/>
        <v>16009</v>
      </c>
      <c r="P91" s="56" t="str">
        <f t="shared" si="6"/>
        <v>0x3E89</v>
      </c>
      <c r="Q91" s="67" t="s">
        <v>178</v>
      </c>
      <c r="R91" s="35"/>
      <c r="S91" s="65"/>
      <c r="T91" s="65"/>
      <c r="U91" s="61"/>
      <c r="W91" s="50"/>
      <c r="Y91"/>
      <c r="Z91" s="50"/>
      <c r="AA91"/>
    </row>
    <row r="92" spans="1:27" x14ac:dyDescent="0.25">
      <c r="A92" s="48">
        <v>138</v>
      </c>
      <c r="B92" s="49"/>
      <c r="C92" s="55" t="s">
        <v>194</v>
      </c>
      <c r="D92" s="48"/>
      <c r="E92" s="51" t="s">
        <v>173</v>
      </c>
      <c r="F92" s="52">
        <v>0</v>
      </c>
      <c r="G92" s="52">
        <v>65535</v>
      </c>
      <c r="H92" s="53"/>
      <c r="I92" s="69"/>
      <c r="J92" s="50"/>
      <c r="K92" s="56"/>
      <c r="L92" s="50" t="s">
        <v>195</v>
      </c>
      <c r="M92" s="48">
        <f t="shared" si="4"/>
        <v>31</v>
      </c>
      <c r="N92" s="48">
        <f t="shared" si="5"/>
        <v>5</v>
      </c>
      <c r="O92" s="48">
        <f t="shared" si="7"/>
        <v>16010</v>
      </c>
      <c r="P92" s="56" t="str">
        <f t="shared" si="6"/>
        <v>0x3E8A</v>
      </c>
      <c r="Q92" s="67" t="s">
        <v>178</v>
      </c>
      <c r="R92" s="35"/>
      <c r="S92" s="65"/>
      <c r="T92" s="65"/>
      <c r="U92" s="61"/>
      <c r="W92" s="50"/>
      <c r="Y92"/>
      <c r="Z92" s="50"/>
      <c r="AA92"/>
    </row>
    <row r="93" spans="1:27" x14ac:dyDescent="0.25">
      <c r="A93" s="48">
        <v>139</v>
      </c>
      <c r="B93" s="49"/>
      <c r="C93" s="55" t="s">
        <v>196</v>
      </c>
      <c r="D93" s="48"/>
      <c r="E93" s="51" t="s">
        <v>173</v>
      </c>
      <c r="F93" s="52">
        <v>0</v>
      </c>
      <c r="G93" s="52">
        <v>65535</v>
      </c>
      <c r="H93" s="53"/>
      <c r="I93" s="69"/>
      <c r="J93" s="50"/>
      <c r="K93" s="56"/>
      <c r="L93" s="50" t="s">
        <v>195</v>
      </c>
      <c r="M93" s="48">
        <f t="shared" si="4"/>
        <v>31</v>
      </c>
      <c r="N93" s="48">
        <f t="shared" si="5"/>
        <v>5</v>
      </c>
      <c r="O93" s="48">
        <f t="shared" si="7"/>
        <v>16011</v>
      </c>
      <c r="P93" s="56" t="str">
        <f t="shared" si="6"/>
        <v>0x3E8B</v>
      </c>
      <c r="Q93" s="67" t="s">
        <v>178</v>
      </c>
      <c r="R93" s="35"/>
      <c r="S93" s="65"/>
      <c r="T93" s="65"/>
      <c r="U93" s="61"/>
      <c r="W93" s="50"/>
      <c r="Y93"/>
      <c r="Z93" s="50"/>
      <c r="AA93"/>
    </row>
    <row r="94" spans="1:27" x14ac:dyDescent="0.25">
      <c r="A94" s="48">
        <v>140</v>
      </c>
      <c r="B94" s="49"/>
      <c r="C94" s="55" t="s">
        <v>197</v>
      </c>
      <c r="D94" s="48"/>
      <c r="E94" s="51" t="s">
        <v>173</v>
      </c>
      <c r="F94" s="52">
        <v>0</v>
      </c>
      <c r="G94" s="52">
        <v>3</v>
      </c>
      <c r="H94" s="53"/>
      <c r="I94" s="69"/>
      <c r="J94" s="50"/>
      <c r="K94" s="56"/>
      <c r="L94" s="50" t="s">
        <v>198</v>
      </c>
      <c r="M94" s="48">
        <f t="shared" si="4"/>
        <v>31</v>
      </c>
      <c r="N94" s="48">
        <f t="shared" si="5"/>
        <v>5</v>
      </c>
      <c r="O94" s="48">
        <f t="shared" si="7"/>
        <v>16012</v>
      </c>
      <c r="P94" s="56" t="str">
        <f t="shared" si="6"/>
        <v>0x3E8C</v>
      </c>
      <c r="Q94" s="67" t="s">
        <v>178</v>
      </c>
      <c r="R94" s="35"/>
      <c r="S94" s="65"/>
      <c r="T94" s="65"/>
      <c r="U94" s="61"/>
      <c r="V94" s="11" t="s">
        <v>199</v>
      </c>
      <c r="W94" s="50" t="s">
        <v>200</v>
      </c>
      <c r="X94" s="13">
        <v>0</v>
      </c>
      <c r="Y94"/>
      <c r="Z94" s="50"/>
      <c r="AA94"/>
    </row>
    <row r="95" spans="1:27" x14ac:dyDescent="0.25">
      <c r="A95" s="48"/>
      <c r="B95" s="49"/>
      <c r="C95" s="55"/>
      <c r="D95" s="48"/>
      <c r="E95" s="51"/>
      <c r="F95" s="52"/>
      <c r="G95" s="52"/>
      <c r="H95" s="53"/>
      <c r="I95" s="69"/>
      <c r="J95" s="50"/>
      <c r="K95" s="56"/>
      <c r="L95" s="50"/>
      <c r="M95" s="48">
        <f t="shared" si="4"/>
        <v>31</v>
      </c>
      <c r="N95" s="48">
        <f t="shared" si="5"/>
        <v>5</v>
      </c>
      <c r="O95" s="48" t="str">
        <f t="shared" si="7"/>
        <v/>
      </c>
      <c r="P95" s="56" t="str">
        <f t="shared" si="6"/>
        <v/>
      </c>
      <c r="Q95" s="67"/>
      <c r="R95" s="35"/>
      <c r="S95" s="65"/>
      <c r="T95" s="65"/>
      <c r="U95" s="61"/>
      <c r="V95" s="11" t="s">
        <v>199</v>
      </c>
      <c r="W95" s="50" t="s">
        <v>201</v>
      </c>
      <c r="X95" s="13">
        <v>1</v>
      </c>
      <c r="Y95"/>
      <c r="Z95" s="50"/>
      <c r="AA95"/>
    </row>
    <row r="96" spans="1:27" x14ac:dyDescent="0.25">
      <c r="A96" s="48"/>
      <c r="B96" s="49"/>
      <c r="C96" s="55"/>
      <c r="D96" s="48"/>
      <c r="E96" s="51"/>
      <c r="F96" s="52"/>
      <c r="G96" s="52"/>
      <c r="H96" s="53"/>
      <c r="I96" s="69"/>
      <c r="J96" s="50"/>
      <c r="K96" s="56"/>
      <c r="L96" s="50"/>
      <c r="M96" s="48">
        <f t="shared" si="4"/>
        <v>31</v>
      </c>
      <c r="N96" s="48">
        <f t="shared" si="5"/>
        <v>5</v>
      </c>
      <c r="O96" s="48" t="str">
        <f t="shared" si="7"/>
        <v/>
      </c>
      <c r="P96" s="56" t="str">
        <f t="shared" si="6"/>
        <v/>
      </c>
      <c r="Q96" s="67"/>
      <c r="R96" s="35"/>
      <c r="S96" s="65"/>
      <c r="T96" s="65"/>
      <c r="U96" s="61"/>
      <c r="V96" s="11" t="s">
        <v>199</v>
      </c>
      <c r="W96" s="50" t="s">
        <v>202</v>
      </c>
      <c r="X96" s="13">
        <v>2</v>
      </c>
      <c r="Y96"/>
      <c r="Z96" s="50"/>
      <c r="AA96"/>
    </row>
    <row r="97" spans="1:27" x14ac:dyDescent="0.25">
      <c r="A97" s="48"/>
      <c r="B97" s="49"/>
      <c r="C97" s="55"/>
      <c r="D97" s="48"/>
      <c r="E97" s="51"/>
      <c r="F97" s="52"/>
      <c r="G97" s="52"/>
      <c r="H97" s="53"/>
      <c r="I97" s="69"/>
      <c r="J97" s="50"/>
      <c r="K97" s="56"/>
      <c r="L97" s="50"/>
      <c r="M97" s="48">
        <f t="shared" si="4"/>
        <v>31</v>
      </c>
      <c r="N97" s="48">
        <f t="shared" si="5"/>
        <v>5</v>
      </c>
      <c r="O97" s="48" t="str">
        <f t="shared" si="7"/>
        <v/>
      </c>
      <c r="P97" s="56" t="str">
        <f t="shared" si="6"/>
        <v/>
      </c>
      <c r="Q97" s="67"/>
      <c r="R97" s="35"/>
      <c r="S97" s="65"/>
      <c r="T97" s="65"/>
      <c r="U97" s="61"/>
      <c r="V97" s="11" t="s">
        <v>199</v>
      </c>
      <c r="W97" s="50" t="s">
        <v>203</v>
      </c>
      <c r="X97" s="13">
        <v>3</v>
      </c>
      <c r="Y97"/>
      <c r="Z97" s="50"/>
      <c r="AA97"/>
    </row>
    <row r="98" spans="1:27" x14ac:dyDescent="0.25">
      <c r="A98" s="48"/>
      <c r="B98" s="49"/>
      <c r="C98" s="55"/>
      <c r="D98" s="48"/>
      <c r="E98" s="51"/>
      <c r="F98" s="52"/>
      <c r="G98" s="52"/>
      <c r="H98" s="53"/>
      <c r="I98" s="69"/>
      <c r="J98" s="50"/>
      <c r="K98" s="56"/>
      <c r="L98" s="50"/>
      <c r="M98" s="48">
        <f t="shared" si="4"/>
        <v>31</v>
      </c>
      <c r="N98" s="48">
        <f t="shared" si="5"/>
        <v>5</v>
      </c>
      <c r="O98" s="48" t="str">
        <f t="shared" si="7"/>
        <v/>
      </c>
      <c r="P98" s="56" t="str">
        <f t="shared" si="6"/>
        <v/>
      </c>
      <c r="Q98" s="67"/>
      <c r="R98" s="35"/>
      <c r="S98" s="65"/>
      <c r="T98" s="65"/>
      <c r="U98" s="61"/>
      <c r="W98" s="50"/>
      <c r="Y98"/>
      <c r="Z98" s="50"/>
      <c r="AA98"/>
    </row>
    <row r="99" spans="1:27" x14ac:dyDescent="0.25">
      <c r="A99" s="48">
        <v>255</v>
      </c>
      <c r="B99" s="49"/>
      <c r="C99" s="55" t="s">
        <v>204</v>
      </c>
      <c r="D99" s="48"/>
      <c r="E99" s="51" t="s">
        <v>173</v>
      </c>
      <c r="F99" s="52">
        <v>0</v>
      </c>
      <c r="G99" s="52">
        <v>255</v>
      </c>
      <c r="H99" s="53"/>
      <c r="I99" s="69"/>
      <c r="J99" s="50"/>
      <c r="K99" s="56"/>
      <c r="L99" s="50" t="s">
        <v>205</v>
      </c>
      <c r="M99" s="48">
        <f t="shared" si="4"/>
        <v>31</v>
      </c>
      <c r="N99" s="48">
        <f t="shared" si="5"/>
        <v>5</v>
      </c>
      <c r="O99" s="48">
        <f t="shared" si="7"/>
        <v>16127</v>
      </c>
      <c r="P99" s="56" t="str">
        <f t="shared" si="6"/>
        <v>0x3EFF</v>
      </c>
      <c r="Q99" s="67" t="s">
        <v>175</v>
      </c>
      <c r="R99" s="35"/>
      <c r="S99" s="65"/>
      <c r="T99" s="65"/>
      <c r="U99" s="61"/>
      <c r="W99" s="50"/>
      <c r="Y99"/>
      <c r="Z99" s="50"/>
      <c r="AA99"/>
    </row>
    <row r="100" spans="1:27" x14ac:dyDescent="0.25">
      <c r="A100" s="48">
        <v>256</v>
      </c>
      <c r="B100" s="49"/>
      <c r="C100" s="55" t="s">
        <v>206</v>
      </c>
      <c r="D100" s="48"/>
      <c r="E100" s="51" t="s">
        <v>173</v>
      </c>
      <c r="F100" s="52">
        <v>0</v>
      </c>
      <c r="G100" s="52">
        <v>65535</v>
      </c>
      <c r="H100" s="53"/>
      <c r="I100" s="69"/>
      <c r="J100" s="50"/>
      <c r="K100" s="56"/>
      <c r="L100" s="50" t="s">
        <v>207</v>
      </c>
      <c r="M100" s="48">
        <f t="shared" si="4"/>
        <v>31</v>
      </c>
      <c r="N100" s="48">
        <f t="shared" si="5"/>
        <v>5</v>
      </c>
      <c r="O100" s="48">
        <f t="shared" si="7"/>
        <v>16128</v>
      </c>
      <c r="P100" s="56" t="str">
        <f t="shared" si="6"/>
        <v>0x3F00</v>
      </c>
      <c r="Q100" s="67" t="s">
        <v>178</v>
      </c>
      <c r="R100" s="35"/>
      <c r="S100" s="65"/>
      <c r="T100" s="65"/>
      <c r="U100" s="61"/>
      <c r="V100" s="11" t="s">
        <v>208</v>
      </c>
      <c r="W100" s="50" t="s">
        <v>209</v>
      </c>
      <c r="X100" s="13">
        <v>0</v>
      </c>
      <c r="Y100"/>
      <c r="Z100" s="50"/>
      <c r="AA100"/>
    </row>
    <row r="101" spans="1:27" x14ac:dyDescent="0.25">
      <c r="A101" s="48"/>
      <c r="B101" s="49"/>
      <c r="C101" s="55"/>
      <c r="D101" s="48"/>
      <c r="E101" s="51"/>
      <c r="F101" s="52"/>
      <c r="G101" s="52"/>
      <c r="H101" s="53"/>
      <c r="I101" s="69"/>
      <c r="J101" s="50"/>
      <c r="K101" s="56"/>
      <c r="L101" s="50"/>
      <c r="M101" s="48">
        <f t="shared" si="4"/>
        <v>31</v>
      </c>
      <c r="N101" s="48">
        <f t="shared" si="5"/>
        <v>5</v>
      </c>
      <c r="O101" s="48" t="str">
        <f t="shared" si="7"/>
        <v/>
      </c>
      <c r="P101" s="56" t="str">
        <f t="shared" si="6"/>
        <v/>
      </c>
      <c r="Q101" s="67"/>
      <c r="R101" s="35"/>
      <c r="S101" s="65"/>
      <c r="T101" s="65"/>
      <c r="U101" s="61"/>
      <c r="V101" s="11" t="s">
        <v>208</v>
      </c>
      <c r="W101" s="50" t="s">
        <v>210</v>
      </c>
      <c r="X101" s="13">
        <v>1</v>
      </c>
      <c r="Y101"/>
      <c r="Z101" s="50"/>
      <c r="AA101"/>
    </row>
    <row r="102" spans="1:27" x14ac:dyDescent="0.25">
      <c r="A102" s="48"/>
      <c r="B102" s="49"/>
      <c r="C102" s="55"/>
      <c r="D102" s="48"/>
      <c r="E102" s="51"/>
      <c r="F102" s="52"/>
      <c r="G102" s="52"/>
      <c r="H102" s="53"/>
      <c r="I102" s="69"/>
      <c r="J102" s="50"/>
      <c r="K102" s="56"/>
      <c r="L102" s="50"/>
      <c r="M102" s="48">
        <f t="shared" si="4"/>
        <v>31</v>
      </c>
      <c r="N102" s="48">
        <f t="shared" si="5"/>
        <v>5</v>
      </c>
      <c r="O102" s="48" t="str">
        <f t="shared" si="7"/>
        <v/>
      </c>
      <c r="P102" s="56" t="str">
        <f t="shared" si="6"/>
        <v/>
      </c>
      <c r="Q102" s="67"/>
      <c r="R102" s="35"/>
      <c r="S102" s="65"/>
      <c r="T102" s="65"/>
      <c r="U102" s="61"/>
      <c r="V102" s="11" t="s">
        <v>208</v>
      </c>
      <c r="W102" s="50" t="s">
        <v>211</v>
      </c>
      <c r="X102" s="13">
        <v>2</v>
      </c>
      <c r="Y102"/>
      <c r="Z102" s="50"/>
      <c r="AA102"/>
    </row>
    <row r="103" spans="1:27" x14ac:dyDescent="0.25">
      <c r="A103" s="48"/>
      <c r="B103" s="49"/>
      <c r="C103" s="55"/>
      <c r="D103" s="48"/>
      <c r="E103" s="51"/>
      <c r="F103" s="52"/>
      <c r="G103" s="52"/>
      <c r="H103" s="53"/>
      <c r="I103" s="69"/>
      <c r="J103" s="50"/>
      <c r="K103" s="56"/>
      <c r="L103" s="50"/>
      <c r="M103" s="48">
        <f t="shared" si="4"/>
        <v>31</v>
      </c>
      <c r="N103" s="48">
        <f t="shared" si="5"/>
        <v>5</v>
      </c>
      <c r="O103" s="48" t="str">
        <f t="shared" si="7"/>
        <v/>
      </c>
      <c r="P103" s="56" t="str">
        <f t="shared" si="6"/>
        <v/>
      </c>
      <c r="Q103" s="67"/>
      <c r="R103" s="35"/>
      <c r="S103" s="65"/>
      <c r="T103" s="65"/>
      <c r="U103" s="61"/>
      <c r="V103" s="11" t="s">
        <v>208</v>
      </c>
      <c r="W103" s="50" t="s">
        <v>212</v>
      </c>
      <c r="X103" s="13">
        <v>4</v>
      </c>
      <c r="Y103"/>
      <c r="Z103" s="50"/>
      <c r="AA103"/>
    </row>
    <row r="104" spans="1:27" x14ac:dyDescent="0.25">
      <c r="A104" s="48"/>
      <c r="B104" s="49"/>
      <c r="C104" s="55"/>
      <c r="D104" s="48"/>
      <c r="E104" s="51"/>
      <c r="F104" s="52"/>
      <c r="G104" s="52"/>
      <c r="H104" s="53"/>
      <c r="I104" s="69"/>
      <c r="J104" s="50"/>
      <c r="K104" s="56"/>
      <c r="L104" s="50"/>
      <c r="M104" s="48">
        <f t="shared" si="4"/>
        <v>31</v>
      </c>
      <c r="N104" s="48">
        <f t="shared" si="5"/>
        <v>5</v>
      </c>
      <c r="O104" s="48" t="str">
        <f t="shared" si="7"/>
        <v/>
      </c>
      <c r="P104" s="56" t="str">
        <f t="shared" si="6"/>
        <v/>
      </c>
      <c r="Q104" s="67"/>
      <c r="R104" s="35"/>
      <c r="S104" s="65"/>
      <c r="T104" s="65"/>
      <c r="U104" s="61"/>
      <c r="V104" s="11" t="s">
        <v>208</v>
      </c>
      <c r="W104" s="50" t="s">
        <v>213</v>
      </c>
      <c r="X104" s="13">
        <v>8</v>
      </c>
      <c r="Y104"/>
      <c r="Z104" s="50"/>
      <c r="AA104"/>
    </row>
    <row r="105" spans="1:27" x14ac:dyDescent="0.25">
      <c r="A105" s="48"/>
      <c r="B105" s="49"/>
      <c r="C105" s="55"/>
      <c r="D105" s="48"/>
      <c r="E105" s="51"/>
      <c r="F105" s="52"/>
      <c r="G105" s="52"/>
      <c r="H105" s="53"/>
      <c r="I105" s="69"/>
      <c r="J105" s="50"/>
      <c r="K105" s="56"/>
      <c r="L105" s="50"/>
      <c r="M105" s="48">
        <f t="shared" si="4"/>
        <v>31</v>
      </c>
      <c r="N105" s="48">
        <f t="shared" si="5"/>
        <v>5</v>
      </c>
      <c r="O105" s="48" t="str">
        <f t="shared" si="7"/>
        <v/>
      </c>
      <c r="P105" s="56" t="str">
        <f t="shared" si="6"/>
        <v/>
      </c>
      <c r="Q105" s="67"/>
      <c r="R105" s="35"/>
      <c r="S105" s="65"/>
      <c r="T105" s="65"/>
      <c r="U105" s="61"/>
      <c r="V105" s="11" t="s">
        <v>208</v>
      </c>
      <c r="W105" s="50" t="s">
        <v>214</v>
      </c>
      <c r="X105" s="13">
        <v>15</v>
      </c>
      <c r="Y105"/>
      <c r="Z105" s="50"/>
      <c r="AA105"/>
    </row>
    <row r="106" spans="1:27" x14ac:dyDescent="0.25">
      <c r="A106" s="48"/>
      <c r="B106" s="49"/>
      <c r="C106" s="55"/>
      <c r="D106" s="48"/>
      <c r="E106" s="51"/>
      <c r="F106" s="52"/>
      <c r="G106" s="52"/>
      <c r="H106" s="53"/>
      <c r="I106" s="69"/>
      <c r="J106" s="50"/>
      <c r="K106" s="56"/>
      <c r="L106" s="50"/>
      <c r="M106" s="48">
        <f t="shared" si="4"/>
        <v>31</v>
      </c>
      <c r="N106" s="48">
        <f t="shared" si="5"/>
        <v>5</v>
      </c>
      <c r="O106" s="48" t="str">
        <f t="shared" si="7"/>
        <v/>
      </c>
      <c r="P106" s="56" t="str">
        <f t="shared" si="6"/>
        <v/>
      </c>
      <c r="Q106" s="67"/>
      <c r="R106" s="35"/>
      <c r="S106" s="65"/>
      <c r="T106" s="65"/>
      <c r="U106" s="61"/>
      <c r="W106" s="50"/>
      <c r="Y106"/>
      <c r="Z106" s="50"/>
      <c r="AA106"/>
    </row>
    <row r="107" spans="1:27" x14ac:dyDescent="0.25">
      <c r="A107" s="48">
        <v>300</v>
      </c>
      <c r="B107" s="49"/>
      <c r="C107" s="55" t="s">
        <v>215</v>
      </c>
      <c r="D107" s="48"/>
      <c r="E107" s="51" t="s">
        <v>38</v>
      </c>
      <c r="F107" s="52">
        <v>0</v>
      </c>
      <c r="G107" s="52">
        <v>0</v>
      </c>
      <c r="H107" s="53"/>
      <c r="I107" s="69"/>
      <c r="J107" s="50"/>
      <c r="K107" s="56"/>
      <c r="L107" s="50" t="s">
        <v>216</v>
      </c>
      <c r="M107" s="48">
        <f t="shared" si="4"/>
        <v>31</v>
      </c>
      <c r="N107" s="48">
        <f t="shared" si="5"/>
        <v>5</v>
      </c>
      <c r="O107" s="48">
        <f t="shared" si="7"/>
        <v>16172</v>
      </c>
      <c r="P107" s="56" t="str">
        <f t="shared" si="6"/>
        <v>0x3F2C</v>
      </c>
      <c r="Q107" s="67" t="s">
        <v>40</v>
      </c>
      <c r="R107" s="35" t="s">
        <v>217</v>
      </c>
      <c r="S107" s="65"/>
      <c r="T107" s="65"/>
      <c r="U107" s="61"/>
      <c r="W107" s="50"/>
      <c r="Y107"/>
      <c r="Z107" s="50"/>
      <c r="AA107"/>
    </row>
    <row r="108" spans="1:27" x14ac:dyDescent="0.25">
      <c r="A108" s="48"/>
      <c r="B108" s="49"/>
      <c r="C108" s="55"/>
      <c r="D108" s="48"/>
      <c r="E108" s="51"/>
      <c r="F108" s="52"/>
      <c r="G108" s="52"/>
      <c r="H108" s="53"/>
      <c r="I108" s="69"/>
      <c r="J108" s="50"/>
      <c r="K108" s="56"/>
      <c r="L108" s="50"/>
      <c r="M108" s="48"/>
      <c r="N108" s="48"/>
      <c r="O108" s="48"/>
      <c r="P108" s="56"/>
      <c r="Q108" s="67"/>
      <c r="R108" s="35"/>
      <c r="S108" s="65"/>
      <c r="T108" s="65"/>
      <c r="U108" s="61"/>
      <c r="W108" s="50"/>
      <c r="Y108"/>
      <c r="Z108" s="50"/>
      <c r="AA108"/>
    </row>
    <row r="109" spans="1:27" x14ac:dyDescent="0.25">
      <c r="A109" s="48">
        <v>350</v>
      </c>
      <c r="B109" s="49"/>
      <c r="C109" s="55" t="s">
        <v>218</v>
      </c>
      <c r="D109" s="48"/>
      <c r="E109" s="51" t="s">
        <v>38</v>
      </c>
      <c r="F109" s="52">
        <v>0</v>
      </c>
      <c r="G109" s="52">
        <v>65535</v>
      </c>
      <c r="H109" s="53"/>
      <c r="I109" s="69"/>
      <c r="J109" s="50"/>
      <c r="K109" s="56"/>
      <c r="L109" s="50" t="s">
        <v>219</v>
      </c>
      <c r="M109" s="48">
        <f t="shared" si="4"/>
        <v>31</v>
      </c>
      <c r="N109" s="48">
        <f t="shared" si="5"/>
        <v>5</v>
      </c>
      <c r="O109" s="48">
        <f>IF(A109&lt;&gt;"",M109*2^9+A109,"")</f>
        <v>16222</v>
      </c>
      <c r="P109" s="56" t="str">
        <f t="shared" si="6"/>
        <v>0x3F5E</v>
      </c>
      <c r="Q109" s="67"/>
      <c r="R109" s="35"/>
      <c r="S109" s="65"/>
      <c r="T109" s="65"/>
      <c r="U109" s="61"/>
      <c r="W109" s="50"/>
      <c r="Y109"/>
      <c r="Z109" s="50"/>
      <c r="AA109"/>
    </row>
    <row r="110" spans="1:27" x14ac:dyDescent="0.25">
      <c r="A110" s="48"/>
      <c r="B110" s="49"/>
      <c r="C110" s="55"/>
      <c r="D110" s="48"/>
      <c r="E110" s="70"/>
      <c r="F110" s="53"/>
      <c r="G110" s="53"/>
      <c r="H110" s="53"/>
      <c r="I110" s="69"/>
      <c r="J110" s="50"/>
      <c r="K110" s="56"/>
      <c r="L110" s="50"/>
      <c r="M110" s="48"/>
      <c r="N110" s="48"/>
      <c r="O110" s="48"/>
      <c r="P110" s="56"/>
      <c r="Q110" s="67"/>
      <c r="R110" s="35"/>
      <c r="S110" s="65"/>
      <c r="T110" s="65"/>
      <c r="U110" s="61"/>
      <c r="W110" s="50"/>
      <c r="Y110"/>
      <c r="Z110" s="50"/>
      <c r="AA110"/>
    </row>
    <row r="111" spans="1:27" x14ac:dyDescent="0.25">
      <c r="A111" s="48"/>
      <c r="B111" s="49"/>
      <c r="C111" s="50"/>
      <c r="D111" s="48"/>
      <c r="E111" s="56"/>
      <c r="F111" s="56"/>
      <c r="G111" s="71"/>
      <c r="H111" s="53"/>
      <c r="I111" s="68"/>
      <c r="J111" s="72"/>
      <c r="K111" s="73"/>
      <c r="L111" s="50"/>
      <c r="M111" s="48">
        <f t="shared" si="4"/>
        <v>31</v>
      </c>
      <c r="N111" s="48">
        <f t="shared" si="5"/>
        <v>5</v>
      </c>
      <c r="O111" s="48" t="str">
        <f t="shared" si="7"/>
        <v/>
      </c>
      <c r="P111" s="56" t="str">
        <f t="shared" si="6"/>
        <v/>
      </c>
      <c r="Q111" s="67"/>
      <c r="R111" s="35"/>
      <c r="S111" s="65"/>
      <c r="T111" s="65"/>
      <c r="U111" s="61"/>
      <c r="W111" s="50"/>
      <c r="Y111"/>
      <c r="Z111" s="50"/>
      <c r="AA111"/>
    </row>
    <row r="112" spans="1:27" x14ac:dyDescent="0.25">
      <c r="A112" s="48">
        <v>494</v>
      </c>
      <c r="B112" s="49"/>
      <c r="C112" s="50" t="str">
        <f>"GD_ID_"&amp;$D$3&amp;"_ErrorManagement"</f>
        <v>GD_ID_EMM_ErrorManagement</v>
      </c>
      <c r="D112" s="74" t="s">
        <v>220</v>
      </c>
      <c r="E112" s="75" t="s">
        <v>38</v>
      </c>
      <c r="F112" s="74">
        <v>0</v>
      </c>
      <c r="G112" s="76">
        <v>255</v>
      </c>
      <c r="H112" s="77"/>
      <c r="I112" s="75"/>
      <c r="J112" s="78"/>
      <c r="K112" s="79" t="s">
        <v>221</v>
      </c>
      <c r="L112" s="80" t="s">
        <v>222</v>
      </c>
      <c r="M112" s="48">
        <f t="shared" si="4"/>
        <v>31</v>
      </c>
      <c r="N112" s="48">
        <f t="shared" si="5"/>
        <v>5</v>
      </c>
      <c r="O112" s="48">
        <f t="shared" si="7"/>
        <v>16366</v>
      </c>
      <c r="P112" s="56" t="str">
        <f t="shared" si="6"/>
        <v>0x3FEE</v>
      </c>
      <c r="Q112" s="67" t="s">
        <v>40</v>
      </c>
      <c r="R112" s="35"/>
      <c r="S112" s="65"/>
      <c r="T112" s="65"/>
      <c r="U112" s="61"/>
      <c r="W112" s="50"/>
      <c r="Y112"/>
      <c r="Z112" s="50"/>
      <c r="AA112"/>
    </row>
    <row r="113" spans="1:27" x14ac:dyDescent="0.25">
      <c r="A113" s="48"/>
      <c r="B113" s="81"/>
      <c r="C113" s="50"/>
      <c r="D113" s="48"/>
      <c r="E113" s="56"/>
      <c r="F113" s="56"/>
      <c r="G113" s="71"/>
      <c r="H113" s="53"/>
      <c r="I113" s="68"/>
      <c r="J113" s="50"/>
      <c r="K113" s="56"/>
      <c r="L113" s="50"/>
      <c r="M113" s="48">
        <f t="shared" si="4"/>
        <v>31</v>
      </c>
      <c r="N113" s="48">
        <f t="shared" si="5"/>
        <v>5</v>
      </c>
      <c r="O113" s="48" t="str">
        <f t="shared" si="7"/>
        <v/>
      </c>
      <c r="P113" s="56" t="str">
        <f t="shared" si="6"/>
        <v/>
      </c>
      <c r="Q113" s="67"/>
      <c r="R113" s="64"/>
      <c r="S113" s="65"/>
      <c r="T113" s="65"/>
      <c r="U113" s="61"/>
      <c r="W113" s="50"/>
      <c r="Y113"/>
      <c r="Z113" s="50"/>
      <c r="AA113"/>
    </row>
    <row r="114" spans="1:27" x14ac:dyDescent="0.25">
      <c r="A114" s="82">
        <v>511</v>
      </c>
      <c r="B114" s="83"/>
      <c r="C114" s="84" t="str">
        <f>"GD_ID_"&amp;$D$3&amp;"_LifeMessage"</f>
        <v>GD_ID_EMM_LifeMessage</v>
      </c>
      <c r="D114" s="85" t="s">
        <v>223</v>
      </c>
      <c r="E114" s="86" t="s">
        <v>173</v>
      </c>
      <c r="F114" s="87">
        <v>0</v>
      </c>
      <c r="G114" s="87">
        <v>65535</v>
      </c>
      <c r="H114" s="88"/>
      <c r="I114" s="87">
        <v>1</v>
      </c>
      <c r="J114" s="85" t="s">
        <v>224</v>
      </c>
      <c r="K114" s="89" t="s">
        <v>225</v>
      </c>
      <c r="L114" s="84" t="s">
        <v>226</v>
      </c>
      <c r="M114" s="90">
        <f t="shared" si="4"/>
        <v>31</v>
      </c>
      <c r="N114" s="90">
        <f t="shared" si="5"/>
        <v>5</v>
      </c>
      <c r="O114" s="90">
        <f xml:space="preserve"> (M114*512+A114)</f>
        <v>16383</v>
      </c>
      <c r="P114" s="82" t="str">
        <f t="shared" si="6"/>
        <v>0x3FFF</v>
      </c>
      <c r="Q114" s="91"/>
      <c r="R114" s="92" t="s">
        <v>217</v>
      </c>
      <c r="S114" s="93"/>
      <c r="T114" s="93"/>
      <c r="U114" s="94"/>
      <c r="V114" s="95"/>
      <c r="W114" s="84"/>
      <c r="X114" s="96"/>
      <c r="Y114" s="97"/>
      <c r="Z114" s="84"/>
      <c r="AA114" s="97"/>
    </row>
    <row r="115" spans="1:27" x14ac:dyDescent="0.25">
      <c r="A115" s="98" t="s">
        <v>227</v>
      </c>
      <c r="B115" s="81"/>
      <c r="Q115" s="56"/>
      <c r="R115" s="35"/>
      <c r="S115" s="35"/>
      <c r="T115" s="35"/>
      <c r="U115" s="35"/>
      <c r="Y115"/>
      <c r="Z115"/>
      <c r="AA115"/>
    </row>
    <row r="116" spans="1:27" x14ac:dyDescent="0.25">
      <c r="B116" s="81"/>
      <c r="D116" s="35"/>
      <c r="E116" s="35"/>
      <c r="F116" s="35"/>
      <c r="G116" s="35"/>
      <c r="H116" s="35"/>
      <c r="I116" s="100"/>
      <c r="J116" s="12"/>
      <c r="K116" s="12"/>
      <c r="L116" s="12"/>
      <c r="M116" s="12"/>
      <c r="N116" s="12"/>
      <c r="O116" s="12"/>
      <c r="P116" s="12"/>
      <c r="Q116" s="35"/>
      <c r="R116" s="35"/>
      <c r="S116" s="35"/>
      <c r="T116" s="35"/>
      <c r="U116" s="35"/>
      <c r="V116" s="12"/>
      <c r="X116" s="12"/>
      <c r="Y116"/>
      <c r="Z116"/>
      <c r="AA116"/>
    </row>
    <row r="117" spans="1:27" x14ac:dyDescent="0.25">
      <c r="A117" s="101" t="s">
        <v>228</v>
      </c>
      <c r="B117" s="81"/>
      <c r="D117" s="35"/>
      <c r="E117" s="35"/>
      <c r="F117" s="35"/>
      <c r="G117" s="102"/>
      <c r="H117" s="102"/>
      <c r="I117" s="100"/>
      <c r="J117" s="35"/>
      <c r="K117" s="12"/>
      <c r="L117" s="12"/>
      <c r="M117" s="12"/>
      <c r="N117" s="12"/>
      <c r="O117" s="12"/>
      <c r="P117" s="12"/>
      <c r="Q117" s="35"/>
      <c r="R117" s="35"/>
      <c r="S117" s="35"/>
      <c r="T117" s="35"/>
      <c r="U117" s="35"/>
      <c r="V117" s="12"/>
      <c r="X117" s="12"/>
      <c r="Y117"/>
      <c r="Z117"/>
      <c r="AA117"/>
    </row>
    <row r="118" spans="1:27" x14ac:dyDescent="0.25">
      <c r="A118" s="103"/>
      <c r="B118" s="81"/>
      <c r="C118" s="104" t="s">
        <v>229</v>
      </c>
      <c r="D118" s="35"/>
      <c r="E118" s="35"/>
      <c r="F118" s="35"/>
      <c r="G118" s="35"/>
      <c r="H118" s="35"/>
      <c r="I118" s="100"/>
      <c r="J118" s="100"/>
      <c r="K118" s="12"/>
      <c r="L118" s="12"/>
      <c r="M118" s="12"/>
      <c r="N118" s="12"/>
      <c r="O118" s="12"/>
      <c r="P118" s="12"/>
      <c r="Q118" s="35"/>
      <c r="R118" s="35"/>
      <c r="S118" s="35"/>
      <c r="T118" s="35"/>
      <c r="U118" s="35"/>
      <c r="V118" s="12"/>
      <c r="X118" s="12"/>
      <c r="Y118"/>
      <c r="Z118"/>
      <c r="AA118"/>
    </row>
    <row r="119" spans="1:27" x14ac:dyDescent="0.25">
      <c r="B119" s="81"/>
      <c r="C119" s="104" t="s">
        <v>230</v>
      </c>
      <c r="D119" s="35"/>
      <c r="E119" s="35"/>
      <c r="F119" s="35"/>
      <c r="G119" s="35"/>
      <c r="H119" s="35"/>
      <c r="I119" s="100"/>
      <c r="J119" s="100"/>
      <c r="K119" s="12"/>
      <c r="L119" s="12"/>
      <c r="M119" s="12"/>
      <c r="N119" s="12"/>
      <c r="O119" s="12"/>
      <c r="P119" s="12"/>
      <c r="Q119" s="35"/>
      <c r="R119" s="35"/>
      <c r="S119" s="35"/>
      <c r="T119" s="35"/>
      <c r="U119" s="35"/>
      <c r="V119" s="12"/>
      <c r="X119" s="12"/>
      <c r="Y119"/>
      <c r="Z119"/>
      <c r="AA119"/>
    </row>
    <row r="120" spans="1:27" x14ac:dyDescent="0.25">
      <c r="B120" s="81"/>
      <c r="C120" t="s">
        <v>231</v>
      </c>
      <c r="D120" s="35"/>
      <c r="E120" s="35"/>
      <c r="F120" s="35"/>
      <c r="G120" s="35"/>
      <c r="H120" s="35"/>
      <c r="I120" s="100"/>
      <c r="J120" s="100"/>
      <c r="K120" s="12"/>
      <c r="L120" s="12"/>
      <c r="M120" s="12"/>
      <c r="N120" s="12"/>
      <c r="O120" s="12"/>
      <c r="P120" s="12"/>
      <c r="Q120" s="35"/>
      <c r="R120" s="35"/>
      <c r="S120" s="35"/>
      <c r="T120" s="35"/>
      <c r="U120" s="35"/>
      <c r="V120" s="12"/>
      <c r="X120" s="12"/>
      <c r="Y120"/>
      <c r="Z120"/>
      <c r="AA120"/>
    </row>
    <row r="121" spans="1:27" s="12" customFormat="1" x14ac:dyDescent="0.25">
      <c r="A121" s="35"/>
      <c r="B121" s="81"/>
      <c r="D121" s="35"/>
      <c r="E121" s="70"/>
      <c r="F121" s="53"/>
      <c r="G121" s="53"/>
      <c r="H121" s="53"/>
      <c r="I121" s="105"/>
      <c r="K121" s="35"/>
      <c r="M121" s="106"/>
      <c r="N121" s="106"/>
      <c r="O121" s="106"/>
      <c r="P121" s="106"/>
      <c r="Q121" s="106"/>
      <c r="R121" s="66"/>
      <c r="S121" s="61"/>
      <c r="T121" s="61"/>
      <c r="U121" s="61"/>
    </row>
    <row r="122" spans="1:27" s="12" customFormat="1" x14ac:dyDescent="0.25">
      <c r="A122" s="35"/>
      <c r="B122" s="81"/>
      <c r="D122" s="35"/>
      <c r="E122" s="70"/>
      <c r="F122" s="53"/>
      <c r="G122" s="53"/>
      <c r="H122" s="53"/>
      <c r="I122" s="105"/>
      <c r="K122" s="35"/>
      <c r="M122" s="35"/>
      <c r="N122" s="35"/>
      <c r="O122" s="35"/>
      <c r="P122" s="35"/>
      <c r="Q122" s="35"/>
      <c r="R122" s="35"/>
      <c r="S122" s="61"/>
      <c r="T122" s="61"/>
      <c r="U122" s="61"/>
    </row>
    <row r="123" spans="1:27" s="12" customFormat="1" x14ac:dyDescent="0.25">
      <c r="A123" s="35"/>
      <c r="B123" s="81"/>
      <c r="D123" s="35"/>
      <c r="E123" s="70"/>
      <c r="F123" s="53"/>
      <c r="G123" s="53"/>
      <c r="H123" s="53"/>
      <c r="I123" s="105"/>
      <c r="K123" s="35"/>
      <c r="M123" s="35"/>
      <c r="N123" s="35"/>
      <c r="O123" s="35"/>
      <c r="P123" s="35"/>
      <c r="Q123" s="35"/>
      <c r="R123" s="35"/>
      <c r="S123" s="61"/>
      <c r="T123" s="61"/>
      <c r="U123" s="61"/>
    </row>
    <row r="124" spans="1:27" s="12" customFormat="1" x14ac:dyDescent="0.25">
      <c r="A124" s="35"/>
      <c r="B124" s="81"/>
      <c r="D124" s="35"/>
      <c r="E124" s="70"/>
      <c r="F124" s="53"/>
      <c r="G124" s="53"/>
      <c r="H124" s="53"/>
      <c r="I124" s="105"/>
      <c r="K124" s="35"/>
      <c r="M124" s="35"/>
      <c r="N124" s="35"/>
      <c r="O124" s="35"/>
      <c r="P124" s="35"/>
      <c r="Q124" s="35"/>
      <c r="R124" s="35"/>
      <c r="S124" s="61"/>
      <c r="T124" s="61"/>
      <c r="U124" s="61"/>
    </row>
    <row r="125" spans="1:27" s="12" customFormat="1" x14ac:dyDescent="0.25">
      <c r="A125" s="35"/>
      <c r="B125" s="81"/>
      <c r="D125" s="35"/>
      <c r="E125" s="70"/>
      <c r="F125" s="53"/>
      <c r="G125" s="53"/>
      <c r="H125" s="53"/>
      <c r="I125" s="105"/>
      <c r="K125" s="35"/>
      <c r="M125" s="35"/>
      <c r="N125" s="35"/>
      <c r="O125" s="35"/>
      <c r="P125" s="35"/>
      <c r="Q125" s="35"/>
      <c r="R125" s="35"/>
      <c r="S125" s="61"/>
      <c r="T125" s="61"/>
      <c r="U125" s="61"/>
    </row>
    <row r="126" spans="1:27" s="12" customFormat="1" x14ac:dyDescent="0.25">
      <c r="A126" s="35"/>
      <c r="B126" s="81"/>
      <c r="D126" s="35"/>
      <c r="E126" s="70"/>
      <c r="F126" s="53"/>
      <c r="G126" s="53"/>
      <c r="H126" s="53"/>
      <c r="I126" s="105"/>
      <c r="K126" s="35"/>
      <c r="M126" s="35"/>
      <c r="N126" s="35"/>
      <c r="O126" s="35"/>
      <c r="P126" s="35"/>
      <c r="Q126" s="35"/>
      <c r="R126" s="35"/>
      <c r="S126" s="61"/>
      <c r="T126" s="61"/>
      <c r="U126" s="61"/>
    </row>
    <row r="127" spans="1:27" s="12" customFormat="1" x14ac:dyDescent="0.25">
      <c r="A127" s="35"/>
      <c r="B127" s="81"/>
      <c r="D127" s="35"/>
      <c r="E127" s="70"/>
      <c r="F127" s="53"/>
      <c r="G127" s="53"/>
      <c r="H127" s="53"/>
      <c r="I127" s="105"/>
      <c r="K127" s="35"/>
      <c r="M127" s="35"/>
      <c r="N127" s="35"/>
      <c r="O127" s="35"/>
      <c r="P127" s="35"/>
      <c r="Q127" s="35"/>
      <c r="R127" s="35"/>
      <c r="S127" s="61"/>
      <c r="T127" s="61"/>
      <c r="U127" s="61"/>
    </row>
    <row r="128" spans="1:27" s="12" customFormat="1" x14ac:dyDescent="0.25">
      <c r="A128" s="35"/>
      <c r="B128" s="81"/>
      <c r="D128" s="35"/>
      <c r="E128" s="70"/>
      <c r="F128" s="53"/>
      <c r="G128" s="53"/>
      <c r="H128" s="53"/>
      <c r="I128" s="105"/>
      <c r="K128" s="35"/>
      <c r="M128" s="35"/>
      <c r="N128" s="35"/>
      <c r="O128" s="35"/>
      <c r="P128" s="35"/>
      <c r="Q128" s="35"/>
      <c r="R128" s="35"/>
      <c r="S128" s="61"/>
      <c r="T128" s="61"/>
      <c r="U128" s="61"/>
    </row>
    <row r="129" spans="1:27" s="12" customFormat="1" x14ac:dyDescent="0.25">
      <c r="A129" s="35"/>
      <c r="B129" s="81"/>
      <c r="D129" s="35"/>
      <c r="E129" s="70"/>
      <c r="F129" s="53"/>
      <c r="G129" s="53"/>
      <c r="H129" s="53"/>
      <c r="I129" s="105"/>
      <c r="K129" s="35"/>
      <c r="M129" s="35"/>
      <c r="N129" s="35"/>
      <c r="O129" s="35"/>
      <c r="P129" s="35"/>
      <c r="Q129" s="35"/>
      <c r="R129" s="35"/>
      <c r="S129" s="61"/>
      <c r="T129" s="61"/>
      <c r="U129" s="61"/>
    </row>
    <row r="130" spans="1:27" s="12" customFormat="1" x14ac:dyDescent="0.25">
      <c r="A130" s="35"/>
      <c r="B130" s="81"/>
      <c r="D130" s="35"/>
      <c r="E130" s="70"/>
      <c r="F130" s="53"/>
      <c r="G130" s="53"/>
      <c r="H130" s="53"/>
      <c r="I130" s="105"/>
      <c r="K130" s="35"/>
      <c r="M130" s="35"/>
      <c r="N130" s="35"/>
      <c r="O130" s="35"/>
      <c r="P130" s="35"/>
      <c r="Q130" s="35"/>
      <c r="R130" s="35"/>
      <c r="S130" s="61"/>
      <c r="T130" s="61"/>
      <c r="U130" s="61"/>
    </row>
    <row r="131" spans="1:27" s="12" customFormat="1" x14ac:dyDescent="0.25">
      <c r="A131" s="35"/>
      <c r="B131" s="81"/>
      <c r="D131" s="35"/>
      <c r="E131" s="70"/>
      <c r="F131" s="53"/>
      <c r="G131" s="53"/>
      <c r="H131" s="53"/>
      <c r="I131" s="105"/>
      <c r="K131" s="35"/>
      <c r="M131" s="35"/>
      <c r="N131" s="35"/>
      <c r="O131" s="35"/>
      <c r="P131" s="35"/>
      <c r="Q131" s="35"/>
      <c r="R131" s="35"/>
      <c r="S131" s="61"/>
      <c r="T131" s="61"/>
      <c r="U131" s="61"/>
    </row>
    <row r="132" spans="1:27" s="12" customFormat="1" x14ac:dyDescent="0.25">
      <c r="A132" s="35"/>
      <c r="B132" s="81"/>
      <c r="D132" s="35"/>
      <c r="E132" s="70"/>
      <c r="F132" s="53"/>
      <c r="G132" s="53"/>
      <c r="H132" s="53"/>
      <c r="I132" s="105"/>
      <c r="K132" s="35"/>
      <c r="M132" s="35"/>
      <c r="N132" s="35"/>
      <c r="O132" s="35"/>
      <c r="P132" s="35"/>
      <c r="Q132" s="35"/>
      <c r="R132" s="35"/>
      <c r="S132" s="61"/>
      <c r="T132" s="61"/>
      <c r="U132" s="61"/>
    </row>
    <row r="133" spans="1:27" s="12" customFormat="1" x14ac:dyDescent="0.25">
      <c r="A133" s="35"/>
      <c r="B133" s="81"/>
      <c r="D133" s="35"/>
      <c r="E133" s="70"/>
      <c r="F133" s="53"/>
      <c r="G133" s="53"/>
      <c r="H133" s="53"/>
      <c r="I133" s="105"/>
      <c r="K133" s="35"/>
      <c r="M133" s="35"/>
      <c r="N133" s="35"/>
      <c r="O133" s="35"/>
      <c r="P133" s="35"/>
      <c r="Q133" s="35"/>
      <c r="R133" s="35"/>
      <c r="S133" s="61"/>
      <c r="T133" s="61"/>
      <c r="U133" s="61"/>
    </row>
    <row r="134" spans="1:27" s="12" customFormat="1" x14ac:dyDescent="0.25">
      <c r="A134" s="35"/>
      <c r="B134" s="81"/>
      <c r="D134" s="35"/>
      <c r="E134" s="70"/>
      <c r="F134" s="53"/>
      <c r="G134" s="53"/>
      <c r="H134" s="53"/>
      <c r="I134" s="105"/>
      <c r="K134" s="35"/>
      <c r="M134" s="35"/>
      <c r="N134" s="35"/>
      <c r="O134" s="35"/>
      <c r="P134" s="35"/>
      <c r="Q134" s="35"/>
      <c r="R134" s="35"/>
      <c r="S134" s="61"/>
      <c r="T134" s="61"/>
      <c r="U134" s="61"/>
    </row>
    <row r="135" spans="1:27" s="12" customFormat="1" x14ac:dyDescent="0.25">
      <c r="A135" s="35"/>
      <c r="B135" s="81"/>
      <c r="D135" s="35"/>
      <c r="E135" s="70"/>
      <c r="F135" s="53"/>
      <c r="G135" s="53"/>
      <c r="H135" s="53"/>
      <c r="I135" s="105"/>
      <c r="K135" s="35"/>
      <c r="M135" s="35"/>
      <c r="N135" s="35"/>
      <c r="O135" s="35"/>
      <c r="P135" s="35"/>
      <c r="Q135" s="35"/>
      <c r="R135" s="35"/>
      <c r="S135" s="61"/>
      <c r="T135" s="61"/>
      <c r="U135" s="61"/>
    </row>
    <row r="136" spans="1:27" s="12" customFormat="1" x14ac:dyDescent="0.25">
      <c r="A136" s="35"/>
      <c r="B136" s="81"/>
      <c r="D136" s="35"/>
      <c r="E136" s="70"/>
      <c r="F136" s="53"/>
      <c r="G136" s="53"/>
      <c r="H136" s="53"/>
      <c r="I136" s="105"/>
      <c r="K136" s="35"/>
      <c r="M136" s="35"/>
      <c r="N136" s="35"/>
      <c r="O136" s="35"/>
      <c r="P136" s="35"/>
      <c r="Q136" s="35"/>
      <c r="R136" s="35"/>
      <c r="S136" s="61"/>
      <c r="T136" s="61"/>
      <c r="U136" s="61"/>
    </row>
    <row r="137" spans="1:27" s="12" customFormat="1" x14ac:dyDescent="0.25">
      <c r="A137" s="35"/>
      <c r="B137" s="81"/>
      <c r="D137" s="35"/>
      <c r="E137" s="70"/>
      <c r="F137" s="53"/>
      <c r="G137" s="53"/>
      <c r="H137" s="53"/>
      <c r="I137" s="105"/>
      <c r="K137" s="35"/>
      <c r="M137" s="35"/>
      <c r="N137" s="35"/>
      <c r="O137" s="35"/>
      <c r="P137" s="35"/>
      <c r="Q137" s="35"/>
      <c r="R137" s="35"/>
      <c r="S137" s="61"/>
      <c r="T137" s="61"/>
      <c r="U137" s="61"/>
    </row>
    <row r="138" spans="1:27" s="12" customFormat="1" x14ac:dyDescent="0.25">
      <c r="A138" s="35"/>
      <c r="B138" s="81"/>
      <c r="D138" s="35"/>
      <c r="E138" s="70"/>
      <c r="F138" s="53"/>
      <c r="G138" s="53"/>
      <c r="H138" s="53"/>
      <c r="I138" s="105"/>
      <c r="K138" s="35"/>
      <c r="M138" s="35"/>
      <c r="N138" s="35"/>
      <c r="O138" s="35"/>
      <c r="P138" s="35"/>
      <c r="Q138" s="35"/>
      <c r="R138" s="35"/>
      <c r="S138" s="61"/>
      <c r="T138" s="61"/>
      <c r="U138" s="61"/>
    </row>
    <row r="139" spans="1:27" s="12" customFormat="1" x14ac:dyDescent="0.25">
      <c r="A139" s="35"/>
      <c r="B139" s="81"/>
      <c r="D139" s="35"/>
      <c r="E139" s="70"/>
      <c r="F139" s="53"/>
      <c r="G139" s="53"/>
      <c r="H139" s="53"/>
      <c r="I139" s="105"/>
      <c r="K139" s="35"/>
      <c r="M139" s="35"/>
      <c r="N139" s="35"/>
      <c r="O139" s="35"/>
      <c r="P139" s="35"/>
      <c r="Q139" s="35"/>
      <c r="R139" s="35"/>
      <c r="S139" s="61"/>
      <c r="T139" s="61"/>
      <c r="U139" s="61"/>
    </row>
    <row r="140" spans="1:27" s="12" customFormat="1" x14ac:dyDescent="0.25">
      <c r="A140" s="35"/>
      <c r="B140" s="81"/>
      <c r="D140" s="35"/>
      <c r="E140" s="70"/>
      <c r="F140" s="53"/>
      <c r="G140" s="53"/>
      <c r="H140" s="53"/>
      <c r="I140" s="105"/>
      <c r="K140" s="35"/>
      <c r="M140" s="35"/>
      <c r="N140" s="35"/>
      <c r="O140" s="35"/>
      <c r="P140" s="35"/>
      <c r="Q140" s="35"/>
      <c r="R140" s="35"/>
      <c r="S140" s="61"/>
      <c r="T140" s="61"/>
      <c r="U140" s="61"/>
    </row>
    <row r="141" spans="1:27" s="12" customFormat="1" x14ac:dyDescent="0.25">
      <c r="A141" s="35"/>
      <c r="B141" s="81"/>
      <c r="D141" s="35"/>
      <c r="E141" s="70"/>
      <c r="F141" s="53"/>
      <c r="G141" s="53"/>
      <c r="H141" s="53"/>
      <c r="I141" s="105"/>
      <c r="K141" s="35"/>
      <c r="M141" s="35"/>
      <c r="N141" s="35"/>
      <c r="O141" s="35"/>
      <c r="P141" s="35"/>
      <c r="Q141" s="35"/>
      <c r="R141" s="35"/>
      <c r="S141" s="61"/>
      <c r="T141" s="61"/>
      <c r="U141" s="61"/>
    </row>
    <row r="142" spans="1:27" s="12" customFormat="1" x14ac:dyDescent="0.25">
      <c r="A142" s="35"/>
      <c r="B142" s="81"/>
      <c r="D142" s="35"/>
      <c r="E142" s="70"/>
      <c r="F142" s="53"/>
      <c r="G142" s="53"/>
      <c r="H142" s="53"/>
      <c r="I142" s="105"/>
      <c r="K142" s="35"/>
      <c r="M142" s="35"/>
      <c r="N142" s="35"/>
      <c r="O142" s="35"/>
      <c r="P142" s="35"/>
      <c r="Q142" s="35"/>
      <c r="R142" s="35"/>
      <c r="S142" s="61"/>
      <c r="T142" s="61"/>
      <c r="U142" s="61"/>
    </row>
    <row r="143" spans="1:27" s="12" customFormat="1" x14ac:dyDescent="0.25">
      <c r="A143" s="35"/>
      <c r="B143" s="81"/>
      <c r="D143" s="35"/>
      <c r="E143" s="70"/>
      <c r="F143" s="53"/>
      <c r="G143" s="53"/>
      <c r="H143" s="53"/>
      <c r="I143" s="105"/>
      <c r="K143" s="35"/>
      <c r="M143" s="35"/>
      <c r="N143" s="35"/>
      <c r="O143" s="35"/>
      <c r="P143" s="35"/>
      <c r="Q143" s="35"/>
      <c r="R143" s="35"/>
      <c r="S143" s="61"/>
      <c r="T143" s="61"/>
      <c r="U143" s="61"/>
    </row>
    <row r="144" spans="1:27" s="12" customFormat="1" x14ac:dyDescent="0.25">
      <c r="A144" s="35"/>
      <c r="B144" s="81"/>
      <c r="D144" s="35"/>
      <c r="E144" s="70"/>
      <c r="F144" s="53"/>
      <c r="G144" s="53"/>
      <c r="H144" s="53"/>
      <c r="I144" s="105"/>
      <c r="K144" s="35"/>
      <c r="M144" s="35"/>
      <c r="N144" s="35"/>
      <c r="O144" s="35"/>
      <c r="P144" s="35"/>
      <c r="Q144" s="35"/>
      <c r="R144" s="35"/>
      <c r="S144" s="61"/>
      <c r="T144" s="61"/>
      <c r="U144" s="61"/>
    </row>
    <row r="145" spans="1:21" s="12" customFormat="1" x14ac:dyDescent="0.25">
      <c r="A145" s="35"/>
      <c r="B145" s="81"/>
      <c r="D145" s="35"/>
      <c r="E145" s="70"/>
      <c r="F145" s="53"/>
      <c r="G145" s="53"/>
      <c r="H145" s="53"/>
      <c r="I145" s="105"/>
      <c r="K145" s="35"/>
      <c r="M145" s="35"/>
      <c r="N145" s="35"/>
      <c r="O145" s="35"/>
      <c r="P145" s="35"/>
      <c r="Q145" s="35"/>
      <c r="R145" s="35"/>
      <c r="S145" s="61"/>
      <c r="T145" s="61"/>
      <c r="U145" s="61"/>
    </row>
    <row r="146" spans="1:21" s="12" customFormat="1" x14ac:dyDescent="0.25">
      <c r="A146" s="35"/>
      <c r="B146" s="81"/>
      <c r="D146" s="35"/>
      <c r="E146" s="70"/>
      <c r="F146" s="53"/>
      <c r="G146" s="53"/>
      <c r="H146" s="53"/>
      <c r="I146" s="105"/>
      <c r="K146" s="35"/>
      <c r="M146" s="35"/>
      <c r="N146" s="35"/>
      <c r="O146" s="35"/>
      <c r="P146" s="35"/>
      <c r="Q146" s="35"/>
      <c r="R146" s="35"/>
      <c r="S146" s="61"/>
      <c r="T146" s="61"/>
      <c r="U146" s="61"/>
    </row>
    <row r="147" spans="1:21" s="12" customFormat="1" x14ac:dyDescent="0.25">
      <c r="A147" s="35"/>
      <c r="B147" s="81"/>
      <c r="D147" s="35"/>
      <c r="E147" s="70"/>
      <c r="F147" s="53"/>
      <c r="G147" s="53"/>
      <c r="H147" s="53"/>
      <c r="I147" s="105"/>
      <c r="K147" s="35"/>
      <c r="M147" s="35"/>
      <c r="N147" s="35"/>
      <c r="O147" s="35"/>
      <c r="P147" s="35"/>
      <c r="Q147" s="35"/>
      <c r="R147" s="35"/>
      <c r="S147" s="61"/>
      <c r="T147" s="61"/>
      <c r="U147" s="61"/>
    </row>
    <row r="148" spans="1:21" s="12" customFormat="1" x14ac:dyDescent="0.25">
      <c r="A148" s="35"/>
      <c r="B148" s="81"/>
      <c r="D148" s="35"/>
      <c r="E148" s="70"/>
      <c r="F148" s="53"/>
      <c r="G148" s="53"/>
      <c r="H148" s="53"/>
      <c r="I148" s="105"/>
      <c r="K148" s="35"/>
      <c r="M148" s="35"/>
      <c r="N148" s="35"/>
      <c r="O148" s="35"/>
      <c r="P148" s="35"/>
      <c r="Q148" s="35"/>
      <c r="R148" s="35"/>
      <c r="S148" s="61"/>
      <c r="T148" s="61"/>
      <c r="U148" s="61"/>
    </row>
    <row r="149" spans="1:21" s="12" customFormat="1" x14ac:dyDescent="0.25">
      <c r="A149" s="35"/>
      <c r="B149" s="81"/>
      <c r="D149" s="35"/>
      <c r="E149" s="70"/>
      <c r="F149" s="53"/>
      <c r="G149" s="53"/>
      <c r="H149" s="53"/>
      <c r="I149" s="105"/>
      <c r="K149" s="35"/>
      <c r="M149" s="35"/>
      <c r="N149" s="35"/>
      <c r="O149" s="35"/>
      <c r="P149" s="35"/>
      <c r="Q149" s="35"/>
      <c r="R149" s="35"/>
      <c r="S149" s="61"/>
      <c r="T149" s="61"/>
      <c r="U149" s="61"/>
    </row>
    <row r="150" spans="1:21" s="12" customFormat="1" x14ac:dyDescent="0.25">
      <c r="A150" s="35"/>
      <c r="B150" s="81"/>
      <c r="D150" s="35"/>
      <c r="E150" s="70"/>
      <c r="F150" s="53"/>
      <c r="G150" s="53"/>
      <c r="H150" s="53"/>
      <c r="I150" s="105"/>
      <c r="K150" s="35"/>
      <c r="M150" s="35"/>
      <c r="N150" s="35"/>
      <c r="O150" s="35"/>
      <c r="P150" s="35"/>
      <c r="Q150" s="35"/>
      <c r="R150" s="35"/>
      <c r="S150" s="61"/>
      <c r="T150" s="61"/>
      <c r="U150" s="61"/>
    </row>
    <row r="151" spans="1:21" s="12" customFormat="1" x14ac:dyDescent="0.25">
      <c r="A151" s="35"/>
      <c r="B151" s="81"/>
      <c r="D151" s="35"/>
      <c r="E151" s="70"/>
      <c r="F151" s="53"/>
      <c r="G151" s="53"/>
      <c r="H151" s="53"/>
      <c r="I151" s="105"/>
      <c r="K151" s="35"/>
      <c r="M151" s="35"/>
      <c r="N151" s="35"/>
      <c r="O151" s="35"/>
      <c r="P151" s="35"/>
      <c r="Q151" s="35"/>
      <c r="R151" s="35"/>
      <c r="S151" s="61"/>
      <c r="T151" s="61"/>
      <c r="U151" s="61"/>
    </row>
    <row r="152" spans="1:21" s="12" customFormat="1" x14ac:dyDescent="0.25">
      <c r="A152" s="35"/>
      <c r="B152" s="81"/>
      <c r="D152" s="35"/>
      <c r="E152" s="70"/>
      <c r="F152" s="53"/>
      <c r="G152" s="53"/>
      <c r="H152" s="53"/>
      <c r="I152" s="105"/>
      <c r="K152" s="35"/>
      <c r="M152" s="35"/>
      <c r="N152" s="35"/>
      <c r="O152" s="35"/>
      <c r="P152" s="35"/>
      <c r="Q152" s="35"/>
      <c r="R152" s="35"/>
      <c r="S152" s="61"/>
      <c r="T152" s="61"/>
      <c r="U152" s="61"/>
    </row>
    <row r="153" spans="1:21" s="12" customFormat="1" x14ac:dyDescent="0.25">
      <c r="A153" s="35"/>
      <c r="B153" s="81"/>
      <c r="D153" s="35"/>
      <c r="E153" s="70"/>
      <c r="F153" s="53"/>
      <c r="G153" s="53"/>
      <c r="H153" s="53"/>
      <c r="I153" s="105"/>
      <c r="K153" s="35"/>
      <c r="M153" s="35"/>
      <c r="N153" s="35"/>
      <c r="O153" s="35"/>
      <c r="P153" s="35"/>
      <c r="Q153" s="35"/>
      <c r="R153" s="35"/>
      <c r="S153" s="61"/>
      <c r="T153" s="61"/>
      <c r="U153" s="61"/>
    </row>
    <row r="154" spans="1:21" s="12" customFormat="1" x14ac:dyDescent="0.25">
      <c r="A154" s="35"/>
      <c r="B154" s="81"/>
      <c r="D154" s="35"/>
      <c r="E154" s="70"/>
      <c r="F154" s="53"/>
      <c r="G154" s="53"/>
      <c r="H154" s="53"/>
      <c r="I154" s="105"/>
      <c r="K154" s="35"/>
      <c r="M154" s="35"/>
      <c r="N154" s="35"/>
      <c r="O154" s="35"/>
      <c r="P154" s="35"/>
      <c r="Q154" s="35"/>
      <c r="R154" s="35"/>
      <c r="S154" s="61"/>
      <c r="T154" s="61"/>
      <c r="U154" s="61"/>
    </row>
    <row r="155" spans="1:21" s="12" customFormat="1" x14ac:dyDescent="0.25">
      <c r="A155" s="35"/>
      <c r="B155" s="81"/>
      <c r="D155" s="35"/>
      <c r="E155" s="70"/>
      <c r="F155" s="53"/>
      <c r="G155" s="53"/>
      <c r="H155" s="53"/>
      <c r="I155" s="105"/>
      <c r="K155" s="35"/>
      <c r="M155" s="35"/>
      <c r="N155" s="35"/>
      <c r="O155" s="35"/>
      <c r="P155" s="35"/>
      <c r="Q155" s="35"/>
      <c r="R155" s="35"/>
      <c r="S155" s="61"/>
      <c r="T155" s="61"/>
      <c r="U155" s="61"/>
    </row>
    <row r="156" spans="1:21" s="12" customFormat="1" x14ac:dyDescent="0.25">
      <c r="A156" s="35"/>
      <c r="B156" s="81"/>
      <c r="D156" s="35"/>
      <c r="E156" s="70"/>
      <c r="F156" s="53"/>
      <c r="G156" s="53"/>
      <c r="H156" s="53"/>
      <c r="I156" s="105"/>
      <c r="K156" s="35"/>
      <c r="M156" s="35"/>
      <c r="N156" s="35"/>
      <c r="O156" s="35"/>
      <c r="P156" s="35"/>
      <c r="Q156" s="35"/>
      <c r="R156" s="35"/>
      <c r="S156" s="61"/>
      <c r="T156" s="61"/>
      <c r="U156" s="61"/>
    </row>
    <row r="157" spans="1:21" s="12" customFormat="1" x14ac:dyDescent="0.25">
      <c r="A157" s="35"/>
      <c r="B157" s="81"/>
      <c r="D157" s="35"/>
      <c r="E157" s="70"/>
      <c r="F157" s="53"/>
      <c r="G157" s="53"/>
      <c r="H157" s="53"/>
      <c r="I157" s="105"/>
      <c r="K157" s="35"/>
      <c r="M157" s="35"/>
      <c r="N157" s="35"/>
      <c r="O157" s="35"/>
      <c r="P157" s="35"/>
      <c r="Q157" s="35"/>
      <c r="R157" s="35"/>
      <c r="S157" s="61"/>
      <c r="T157" s="61"/>
      <c r="U157" s="61"/>
    </row>
    <row r="158" spans="1:21" s="12" customFormat="1" x14ac:dyDescent="0.25">
      <c r="A158" s="35"/>
      <c r="B158" s="81"/>
      <c r="D158" s="35"/>
      <c r="E158" s="70"/>
      <c r="F158" s="53"/>
      <c r="G158" s="53"/>
      <c r="H158" s="53"/>
      <c r="I158" s="105"/>
      <c r="K158" s="35"/>
      <c r="M158" s="35"/>
      <c r="N158" s="35"/>
      <c r="O158" s="35"/>
      <c r="P158" s="35"/>
      <c r="Q158" s="35"/>
      <c r="R158" s="35"/>
      <c r="S158" s="61"/>
      <c r="T158" s="61"/>
      <c r="U158" s="61"/>
    </row>
    <row r="159" spans="1:21" s="12" customFormat="1" x14ac:dyDescent="0.25">
      <c r="A159" s="35"/>
      <c r="B159" s="81"/>
      <c r="D159" s="35"/>
      <c r="E159" s="70"/>
      <c r="F159" s="53"/>
      <c r="G159" s="53"/>
      <c r="H159" s="53"/>
      <c r="I159" s="105"/>
      <c r="K159" s="35"/>
      <c r="M159" s="35"/>
      <c r="N159" s="35"/>
      <c r="O159" s="35"/>
      <c r="P159" s="35"/>
      <c r="Q159" s="35"/>
      <c r="R159" s="35"/>
      <c r="S159" s="61"/>
      <c r="T159" s="61"/>
      <c r="U159" s="61"/>
    </row>
    <row r="160" spans="1:21" s="12" customFormat="1" x14ac:dyDescent="0.25">
      <c r="A160" s="35"/>
      <c r="B160" s="81"/>
      <c r="D160" s="35"/>
      <c r="E160" s="70"/>
      <c r="F160" s="53"/>
      <c r="G160" s="53"/>
      <c r="H160" s="53"/>
      <c r="I160" s="105"/>
      <c r="K160" s="35"/>
      <c r="M160" s="35"/>
      <c r="N160" s="35"/>
      <c r="O160" s="35"/>
      <c r="P160" s="35"/>
      <c r="Q160" s="35"/>
      <c r="R160" s="35"/>
      <c r="S160" s="61"/>
      <c r="T160" s="61"/>
      <c r="U160" s="61"/>
    </row>
    <row r="161" spans="1:21" s="12" customFormat="1" x14ac:dyDescent="0.25">
      <c r="A161" s="35"/>
      <c r="B161" s="81"/>
      <c r="D161" s="35"/>
      <c r="E161" s="70"/>
      <c r="F161" s="53"/>
      <c r="G161" s="53"/>
      <c r="H161" s="53"/>
      <c r="I161" s="105"/>
      <c r="K161" s="35"/>
      <c r="M161" s="35"/>
      <c r="N161" s="35"/>
      <c r="O161" s="35"/>
      <c r="P161" s="35"/>
      <c r="Q161" s="35"/>
      <c r="R161" s="35"/>
      <c r="S161" s="61"/>
      <c r="T161" s="61"/>
      <c r="U161" s="61"/>
    </row>
    <row r="162" spans="1:21" s="12" customFormat="1" x14ac:dyDescent="0.25">
      <c r="A162" s="35"/>
      <c r="B162" s="81"/>
      <c r="D162" s="35"/>
      <c r="E162" s="70"/>
      <c r="F162" s="53"/>
      <c r="G162" s="53"/>
      <c r="H162" s="53"/>
      <c r="I162" s="105"/>
      <c r="K162" s="35"/>
      <c r="M162" s="35"/>
      <c r="N162" s="35"/>
      <c r="O162" s="35"/>
      <c r="P162" s="35"/>
      <c r="Q162" s="35"/>
      <c r="R162" s="66"/>
      <c r="S162" s="61"/>
      <c r="T162" s="61"/>
      <c r="U162" s="61"/>
    </row>
    <row r="163" spans="1:21" s="12" customFormat="1" x14ac:dyDescent="0.25">
      <c r="A163" s="35"/>
      <c r="B163" s="81"/>
      <c r="D163" s="35"/>
      <c r="E163" s="70"/>
      <c r="F163" s="53"/>
      <c r="G163" s="53"/>
      <c r="H163" s="53"/>
      <c r="I163" s="105"/>
      <c r="K163" s="35"/>
      <c r="M163" s="35"/>
      <c r="N163" s="35"/>
      <c r="O163" s="35"/>
      <c r="P163" s="35"/>
      <c r="Q163" s="35"/>
      <c r="R163" s="35"/>
      <c r="S163" s="61"/>
      <c r="T163" s="61"/>
      <c r="U163" s="61"/>
    </row>
    <row r="164" spans="1:21" s="12" customFormat="1" x14ac:dyDescent="0.25">
      <c r="A164" s="35"/>
      <c r="B164" s="81"/>
      <c r="D164" s="35"/>
      <c r="E164" s="70"/>
      <c r="F164" s="53"/>
      <c r="G164" s="53"/>
      <c r="H164" s="53"/>
      <c r="I164" s="105"/>
      <c r="K164" s="35"/>
      <c r="M164" s="35"/>
      <c r="N164" s="35"/>
      <c r="O164" s="35"/>
      <c r="P164" s="35"/>
      <c r="Q164" s="35"/>
      <c r="R164" s="35"/>
      <c r="S164" s="61"/>
      <c r="T164" s="61"/>
      <c r="U164" s="61"/>
    </row>
    <row r="165" spans="1:21" s="12" customFormat="1" x14ac:dyDescent="0.25">
      <c r="A165" s="35"/>
      <c r="B165" s="81"/>
      <c r="D165" s="35"/>
      <c r="E165" s="70"/>
      <c r="F165" s="53"/>
      <c r="G165" s="53"/>
      <c r="H165" s="53"/>
      <c r="I165" s="105"/>
      <c r="K165" s="35"/>
      <c r="M165" s="35"/>
      <c r="N165" s="35"/>
      <c r="O165" s="35"/>
      <c r="P165" s="35"/>
      <c r="Q165" s="35"/>
      <c r="R165" s="35"/>
      <c r="S165" s="61"/>
      <c r="T165" s="61"/>
      <c r="U165" s="61"/>
    </row>
    <row r="166" spans="1:21" s="12" customFormat="1" x14ac:dyDescent="0.25">
      <c r="A166" s="35"/>
      <c r="B166" s="81"/>
      <c r="D166" s="35"/>
      <c r="E166" s="70"/>
      <c r="F166" s="53"/>
      <c r="G166" s="53"/>
      <c r="H166" s="53"/>
      <c r="I166" s="105"/>
      <c r="K166" s="35"/>
      <c r="M166" s="35"/>
      <c r="N166" s="35"/>
      <c r="O166" s="35"/>
      <c r="P166" s="35"/>
      <c r="Q166" s="35"/>
      <c r="R166" s="35"/>
      <c r="S166" s="61"/>
      <c r="T166" s="61"/>
      <c r="U166" s="61"/>
    </row>
    <row r="167" spans="1:21" s="12" customFormat="1" x14ac:dyDescent="0.25">
      <c r="A167" s="35"/>
      <c r="B167" s="81"/>
      <c r="D167" s="35"/>
      <c r="E167" s="70"/>
      <c r="F167" s="53"/>
      <c r="G167" s="53"/>
      <c r="H167" s="53"/>
      <c r="I167" s="105"/>
      <c r="K167" s="35"/>
      <c r="M167" s="35"/>
      <c r="N167" s="35"/>
      <c r="O167" s="35"/>
      <c r="P167" s="35"/>
      <c r="Q167" s="35"/>
      <c r="R167" s="35"/>
      <c r="S167" s="61"/>
      <c r="T167" s="61"/>
      <c r="U167" s="61"/>
    </row>
    <row r="168" spans="1:21" s="12" customFormat="1" x14ac:dyDescent="0.25">
      <c r="A168" s="35"/>
      <c r="B168" s="81"/>
      <c r="D168" s="35"/>
      <c r="E168" s="70"/>
      <c r="F168" s="53"/>
      <c r="G168" s="53"/>
      <c r="H168" s="53"/>
      <c r="I168" s="105"/>
      <c r="K168" s="35"/>
      <c r="M168" s="35"/>
      <c r="N168" s="35"/>
      <c r="O168" s="35"/>
      <c r="P168" s="35"/>
      <c r="Q168" s="35"/>
      <c r="R168" s="35"/>
      <c r="S168" s="61"/>
      <c r="T168" s="61"/>
      <c r="U168" s="61"/>
    </row>
    <row r="169" spans="1:21" s="12" customFormat="1" x14ac:dyDescent="0.25">
      <c r="A169" s="35"/>
      <c r="B169" s="81"/>
      <c r="D169" s="35"/>
      <c r="E169" s="70"/>
      <c r="F169" s="53"/>
      <c r="G169" s="53"/>
      <c r="H169" s="53"/>
      <c r="I169" s="105"/>
      <c r="K169" s="35"/>
      <c r="M169" s="35"/>
      <c r="N169" s="35"/>
      <c r="O169" s="35"/>
      <c r="P169" s="35"/>
      <c r="Q169" s="35"/>
      <c r="R169" s="35"/>
      <c r="S169" s="61"/>
      <c r="T169" s="61"/>
      <c r="U169" s="61"/>
    </row>
    <row r="170" spans="1:21" s="12" customFormat="1" x14ac:dyDescent="0.25">
      <c r="A170" s="35"/>
      <c r="B170" s="81"/>
      <c r="D170" s="35"/>
      <c r="E170" s="70"/>
      <c r="F170" s="53"/>
      <c r="G170" s="53"/>
      <c r="H170" s="53"/>
      <c r="I170" s="105"/>
      <c r="K170" s="35"/>
      <c r="M170" s="35"/>
      <c r="N170" s="35"/>
      <c r="O170" s="35"/>
      <c r="P170" s="35"/>
      <c r="Q170" s="35"/>
      <c r="R170" s="35"/>
      <c r="S170" s="61"/>
      <c r="T170" s="61"/>
      <c r="U170" s="61"/>
    </row>
    <row r="171" spans="1:21" s="12" customFormat="1" x14ac:dyDescent="0.25">
      <c r="A171" s="35"/>
      <c r="B171" s="81"/>
      <c r="D171" s="35"/>
      <c r="E171" s="70"/>
      <c r="F171" s="53"/>
      <c r="G171" s="53"/>
      <c r="H171" s="53"/>
      <c r="I171" s="105"/>
      <c r="K171" s="35"/>
      <c r="M171" s="35"/>
      <c r="N171" s="35"/>
      <c r="O171" s="35"/>
      <c r="P171" s="35"/>
      <c r="Q171" s="35"/>
      <c r="R171" s="35"/>
      <c r="S171" s="61"/>
      <c r="T171" s="61"/>
      <c r="U171" s="61"/>
    </row>
    <row r="172" spans="1:21" s="12" customFormat="1" x14ac:dyDescent="0.25">
      <c r="A172" s="35"/>
      <c r="B172" s="81"/>
      <c r="D172" s="35"/>
      <c r="E172" s="70"/>
      <c r="F172" s="53"/>
      <c r="G172" s="53"/>
      <c r="H172" s="53"/>
      <c r="I172" s="105"/>
      <c r="K172" s="35"/>
      <c r="M172" s="35"/>
      <c r="N172" s="35"/>
      <c r="O172" s="35"/>
      <c r="P172" s="35"/>
      <c r="Q172" s="35"/>
      <c r="R172" s="35"/>
      <c r="S172" s="61"/>
      <c r="T172" s="61"/>
      <c r="U172" s="61"/>
    </row>
    <row r="173" spans="1:21" s="12" customFormat="1" x14ac:dyDescent="0.25">
      <c r="A173" s="35"/>
      <c r="B173" s="81"/>
      <c r="D173" s="35"/>
      <c r="E173" s="70"/>
      <c r="F173" s="53"/>
      <c r="G173" s="53"/>
      <c r="H173" s="53"/>
      <c r="I173" s="105"/>
      <c r="K173" s="35"/>
      <c r="M173" s="35"/>
      <c r="N173" s="35"/>
      <c r="O173" s="35"/>
      <c r="P173" s="35"/>
      <c r="Q173" s="35"/>
      <c r="R173" s="35"/>
      <c r="S173" s="61"/>
      <c r="T173" s="61"/>
      <c r="U173" s="61"/>
    </row>
    <row r="174" spans="1:21" s="12" customFormat="1" x14ac:dyDescent="0.25">
      <c r="A174" s="35"/>
      <c r="B174" s="81"/>
      <c r="D174" s="35"/>
      <c r="E174" s="70"/>
      <c r="F174" s="53"/>
      <c r="G174" s="53"/>
      <c r="H174" s="53"/>
      <c r="I174" s="105"/>
      <c r="K174" s="35"/>
      <c r="M174" s="35"/>
      <c r="N174" s="35"/>
      <c r="O174" s="35"/>
      <c r="P174" s="35"/>
      <c r="Q174" s="35"/>
      <c r="R174" s="35"/>
      <c r="S174" s="61"/>
      <c r="T174" s="61"/>
      <c r="U174" s="61"/>
    </row>
    <row r="175" spans="1:21" s="12" customFormat="1" x14ac:dyDescent="0.25">
      <c r="A175" s="35"/>
      <c r="B175" s="81"/>
      <c r="D175" s="35"/>
      <c r="E175" s="70"/>
      <c r="F175" s="53"/>
      <c r="G175" s="53"/>
      <c r="H175" s="53"/>
      <c r="I175" s="105"/>
      <c r="K175" s="35"/>
      <c r="M175" s="35"/>
      <c r="N175" s="35"/>
      <c r="O175" s="35"/>
      <c r="P175" s="35"/>
      <c r="Q175" s="35"/>
      <c r="R175" s="35"/>
      <c r="S175" s="61"/>
      <c r="T175" s="61"/>
      <c r="U175" s="61"/>
    </row>
    <row r="176" spans="1:21" s="12" customFormat="1" x14ac:dyDescent="0.25">
      <c r="A176" s="35"/>
      <c r="B176" s="81"/>
      <c r="D176" s="35"/>
      <c r="E176" s="70"/>
      <c r="F176" s="53"/>
      <c r="G176" s="53"/>
      <c r="H176" s="53"/>
      <c r="I176" s="105"/>
      <c r="K176" s="35"/>
      <c r="M176" s="35"/>
      <c r="N176" s="35"/>
      <c r="O176" s="35"/>
      <c r="P176" s="35"/>
      <c r="Q176" s="35"/>
      <c r="R176" s="35"/>
      <c r="S176" s="61"/>
      <c r="T176" s="61"/>
      <c r="U176" s="61"/>
    </row>
    <row r="177" spans="1:21" s="12" customFormat="1" x14ac:dyDescent="0.25">
      <c r="A177" s="35"/>
      <c r="B177" s="81"/>
      <c r="D177" s="35"/>
      <c r="E177" s="70"/>
      <c r="F177" s="53"/>
      <c r="G177" s="53"/>
      <c r="H177" s="53"/>
      <c r="I177" s="105"/>
      <c r="K177" s="35"/>
      <c r="M177" s="35"/>
      <c r="N177" s="35"/>
      <c r="O177" s="35"/>
      <c r="P177" s="35"/>
      <c r="Q177" s="35"/>
      <c r="R177" s="35"/>
      <c r="S177" s="61"/>
      <c r="T177" s="61"/>
      <c r="U177" s="61"/>
    </row>
    <row r="178" spans="1:21" s="12" customFormat="1" x14ac:dyDescent="0.25">
      <c r="A178" s="35"/>
      <c r="B178" s="81"/>
      <c r="D178" s="35"/>
      <c r="E178" s="70"/>
      <c r="F178" s="53"/>
      <c r="G178" s="53"/>
      <c r="H178" s="53"/>
      <c r="I178" s="105"/>
      <c r="K178" s="35"/>
      <c r="M178" s="35"/>
      <c r="N178" s="35"/>
      <c r="O178" s="35"/>
      <c r="P178" s="35"/>
      <c r="Q178" s="35"/>
      <c r="R178" s="35"/>
      <c r="S178" s="61"/>
      <c r="T178" s="61"/>
      <c r="U178" s="61"/>
    </row>
    <row r="179" spans="1:21" s="12" customFormat="1" x14ac:dyDescent="0.25">
      <c r="A179" s="35"/>
      <c r="B179" s="81"/>
      <c r="D179" s="35"/>
      <c r="E179" s="70"/>
      <c r="F179" s="53"/>
      <c r="G179" s="53"/>
      <c r="H179" s="53"/>
      <c r="I179" s="105"/>
      <c r="K179" s="35"/>
      <c r="M179" s="35"/>
      <c r="N179" s="35"/>
      <c r="O179" s="35"/>
      <c r="P179" s="35"/>
      <c r="Q179" s="35"/>
      <c r="R179" s="35"/>
      <c r="S179" s="61"/>
      <c r="T179" s="61"/>
      <c r="U179" s="61"/>
    </row>
    <row r="180" spans="1:21" s="12" customFormat="1" x14ac:dyDescent="0.25">
      <c r="A180" s="35"/>
      <c r="B180" s="81"/>
      <c r="D180" s="35"/>
      <c r="E180" s="70"/>
      <c r="F180" s="53"/>
      <c r="G180" s="53"/>
      <c r="H180" s="53"/>
      <c r="I180" s="105"/>
      <c r="K180" s="35"/>
      <c r="M180" s="35"/>
      <c r="N180" s="35"/>
      <c r="O180" s="35"/>
      <c r="P180" s="35"/>
      <c r="Q180" s="35"/>
      <c r="R180" s="35"/>
      <c r="S180" s="61"/>
      <c r="T180" s="61"/>
      <c r="U180" s="61"/>
    </row>
    <row r="181" spans="1:21" s="12" customFormat="1" x14ac:dyDescent="0.25">
      <c r="A181" s="35"/>
      <c r="B181" s="81"/>
      <c r="D181" s="35"/>
      <c r="E181" s="70"/>
      <c r="F181" s="53"/>
      <c r="G181" s="53"/>
      <c r="H181" s="53"/>
      <c r="I181" s="105"/>
      <c r="K181" s="35"/>
      <c r="M181" s="35"/>
      <c r="N181" s="35"/>
      <c r="O181" s="35"/>
      <c r="P181" s="35"/>
      <c r="Q181" s="35"/>
      <c r="R181" s="35"/>
      <c r="S181" s="61"/>
      <c r="T181" s="61"/>
      <c r="U181" s="61"/>
    </row>
    <row r="182" spans="1:21" s="12" customFormat="1" x14ac:dyDescent="0.25">
      <c r="A182" s="35"/>
      <c r="B182" s="81"/>
      <c r="D182" s="35"/>
      <c r="E182" s="70"/>
      <c r="F182" s="53"/>
      <c r="G182" s="53"/>
      <c r="H182" s="53"/>
      <c r="I182" s="105"/>
      <c r="K182" s="35"/>
      <c r="M182" s="35"/>
      <c r="N182" s="35"/>
      <c r="O182" s="35"/>
      <c r="P182" s="35"/>
      <c r="Q182" s="35"/>
      <c r="R182" s="35"/>
      <c r="S182" s="61"/>
      <c r="T182" s="61"/>
      <c r="U182" s="61"/>
    </row>
    <row r="183" spans="1:21" s="12" customFormat="1" x14ac:dyDescent="0.25">
      <c r="A183" s="35"/>
      <c r="B183" s="81"/>
      <c r="D183" s="35"/>
      <c r="E183" s="70"/>
      <c r="F183" s="53"/>
      <c r="G183" s="53"/>
      <c r="H183" s="53"/>
      <c r="I183" s="105"/>
      <c r="K183" s="35"/>
      <c r="M183" s="35"/>
      <c r="N183" s="35"/>
      <c r="O183" s="35"/>
      <c r="P183" s="35"/>
      <c r="Q183" s="35"/>
      <c r="R183" s="35"/>
      <c r="S183" s="61"/>
      <c r="T183" s="61"/>
      <c r="U183" s="61"/>
    </row>
    <row r="184" spans="1:21" s="12" customFormat="1" x14ac:dyDescent="0.25">
      <c r="A184" s="35"/>
      <c r="B184" s="81"/>
      <c r="D184" s="35"/>
      <c r="E184" s="70"/>
      <c r="F184" s="53"/>
      <c r="G184" s="53"/>
      <c r="H184" s="53"/>
      <c r="I184" s="105"/>
      <c r="K184" s="35"/>
      <c r="M184" s="35"/>
      <c r="N184" s="35"/>
      <c r="O184" s="35"/>
      <c r="P184" s="35"/>
      <c r="Q184" s="35"/>
      <c r="R184" s="35"/>
      <c r="S184" s="61"/>
      <c r="T184" s="61"/>
      <c r="U184" s="61"/>
    </row>
    <row r="185" spans="1:21" s="12" customFormat="1" x14ac:dyDescent="0.25">
      <c r="A185" s="35"/>
      <c r="B185" s="81"/>
      <c r="D185" s="35"/>
      <c r="E185" s="70"/>
      <c r="F185" s="53"/>
      <c r="G185" s="53"/>
      <c r="H185" s="53"/>
      <c r="I185" s="105"/>
      <c r="K185" s="35"/>
      <c r="M185" s="35"/>
      <c r="N185" s="35"/>
      <c r="O185" s="35"/>
      <c r="P185" s="35"/>
      <c r="Q185" s="35"/>
      <c r="R185" s="35"/>
      <c r="S185" s="61"/>
      <c r="T185" s="61"/>
      <c r="U185" s="61"/>
    </row>
    <row r="186" spans="1:21" s="12" customFormat="1" x14ac:dyDescent="0.25">
      <c r="A186" s="35"/>
      <c r="B186" s="81"/>
      <c r="D186" s="35"/>
      <c r="E186" s="70"/>
      <c r="F186" s="53"/>
      <c r="G186" s="53"/>
      <c r="H186" s="53"/>
      <c r="I186" s="105"/>
      <c r="K186" s="35"/>
      <c r="M186" s="35"/>
      <c r="N186" s="35"/>
      <c r="O186" s="35"/>
      <c r="P186" s="35"/>
      <c r="Q186" s="35"/>
      <c r="R186" s="35"/>
      <c r="S186" s="61"/>
      <c r="T186" s="61"/>
      <c r="U186" s="61"/>
    </row>
    <row r="187" spans="1:21" s="12" customFormat="1" x14ac:dyDescent="0.25">
      <c r="A187" s="35"/>
      <c r="B187" s="81"/>
      <c r="D187" s="35"/>
      <c r="E187" s="70"/>
      <c r="F187" s="53"/>
      <c r="G187" s="53"/>
      <c r="H187" s="53"/>
      <c r="I187" s="105"/>
      <c r="K187" s="35"/>
      <c r="M187" s="35"/>
      <c r="N187" s="35"/>
      <c r="O187" s="35"/>
      <c r="P187" s="35"/>
      <c r="Q187" s="35"/>
      <c r="R187" s="35"/>
      <c r="S187" s="61"/>
      <c r="T187" s="61"/>
      <c r="U187" s="61"/>
    </row>
    <row r="188" spans="1:21" s="12" customFormat="1" x14ac:dyDescent="0.25">
      <c r="A188" s="35"/>
      <c r="B188" s="81"/>
      <c r="D188" s="35"/>
      <c r="E188" s="70"/>
      <c r="F188" s="53"/>
      <c r="G188" s="53"/>
      <c r="H188" s="53"/>
      <c r="I188" s="105"/>
      <c r="K188" s="35"/>
      <c r="M188" s="35"/>
      <c r="N188" s="35"/>
      <c r="O188" s="35"/>
      <c r="P188" s="35"/>
      <c r="Q188" s="35"/>
      <c r="R188" s="35"/>
      <c r="S188" s="61"/>
      <c r="T188" s="61"/>
      <c r="U188" s="61"/>
    </row>
    <row r="189" spans="1:21" s="12" customFormat="1" x14ac:dyDescent="0.25">
      <c r="A189" s="35"/>
      <c r="B189" s="81"/>
      <c r="D189" s="35"/>
      <c r="E189" s="70"/>
      <c r="F189" s="53"/>
      <c r="G189" s="53"/>
      <c r="H189" s="53"/>
      <c r="I189" s="100"/>
      <c r="K189" s="35"/>
      <c r="M189" s="35"/>
      <c r="N189" s="35"/>
      <c r="O189" s="35"/>
      <c r="P189" s="35"/>
      <c r="Q189" s="35"/>
      <c r="R189" s="35"/>
      <c r="S189" s="61"/>
      <c r="T189" s="61"/>
      <c r="U189" s="61"/>
    </row>
    <row r="190" spans="1:21" s="12" customFormat="1" x14ac:dyDescent="0.25">
      <c r="A190" s="35"/>
      <c r="B190" s="81"/>
      <c r="D190" s="35"/>
      <c r="E190" s="70"/>
      <c r="F190" s="53"/>
      <c r="G190" s="53"/>
      <c r="H190" s="53"/>
      <c r="I190" s="107"/>
      <c r="K190" s="35"/>
      <c r="M190" s="35"/>
      <c r="N190" s="35"/>
      <c r="O190" s="35"/>
      <c r="P190" s="35"/>
      <c r="Q190" s="35"/>
      <c r="R190" s="35"/>
      <c r="S190" s="61"/>
      <c r="T190" s="61"/>
      <c r="U190" s="61"/>
    </row>
    <row r="191" spans="1:21" s="12" customFormat="1" x14ac:dyDescent="0.25">
      <c r="A191" s="35"/>
      <c r="B191" s="81"/>
      <c r="D191" s="35"/>
      <c r="E191" s="70"/>
      <c r="F191" s="53"/>
      <c r="G191" s="53"/>
      <c r="H191" s="53"/>
      <c r="I191" s="107"/>
      <c r="K191" s="35"/>
      <c r="M191" s="35"/>
      <c r="N191" s="35"/>
      <c r="O191" s="35"/>
      <c r="P191" s="35"/>
      <c r="Q191" s="35"/>
      <c r="R191" s="35"/>
      <c r="S191" s="61"/>
      <c r="T191" s="61"/>
      <c r="U191" s="61"/>
    </row>
    <row r="192" spans="1:21" s="12" customFormat="1" x14ac:dyDescent="0.25">
      <c r="A192" s="35"/>
      <c r="B192" s="81"/>
      <c r="D192" s="35"/>
      <c r="E192" s="70"/>
      <c r="F192" s="53"/>
      <c r="G192" s="53"/>
      <c r="H192" s="53"/>
      <c r="I192" s="107"/>
      <c r="K192" s="35"/>
      <c r="M192" s="35"/>
      <c r="N192" s="35"/>
      <c r="O192" s="35"/>
      <c r="P192" s="35"/>
      <c r="Q192" s="35"/>
      <c r="R192" s="35"/>
      <c r="S192" s="61"/>
      <c r="T192" s="61"/>
      <c r="U192" s="61"/>
    </row>
    <row r="193" spans="1:21" s="12" customFormat="1" x14ac:dyDescent="0.25">
      <c r="A193" s="35"/>
      <c r="B193" s="81"/>
      <c r="D193" s="35"/>
      <c r="E193" s="70"/>
      <c r="F193" s="53"/>
      <c r="G193" s="53"/>
      <c r="H193" s="53"/>
      <c r="I193" s="107"/>
      <c r="K193" s="35"/>
      <c r="M193" s="35"/>
      <c r="N193" s="35"/>
      <c r="O193" s="35"/>
      <c r="P193" s="35"/>
      <c r="Q193" s="35"/>
      <c r="R193" s="35"/>
      <c r="S193" s="61"/>
      <c r="T193" s="61"/>
      <c r="U193" s="61"/>
    </row>
    <row r="194" spans="1:21" s="12" customFormat="1" x14ac:dyDescent="0.25">
      <c r="A194" s="35"/>
      <c r="B194" s="81"/>
      <c r="D194" s="35"/>
      <c r="E194" s="70"/>
      <c r="F194" s="53"/>
      <c r="G194" s="53"/>
      <c r="H194" s="53"/>
      <c r="I194" s="107"/>
      <c r="K194" s="35"/>
      <c r="M194" s="35"/>
      <c r="N194" s="35"/>
      <c r="O194" s="35"/>
      <c r="P194" s="35"/>
      <c r="Q194" s="35"/>
      <c r="R194" s="35"/>
      <c r="S194" s="61"/>
      <c r="T194" s="61"/>
      <c r="U194" s="61"/>
    </row>
    <row r="195" spans="1:21" s="12" customFormat="1" x14ac:dyDescent="0.25">
      <c r="A195" s="35"/>
      <c r="B195" s="81"/>
      <c r="D195" s="35"/>
      <c r="E195" s="70"/>
      <c r="F195" s="53"/>
      <c r="G195" s="53"/>
      <c r="H195" s="53"/>
      <c r="I195" s="107"/>
      <c r="K195" s="35"/>
      <c r="M195" s="35"/>
      <c r="N195" s="35"/>
      <c r="O195" s="35"/>
      <c r="P195" s="35"/>
      <c r="Q195" s="35"/>
      <c r="R195" s="35"/>
      <c r="S195" s="61"/>
      <c r="T195" s="61"/>
      <c r="U195" s="61"/>
    </row>
    <row r="196" spans="1:21" s="12" customFormat="1" x14ac:dyDescent="0.25">
      <c r="A196" s="35"/>
      <c r="B196" s="81"/>
      <c r="D196" s="35"/>
      <c r="E196" s="70"/>
      <c r="F196" s="53"/>
      <c r="G196" s="53"/>
      <c r="H196" s="53"/>
      <c r="I196" s="107"/>
      <c r="K196" s="35"/>
      <c r="M196" s="35"/>
      <c r="N196" s="35"/>
      <c r="O196" s="35"/>
      <c r="P196" s="35"/>
      <c r="Q196" s="35"/>
      <c r="R196" s="35"/>
      <c r="S196" s="61"/>
      <c r="T196" s="61"/>
      <c r="U196" s="61"/>
    </row>
    <row r="197" spans="1:21" s="12" customFormat="1" x14ac:dyDescent="0.25">
      <c r="A197" s="35"/>
      <c r="B197" s="81"/>
      <c r="D197" s="35"/>
      <c r="E197" s="70"/>
      <c r="F197" s="53"/>
      <c r="G197" s="53"/>
      <c r="H197" s="53"/>
      <c r="I197" s="107"/>
      <c r="K197" s="35"/>
      <c r="M197" s="35"/>
      <c r="N197" s="35"/>
      <c r="O197" s="35"/>
      <c r="P197" s="35"/>
      <c r="Q197" s="35"/>
      <c r="R197" s="35"/>
      <c r="S197" s="61"/>
      <c r="T197" s="61"/>
      <c r="U197" s="61"/>
    </row>
    <row r="198" spans="1:21" s="12" customFormat="1" x14ac:dyDescent="0.25">
      <c r="A198" s="35"/>
      <c r="B198" s="81"/>
      <c r="D198" s="35"/>
      <c r="E198" s="70"/>
      <c r="F198" s="53"/>
      <c r="G198" s="53"/>
      <c r="H198" s="53"/>
      <c r="I198" s="107"/>
      <c r="K198" s="35"/>
      <c r="M198" s="35"/>
      <c r="N198" s="35"/>
      <c r="O198" s="35"/>
      <c r="P198" s="35"/>
      <c r="Q198" s="35"/>
      <c r="R198" s="35"/>
      <c r="S198" s="61"/>
      <c r="T198" s="61"/>
      <c r="U198" s="61"/>
    </row>
    <row r="199" spans="1:21" s="12" customFormat="1" x14ac:dyDescent="0.25">
      <c r="A199" s="35"/>
      <c r="B199" s="81"/>
      <c r="D199" s="35"/>
      <c r="E199" s="70"/>
      <c r="F199" s="53"/>
      <c r="G199" s="53"/>
      <c r="H199" s="53"/>
      <c r="I199" s="107"/>
      <c r="K199" s="35"/>
      <c r="M199" s="35"/>
      <c r="N199" s="35"/>
      <c r="O199" s="35"/>
      <c r="P199" s="35"/>
      <c r="Q199" s="35"/>
      <c r="R199" s="35"/>
      <c r="S199" s="61"/>
      <c r="T199" s="61"/>
      <c r="U199" s="61"/>
    </row>
    <row r="200" spans="1:21" s="12" customFormat="1" x14ac:dyDescent="0.25">
      <c r="A200" s="35"/>
      <c r="B200" s="81"/>
      <c r="D200" s="35"/>
      <c r="E200" s="70"/>
      <c r="F200" s="53"/>
      <c r="G200" s="53"/>
      <c r="H200" s="53"/>
      <c r="I200" s="107"/>
      <c r="K200" s="35"/>
      <c r="M200" s="35"/>
      <c r="N200" s="35"/>
      <c r="O200" s="35"/>
      <c r="P200" s="35"/>
      <c r="Q200" s="35"/>
      <c r="R200" s="35"/>
      <c r="S200" s="61"/>
      <c r="T200" s="61"/>
      <c r="U200" s="61"/>
    </row>
    <row r="201" spans="1:21" s="12" customFormat="1" x14ac:dyDescent="0.25">
      <c r="A201" s="35"/>
      <c r="B201" s="81"/>
      <c r="D201" s="35"/>
      <c r="E201" s="70"/>
      <c r="F201" s="53"/>
      <c r="G201" s="53"/>
      <c r="H201" s="53"/>
      <c r="I201" s="107"/>
      <c r="K201" s="35"/>
      <c r="M201" s="35"/>
      <c r="N201" s="35"/>
      <c r="O201" s="35"/>
      <c r="P201" s="35"/>
      <c r="Q201" s="35"/>
      <c r="R201" s="35"/>
      <c r="S201" s="61"/>
      <c r="T201" s="61"/>
      <c r="U201" s="61"/>
    </row>
    <row r="202" spans="1:21" s="12" customFormat="1" x14ac:dyDescent="0.25">
      <c r="A202" s="35"/>
      <c r="B202" s="81"/>
      <c r="D202" s="35"/>
      <c r="E202" s="70"/>
      <c r="F202" s="53"/>
      <c r="G202" s="53"/>
      <c r="H202" s="53"/>
      <c r="I202" s="107"/>
      <c r="K202" s="35"/>
      <c r="M202" s="35"/>
      <c r="N202" s="35"/>
      <c r="O202" s="35"/>
      <c r="P202" s="35"/>
      <c r="Q202" s="35"/>
      <c r="R202" s="35"/>
      <c r="S202" s="61"/>
      <c r="T202" s="61"/>
      <c r="U202" s="61"/>
    </row>
    <row r="203" spans="1:21" s="12" customFormat="1" x14ac:dyDescent="0.25">
      <c r="A203" s="35"/>
      <c r="B203" s="81"/>
      <c r="D203" s="35"/>
      <c r="E203" s="70"/>
      <c r="F203" s="53"/>
      <c r="G203" s="53"/>
      <c r="H203" s="53"/>
      <c r="I203" s="107"/>
      <c r="K203" s="35"/>
      <c r="M203" s="35"/>
      <c r="N203" s="35"/>
      <c r="O203" s="35"/>
      <c r="P203" s="35"/>
      <c r="Q203" s="35"/>
      <c r="R203" s="35"/>
      <c r="S203" s="61"/>
      <c r="T203" s="61"/>
      <c r="U203" s="61"/>
    </row>
    <row r="204" spans="1:21" s="12" customFormat="1" x14ac:dyDescent="0.25">
      <c r="A204" s="35"/>
      <c r="B204" s="81"/>
      <c r="D204" s="35"/>
      <c r="E204" s="70"/>
      <c r="F204" s="53"/>
      <c r="G204" s="53"/>
      <c r="H204" s="53"/>
      <c r="I204" s="107"/>
      <c r="K204" s="35"/>
      <c r="M204" s="35"/>
      <c r="N204" s="35"/>
      <c r="O204" s="35"/>
      <c r="P204" s="35"/>
      <c r="Q204" s="35"/>
      <c r="R204" s="35"/>
      <c r="S204" s="61"/>
      <c r="T204" s="61"/>
      <c r="U204" s="61"/>
    </row>
    <row r="205" spans="1:21" s="12" customFormat="1" x14ac:dyDescent="0.25">
      <c r="A205" s="35"/>
      <c r="B205" s="81"/>
      <c r="D205" s="35"/>
      <c r="E205" s="70"/>
      <c r="F205" s="53"/>
      <c r="G205" s="53"/>
      <c r="H205" s="53"/>
      <c r="I205" s="107"/>
      <c r="K205" s="35"/>
      <c r="M205" s="35"/>
      <c r="N205" s="35"/>
      <c r="O205" s="35"/>
      <c r="P205" s="35"/>
      <c r="Q205" s="35"/>
      <c r="R205" s="35"/>
      <c r="S205" s="61"/>
      <c r="T205" s="61"/>
      <c r="U205" s="61"/>
    </row>
    <row r="206" spans="1:21" s="12" customFormat="1" x14ac:dyDescent="0.25">
      <c r="A206" s="35"/>
      <c r="B206" s="81"/>
      <c r="D206" s="35"/>
      <c r="E206" s="70"/>
      <c r="F206" s="53"/>
      <c r="G206" s="53"/>
      <c r="H206" s="53"/>
      <c r="I206" s="107"/>
      <c r="K206" s="35"/>
      <c r="M206" s="35"/>
      <c r="N206" s="35"/>
      <c r="O206" s="35"/>
      <c r="P206" s="35"/>
      <c r="Q206" s="35"/>
      <c r="R206" s="35"/>
      <c r="S206" s="61"/>
      <c r="T206" s="61"/>
      <c r="U206" s="61"/>
    </row>
    <row r="207" spans="1:21" s="12" customFormat="1" x14ac:dyDescent="0.25">
      <c r="A207" s="35"/>
      <c r="B207" s="81"/>
      <c r="D207" s="35"/>
      <c r="E207" s="70"/>
      <c r="F207" s="53"/>
      <c r="G207" s="53"/>
      <c r="H207" s="53"/>
      <c r="I207" s="107"/>
      <c r="K207" s="35"/>
      <c r="M207" s="35"/>
      <c r="N207" s="35"/>
      <c r="O207" s="35"/>
      <c r="P207" s="35"/>
      <c r="Q207" s="35"/>
      <c r="R207" s="35"/>
      <c r="S207" s="61"/>
      <c r="T207" s="61"/>
      <c r="U207" s="61"/>
    </row>
    <row r="208" spans="1:21" s="12" customFormat="1" x14ac:dyDescent="0.25">
      <c r="A208" s="35"/>
      <c r="B208" s="81"/>
      <c r="D208" s="35"/>
      <c r="E208" s="70"/>
      <c r="F208" s="53"/>
      <c r="G208" s="53"/>
      <c r="H208" s="53"/>
      <c r="I208" s="107"/>
      <c r="K208" s="35"/>
      <c r="M208" s="35"/>
      <c r="N208" s="35"/>
      <c r="O208" s="35"/>
      <c r="P208" s="35"/>
      <c r="Q208" s="35"/>
      <c r="R208" s="35"/>
      <c r="S208" s="61"/>
      <c r="T208" s="61"/>
      <c r="U208" s="61"/>
    </row>
    <row r="209" spans="1:21" s="12" customFormat="1" x14ac:dyDescent="0.25">
      <c r="A209" s="35"/>
      <c r="B209" s="81"/>
      <c r="D209" s="35"/>
      <c r="E209" s="70"/>
      <c r="F209" s="53"/>
      <c r="G209" s="53"/>
      <c r="H209" s="53"/>
      <c r="I209" s="107"/>
      <c r="K209" s="35"/>
      <c r="M209" s="35"/>
      <c r="N209" s="35"/>
      <c r="O209" s="35"/>
      <c r="P209" s="35"/>
      <c r="Q209" s="35"/>
      <c r="R209" s="35"/>
      <c r="S209" s="61"/>
      <c r="T209" s="61"/>
      <c r="U209" s="61"/>
    </row>
    <row r="210" spans="1:21" s="12" customFormat="1" x14ac:dyDescent="0.25">
      <c r="A210" s="35"/>
      <c r="B210" s="81"/>
      <c r="D210" s="35"/>
      <c r="E210" s="70"/>
      <c r="F210" s="53"/>
      <c r="G210" s="53"/>
      <c r="H210" s="53"/>
      <c r="I210" s="107"/>
      <c r="K210" s="35"/>
      <c r="M210" s="35"/>
      <c r="N210" s="35"/>
      <c r="O210" s="35"/>
      <c r="P210" s="35"/>
      <c r="Q210" s="35"/>
      <c r="R210" s="35"/>
      <c r="S210" s="61"/>
      <c r="T210" s="61"/>
      <c r="U210" s="61"/>
    </row>
    <row r="211" spans="1:21" s="12" customFormat="1" x14ac:dyDescent="0.25">
      <c r="A211" s="35"/>
      <c r="B211" s="81"/>
      <c r="D211" s="35"/>
      <c r="E211" s="70"/>
      <c r="F211" s="53"/>
      <c r="G211" s="53"/>
      <c r="H211" s="53"/>
      <c r="I211" s="107"/>
      <c r="K211" s="35"/>
      <c r="M211" s="35"/>
      <c r="N211" s="35"/>
      <c r="O211" s="35"/>
      <c r="P211" s="35"/>
      <c r="Q211" s="35"/>
      <c r="R211" s="35"/>
      <c r="S211" s="61"/>
      <c r="T211" s="61"/>
      <c r="U211" s="61"/>
    </row>
    <row r="212" spans="1:21" s="12" customFormat="1" x14ac:dyDescent="0.25">
      <c r="A212" s="35"/>
      <c r="B212" s="81"/>
      <c r="D212" s="35"/>
      <c r="E212" s="70"/>
      <c r="F212" s="53"/>
      <c r="G212" s="53"/>
      <c r="H212" s="53"/>
      <c r="I212" s="107"/>
      <c r="K212" s="35"/>
      <c r="M212" s="35"/>
      <c r="N212" s="35"/>
      <c r="O212" s="35"/>
      <c r="P212" s="35"/>
      <c r="Q212" s="35"/>
      <c r="R212" s="35"/>
      <c r="S212" s="61"/>
      <c r="T212" s="61"/>
      <c r="U212" s="61"/>
    </row>
    <row r="213" spans="1:21" s="12" customFormat="1" x14ac:dyDescent="0.25">
      <c r="A213" s="35"/>
      <c r="B213" s="81"/>
      <c r="D213" s="35"/>
      <c r="E213" s="70"/>
      <c r="F213" s="53"/>
      <c r="G213" s="53"/>
      <c r="H213" s="53"/>
      <c r="I213" s="107"/>
      <c r="K213" s="35"/>
      <c r="M213" s="35"/>
      <c r="N213" s="35"/>
      <c r="O213" s="35"/>
      <c r="P213" s="35"/>
      <c r="Q213" s="35"/>
      <c r="R213" s="35"/>
      <c r="S213" s="61"/>
      <c r="T213" s="61"/>
      <c r="U213" s="61"/>
    </row>
    <row r="214" spans="1:21" s="12" customFormat="1" x14ac:dyDescent="0.25">
      <c r="A214" s="35"/>
      <c r="B214" s="81"/>
      <c r="D214" s="35"/>
      <c r="E214" s="70"/>
      <c r="F214" s="53"/>
      <c r="G214" s="53"/>
      <c r="H214" s="53"/>
      <c r="I214" s="107"/>
      <c r="K214" s="35"/>
      <c r="M214" s="35"/>
      <c r="N214" s="35"/>
      <c r="O214" s="35"/>
      <c r="P214" s="35"/>
      <c r="Q214" s="35"/>
      <c r="R214" s="35"/>
      <c r="S214" s="61"/>
      <c r="T214" s="61"/>
      <c r="U214" s="61"/>
    </row>
    <row r="215" spans="1:21" s="12" customFormat="1" x14ac:dyDescent="0.25">
      <c r="A215" s="35"/>
      <c r="B215" s="81"/>
      <c r="D215" s="35"/>
      <c r="E215" s="70"/>
      <c r="F215" s="53"/>
      <c r="G215" s="53"/>
      <c r="H215" s="53"/>
      <c r="I215" s="107"/>
      <c r="K215" s="35"/>
      <c r="M215" s="35"/>
      <c r="N215" s="35"/>
      <c r="O215" s="35"/>
      <c r="P215" s="35"/>
      <c r="Q215" s="35"/>
      <c r="R215" s="35"/>
      <c r="S215" s="61"/>
      <c r="T215" s="61"/>
      <c r="U215" s="61"/>
    </row>
    <row r="216" spans="1:21" s="12" customFormat="1" x14ac:dyDescent="0.25">
      <c r="A216" s="35"/>
      <c r="B216" s="81"/>
      <c r="D216" s="35"/>
      <c r="E216" s="70"/>
      <c r="F216" s="53"/>
      <c r="G216" s="53"/>
      <c r="H216" s="53"/>
      <c r="I216" s="107"/>
      <c r="K216" s="35"/>
      <c r="M216" s="35"/>
      <c r="N216" s="35"/>
      <c r="O216" s="35"/>
      <c r="P216" s="35"/>
      <c r="Q216" s="35"/>
      <c r="R216" s="35"/>
      <c r="S216" s="61"/>
      <c r="T216" s="61"/>
      <c r="U216" s="61"/>
    </row>
    <row r="217" spans="1:21" s="12" customFormat="1" x14ac:dyDescent="0.25">
      <c r="A217" s="35"/>
      <c r="B217" s="81"/>
      <c r="D217" s="35"/>
      <c r="E217" s="35"/>
      <c r="F217" s="35"/>
      <c r="G217" s="53"/>
      <c r="H217" s="53"/>
      <c r="I217" s="100"/>
      <c r="J217" s="108"/>
      <c r="K217" s="109"/>
      <c r="M217" s="35"/>
      <c r="N217" s="35"/>
      <c r="O217" s="35"/>
      <c r="P217" s="35"/>
      <c r="Q217" s="35"/>
      <c r="R217" s="35"/>
      <c r="S217" s="61"/>
      <c r="T217" s="61"/>
      <c r="U217" s="61"/>
    </row>
    <row r="218" spans="1:21" s="12" customFormat="1" x14ac:dyDescent="0.25">
      <c r="A218" s="35"/>
      <c r="B218" s="81"/>
      <c r="D218" s="110"/>
      <c r="E218" s="110"/>
      <c r="F218" s="110"/>
      <c r="G218" s="77"/>
      <c r="H218" s="77"/>
      <c r="I218" s="110"/>
      <c r="J218" s="111"/>
      <c r="K218" s="112"/>
      <c r="L218" s="113"/>
      <c r="M218" s="35"/>
      <c r="N218" s="35"/>
      <c r="O218" s="35"/>
      <c r="P218" s="35"/>
      <c r="Q218" s="35"/>
      <c r="R218" s="35"/>
      <c r="S218" s="61"/>
      <c r="T218" s="61"/>
      <c r="U218" s="61"/>
    </row>
    <row r="219" spans="1:21" s="12" customFormat="1" x14ac:dyDescent="0.25">
      <c r="A219" s="35"/>
      <c r="B219" s="81"/>
      <c r="D219" s="35"/>
      <c r="E219" s="35"/>
      <c r="F219" s="35"/>
      <c r="G219" s="53"/>
      <c r="H219" s="53"/>
      <c r="I219" s="100"/>
      <c r="K219" s="35"/>
      <c r="M219" s="35"/>
      <c r="N219" s="35"/>
      <c r="O219" s="35"/>
      <c r="P219" s="35"/>
      <c r="Q219" s="35"/>
      <c r="R219" s="35"/>
      <c r="S219" s="61"/>
      <c r="T219" s="61"/>
      <c r="U219" s="61"/>
    </row>
    <row r="220" spans="1:21" s="12" customFormat="1" x14ac:dyDescent="0.25">
      <c r="A220" s="35"/>
      <c r="B220" s="81"/>
      <c r="D220" s="29"/>
      <c r="E220" s="114"/>
      <c r="F220" s="115"/>
      <c r="G220" s="115"/>
      <c r="H220" s="115"/>
      <c r="I220" s="115"/>
      <c r="J220" s="29"/>
      <c r="K220" s="116"/>
      <c r="M220" s="106"/>
      <c r="N220" s="106"/>
      <c r="O220" s="106"/>
      <c r="P220" s="35"/>
      <c r="Q220" s="35"/>
      <c r="R220" s="35"/>
      <c r="S220" s="61"/>
      <c r="T220" s="61"/>
      <c r="U220" s="61"/>
    </row>
    <row r="221" spans="1:21" s="12" customFormat="1" x14ac:dyDescent="0.25">
      <c r="A221" s="35"/>
      <c r="B221" s="81"/>
      <c r="D221" s="35"/>
      <c r="E221" s="35"/>
      <c r="F221" s="35"/>
      <c r="G221" s="35"/>
      <c r="H221" s="35"/>
      <c r="I221" s="100"/>
      <c r="Q221" s="35"/>
      <c r="R221" s="35"/>
      <c r="S221" s="35"/>
      <c r="T221" s="35"/>
      <c r="U221" s="35"/>
    </row>
    <row r="222" spans="1:21" s="12" customFormat="1" x14ac:dyDescent="0.25">
      <c r="A222" s="35"/>
      <c r="B222" s="81"/>
      <c r="D222" s="35"/>
      <c r="E222" s="35"/>
      <c r="F222" s="35"/>
      <c r="G222" s="35"/>
      <c r="H222" s="35"/>
      <c r="I222" s="100"/>
      <c r="Q222" s="35"/>
      <c r="R222" s="35"/>
      <c r="S222" s="35"/>
      <c r="T222" s="35"/>
      <c r="U222" s="35"/>
    </row>
    <row r="223" spans="1:21" s="12" customFormat="1" x14ac:dyDescent="0.25">
      <c r="A223" s="102"/>
      <c r="B223" s="81"/>
      <c r="D223" s="35"/>
      <c r="E223" s="35"/>
      <c r="F223" s="35"/>
      <c r="G223" s="102"/>
      <c r="H223" s="102"/>
      <c r="I223" s="100"/>
      <c r="J223" s="35"/>
      <c r="Q223" s="35"/>
      <c r="R223" s="35"/>
      <c r="S223" s="35"/>
      <c r="T223" s="35"/>
      <c r="U223" s="35"/>
    </row>
    <row r="224" spans="1:21" s="12" customFormat="1" x14ac:dyDescent="0.25">
      <c r="A224" s="117"/>
      <c r="B224" s="81"/>
      <c r="C224" s="118"/>
      <c r="D224" s="35"/>
      <c r="E224" s="35"/>
      <c r="F224" s="35"/>
      <c r="G224" s="35"/>
      <c r="H224" s="35"/>
      <c r="I224" s="100"/>
      <c r="J224" s="100"/>
      <c r="Q224" s="35"/>
      <c r="R224" s="35"/>
      <c r="S224" s="35"/>
      <c r="T224" s="35"/>
      <c r="U224" s="35"/>
    </row>
    <row r="225" spans="1:21" s="12" customFormat="1" x14ac:dyDescent="0.25">
      <c r="A225" s="35"/>
      <c r="B225" s="81"/>
      <c r="C225" s="118"/>
      <c r="D225" s="35"/>
      <c r="E225" s="35"/>
      <c r="F225" s="35"/>
      <c r="G225" s="35"/>
      <c r="H225" s="35"/>
      <c r="I225" s="100"/>
      <c r="J225" s="100"/>
      <c r="Q225" s="35"/>
      <c r="R225" s="35"/>
      <c r="S225" s="35"/>
      <c r="T225" s="35"/>
      <c r="U225" s="35"/>
    </row>
    <row r="226" spans="1:21" s="12" customFormat="1" x14ac:dyDescent="0.25">
      <c r="A226" s="35"/>
      <c r="B226" s="81"/>
      <c r="D226" s="35"/>
      <c r="E226" s="35"/>
      <c r="F226" s="35"/>
      <c r="G226" s="35"/>
      <c r="H226" s="35"/>
      <c r="I226" s="100"/>
      <c r="J226" s="100"/>
      <c r="Q226" s="35"/>
      <c r="R226" s="35"/>
      <c r="S226" s="35"/>
      <c r="T226" s="35"/>
      <c r="U226" s="35"/>
    </row>
    <row r="227" spans="1:21" s="12" customFormat="1" x14ac:dyDescent="0.25">
      <c r="A227" s="35"/>
      <c r="B227" s="81"/>
      <c r="D227" s="35"/>
      <c r="E227" s="35"/>
      <c r="F227" s="35"/>
      <c r="G227" s="35"/>
      <c r="H227" s="35"/>
      <c r="I227" s="100"/>
      <c r="Q227" s="35"/>
      <c r="R227" s="35"/>
      <c r="S227" s="35"/>
      <c r="T227" s="35"/>
      <c r="U227" s="35"/>
    </row>
    <row r="228" spans="1:21" s="12" customFormat="1" x14ac:dyDescent="0.25">
      <c r="A228" s="35"/>
      <c r="B228" s="119"/>
      <c r="D228" s="35"/>
      <c r="E228" s="35"/>
      <c r="F228" s="35"/>
      <c r="G228" s="35"/>
      <c r="H228" s="35"/>
      <c r="I228" s="100"/>
      <c r="Q228" s="35"/>
      <c r="R228" s="35"/>
      <c r="S228" s="35"/>
      <c r="T228" s="35"/>
      <c r="U228" s="35"/>
    </row>
    <row r="229" spans="1:21" s="12" customFormat="1" x14ac:dyDescent="0.25">
      <c r="A229" s="35"/>
      <c r="B229" s="119"/>
      <c r="D229" s="35"/>
      <c r="E229" s="35"/>
      <c r="F229" s="35"/>
      <c r="G229" s="35"/>
      <c r="H229" s="35"/>
      <c r="I229" s="100"/>
      <c r="Q229" s="35"/>
      <c r="R229" s="35"/>
      <c r="S229" s="35"/>
      <c r="T229" s="35"/>
      <c r="U229" s="35"/>
    </row>
    <row r="230" spans="1:21" s="12" customFormat="1" x14ac:dyDescent="0.25">
      <c r="A230" s="35"/>
      <c r="B230" s="81"/>
      <c r="D230" s="35"/>
      <c r="E230" s="35"/>
      <c r="F230" s="35"/>
      <c r="G230" s="35"/>
      <c r="H230" s="35"/>
      <c r="I230" s="100"/>
      <c r="Q230" s="35"/>
      <c r="R230" s="35"/>
      <c r="S230" s="35"/>
      <c r="T230" s="35"/>
      <c r="U230" s="35"/>
    </row>
    <row r="231" spans="1:21" s="12" customFormat="1" x14ac:dyDescent="0.25">
      <c r="A231" s="35"/>
      <c r="B231" s="81"/>
      <c r="D231" s="35"/>
      <c r="E231" s="35"/>
      <c r="F231" s="35"/>
      <c r="G231" s="35"/>
      <c r="H231" s="35"/>
      <c r="I231" s="100"/>
      <c r="Q231" s="35"/>
      <c r="R231" s="35"/>
      <c r="S231" s="35"/>
      <c r="T231" s="35"/>
      <c r="U231" s="35"/>
    </row>
    <row r="232" spans="1:21" s="12" customFormat="1" x14ac:dyDescent="0.25">
      <c r="A232" s="35"/>
      <c r="B232" s="81"/>
      <c r="D232" s="35"/>
      <c r="E232" s="35"/>
      <c r="F232" s="35"/>
      <c r="G232" s="35"/>
      <c r="H232" s="35"/>
      <c r="I232" s="100"/>
      <c r="Q232" s="35"/>
      <c r="R232" s="35"/>
      <c r="S232" s="35"/>
      <c r="T232" s="35"/>
      <c r="U232" s="35"/>
    </row>
    <row r="233" spans="1:21" s="12" customFormat="1" x14ac:dyDescent="0.25">
      <c r="A233" s="35"/>
      <c r="B233" s="81"/>
      <c r="D233" s="35"/>
      <c r="E233" s="35"/>
      <c r="F233" s="35"/>
      <c r="G233" s="35"/>
      <c r="H233" s="35"/>
      <c r="I233" s="100"/>
      <c r="Q233" s="35"/>
      <c r="R233" s="35"/>
      <c r="S233" s="35"/>
      <c r="T233" s="35"/>
      <c r="U233" s="35"/>
    </row>
    <row r="234" spans="1:21" s="12" customFormat="1" x14ac:dyDescent="0.25">
      <c r="A234" s="35"/>
      <c r="B234" s="81"/>
      <c r="D234" s="35"/>
      <c r="E234" s="35"/>
      <c r="F234" s="35"/>
      <c r="G234" s="35"/>
      <c r="H234" s="35"/>
      <c r="I234" s="100"/>
      <c r="Q234" s="35"/>
      <c r="R234" s="35"/>
      <c r="S234" s="35"/>
      <c r="T234" s="35"/>
      <c r="U234" s="35"/>
    </row>
    <row r="235" spans="1:21" s="12" customFormat="1" x14ac:dyDescent="0.25">
      <c r="A235" s="35"/>
      <c r="B235" s="81"/>
      <c r="D235" s="35"/>
      <c r="E235" s="35"/>
      <c r="F235" s="35"/>
      <c r="G235" s="35"/>
      <c r="H235" s="35"/>
      <c r="I235" s="100"/>
      <c r="Q235" s="35"/>
      <c r="R235" s="35"/>
      <c r="S235" s="35"/>
      <c r="T235" s="35"/>
      <c r="U235" s="35"/>
    </row>
    <row r="236" spans="1:21" s="12" customFormat="1" x14ac:dyDescent="0.25">
      <c r="A236" s="35"/>
      <c r="B236" s="81"/>
      <c r="D236" s="35"/>
      <c r="E236" s="35"/>
      <c r="F236" s="35"/>
      <c r="G236" s="35"/>
      <c r="H236" s="35"/>
      <c r="I236" s="100"/>
      <c r="Q236" s="35"/>
      <c r="R236" s="35"/>
      <c r="S236" s="35"/>
      <c r="T236" s="35"/>
      <c r="U236" s="35"/>
    </row>
    <row r="237" spans="1:21" s="12" customFormat="1" x14ac:dyDescent="0.25">
      <c r="A237" s="35"/>
      <c r="B237" s="81"/>
      <c r="D237" s="35"/>
      <c r="E237" s="35"/>
      <c r="F237" s="35"/>
      <c r="G237" s="35"/>
      <c r="H237" s="35"/>
      <c r="I237" s="100"/>
      <c r="Q237" s="35"/>
      <c r="R237" s="35"/>
      <c r="S237" s="35"/>
      <c r="T237" s="35"/>
      <c r="U237" s="35"/>
    </row>
    <row r="238" spans="1:21" s="12" customFormat="1" x14ac:dyDescent="0.25">
      <c r="A238" s="35"/>
      <c r="B238" s="81"/>
      <c r="D238" s="35"/>
      <c r="E238" s="35"/>
      <c r="F238" s="35"/>
      <c r="G238" s="35"/>
      <c r="H238" s="35"/>
      <c r="I238" s="100"/>
      <c r="Q238" s="35"/>
      <c r="R238" s="35"/>
      <c r="S238" s="35"/>
      <c r="T238" s="35"/>
      <c r="U238" s="35"/>
    </row>
    <row r="239" spans="1:21" s="12" customFormat="1" x14ac:dyDescent="0.25">
      <c r="A239" s="35"/>
      <c r="B239" s="81"/>
      <c r="D239" s="35"/>
      <c r="E239" s="35"/>
      <c r="F239" s="35"/>
      <c r="G239" s="35"/>
      <c r="H239" s="35"/>
      <c r="I239" s="100"/>
      <c r="Q239" s="35"/>
      <c r="R239" s="35"/>
      <c r="S239" s="35"/>
      <c r="T239" s="35"/>
      <c r="U239" s="35"/>
    </row>
    <row r="240" spans="1:21" s="12" customFormat="1" x14ac:dyDescent="0.25">
      <c r="A240" s="35"/>
      <c r="B240" s="81"/>
      <c r="D240" s="35"/>
      <c r="E240" s="35"/>
      <c r="F240" s="35"/>
      <c r="G240" s="35"/>
      <c r="H240" s="35"/>
      <c r="I240" s="100"/>
      <c r="Q240" s="35"/>
      <c r="R240" s="35"/>
      <c r="S240" s="35"/>
      <c r="T240" s="35"/>
      <c r="U240" s="35"/>
    </row>
    <row r="241" spans="1:21" s="12" customFormat="1" x14ac:dyDescent="0.25">
      <c r="A241" s="35"/>
      <c r="B241" s="81"/>
      <c r="D241" s="35"/>
      <c r="E241" s="35"/>
      <c r="F241" s="35"/>
      <c r="G241" s="35"/>
      <c r="H241" s="35"/>
      <c r="I241" s="100"/>
      <c r="Q241" s="35"/>
      <c r="R241" s="35"/>
      <c r="S241" s="35"/>
      <c r="T241" s="35"/>
      <c r="U241" s="35"/>
    </row>
    <row r="242" spans="1:21" s="12" customFormat="1" x14ac:dyDescent="0.25">
      <c r="A242" s="35"/>
      <c r="B242" s="81"/>
      <c r="D242" s="35"/>
      <c r="E242" s="35"/>
      <c r="F242" s="35"/>
      <c r="G242" s="35"/>
      <c r="H242" s="35"/>
      <c r="I242" s="100"/>
      <c r="Q242" s="35"/>
      <c r="R242" s="35"/>
      <c r="S242" s="35"/>
      <c r="T242" s="35"/>
      <c r="U242" s="35"/>
    </row>
    <row r="243" spans="1:21" s="12" customFormat="1" x14ac:dyDescent="0.25">
      <c r="A243" s="35"/>
      <c r="B243" s="81"/>
      <c r="D243" s="35"/>
      <c r="E243" s="35"/>
      <c r="F243" s="35"/>
      <c r="G243" s="35"/>
      <c r="H243" s="35"/>
      <c r="I243" s="100"/>
      <c r="Q243" s="35"/>
      <c r="R243" s="35"/>
      <c r="S243" s="35"/>
      <c r="T243" s="35"/>
      <c r="U243" s="35"/>
    </row>
    <row r="244" spans="1:21" s="12" customFormat="1" x14ac:dyDescent="0.25">
      <c r="A244" s="35"/>
      <c r="B244" s="81"/>
      <c r="D244" s="35"/>
      <c r="E244" s="35"/>
      <c r="F244" s="35"/>
      <c r="G244" s="35"/>
      <c r="H244" s="35"/>
      <c r="I244" s="100"/>
      <c r="Q244" s="35"/>
      <c r="R244" s="35"/>
      <c r="S244" s="35"/>
      <c r="T244" s="35"/>
      <c r="U244" s="35"/>
    </row>
    <row r="245" spans="1:21" s="12" customFormat="1" x14ac:dyDescent="0.25">
      <c r="A245" s="35"/>
      <c r="B245" s="81"/>
      <c r="D245" s="35"/>
      <c r="E245" s="35"/>
      <c r="F245" s="35"/>
      <c r="G245" s="35"/>
      <c r="H245" s="35"/>
      <c r="I245" s="100"/>
      <c r="Q245" s="35"/>
      <c r="R245" s="35"/>
      <c r="S245" s="35"/>
      <c r="T245" s="35"/>
      <c r="U245" s="35"/>
    </row>
    <row r="246" spans="1:21" s="12" customFormat="1" x14ac:dyDescent="0.25">
      <c r="A246" s="35"/>
      <c r="B246" s="81"/>
      <c r="D246" s="35"/>
      <c r="E246" s="35"/>
      <c r="F246" s="35"/>
      <c r="G246" s="35"/>
      <c r="H246" s="35"/>
      <c r="I246" s="100"/>
      <c r="Q246" s="35"/>
      <c r="R246" s="35"/>
      <c r="S246" s="35"/>
      <c r="T246" s="35"/>
      <c r="U246" s="35"/>
    </row>
    <row r="247" spans="1:21" s="12" customFormat="1" x14ac:dyDescent="0.25">
      <c r="A247" s="35"/>
      <c r="B247" s="81"/>
      <c r="D247" s="35"/>
      <c r="E247" s="35"/>
      <c r="F247" s="35"/>
      <c r="G247" s="35"/>
      <c r="H247" s="35"/>
      <c r="I247" s="100"/>
      <c r="Q247" s="35"/>
      <c r="R247" s="35"/>
      <c r="S247" s="35"/>
      <c r="T247" s="35"/>
      <c r="U247" s="35"/>
    </row>
    <row r="248" spans="1:21" s="12" customFormat="1" x14ac:dyDescent="0.25">
      <c r="A248" s="35"/>
      <c r="B248" s="81"/>
      <c r="D248" s="35"/>
      <c r="E248" s="35"/>
      <c r="F248" s="35"/>
      <c r="G248" s="35"/>
      <c r="H248" s="35"/>
      <c r="I248" s="100"/>
      <c r="Q248" s="35"/>
      <c r="R248" s="35"/>
      <c r="S248" s="35"/>
      <c r="T248" s="35"/>
      <c r="U248" s="35"/>
    </row>
    <row r="249" spans="1:21" s="12" customFormat="1" x14ac:dyDescent="0.25">
      <c r="A249" s="35"/>
      <c r="B249" s="81"/>
      <c r="D249" s="35"/>
      <c r="E249" s="35"/>
      <c r="F249" s="35"/>
      <c r="G249" s="35"/>
      <c r="H249" s="35"/>
      <c r="I249" s="100"/>
      <c r="Q249" s="35"/>
      <c r="R249" s="35"/>
      <c r="S249" s="35"/>
      <c r="T249" s="35"/>
      <c r="U249" s="35"/>
    </row>
    <row r="250" spans="1:21" s="12" customFormat="1" x14ac:dyDescent="0.25">
      <c r="A250" s="35"/>
      <c r="B250" s="81"/>
      <c r="D250" s="35"/>
      <c r="E250" s="35"/>
      <c r="F250" s="35"/>
      <c r="G250" s="35"/>
      <c r="H250" s="35"/>
      <c r="I250" s="100"/>
      <c r="Q250" s="35"/>
      <c r="R250" s="35"/>
      <c r="S250" s="35"/>
      <c r="T250" s="35"/>
      <c r="U250" s="35"/>
    </row>
    <row r="251" spans="1:21" s="12" customFormat="1" x14ac:dyDescent="0.25">
      <c r="A251" s="35"/>
      <c r="B251" s="81"/>
      <c r="D251" s="35"/>
      <c r="E251" s="35"/>
      <c r="F251" s="35"/>
      <c r="G251" s="35"/>
      <c r="H251" s="35"/>
      <c r="I251" s="100"/>
      <c r="Q251" s="35"/>
      <c r="R251" s="35"/>
      <c r="S251" s="35"/>
      <c r="T251" s="35"/>
      <c r="U251" s="35"/>
    </row>
    <row r="252" spans="1:21" s="12" customFormat="1" x14ac:dyDescent="0.25">
      <c r="A252" s="35"/>
      <c r="B252" s="81"/>
      <c r="D252" s="35"/>
      <c r="E252" s="35"/>
      <c r="F252" s="35"/>
      <c r="G252" s="35"/>
      <c r="H252" s="35"/>
      <c r="I252" s="100"/>
      <c r="Q252" s="35"/>
      <c r="R252" s="35"/>
      <c r="S252" s="35"/>
      <c r="T252" s="35"/>
      <c r="U252" s="35"/>
    </row>
    <row r="253" spans="1:21" s="12" customFormat="1" x14ac:dyDescent="0.25">
      <c r="A253" s="35"/>
      <c r="B253" s="81"/>
      <c r="D253" s="35"/>
      <c r="E253" s="35"/>
      <c r="F253" s="35"/>
      <c r="G253" s="35"/>
      <c r="H253" s="35"/>
      <c r="I253" s="100"/>
      <c r="Q253" s="35"/>
      <c r="R253" s="35"/>
      <c r="S253" s="35"/>
      <c r="T253" s="35"/>
      <c r="U253" s="35"/>
    </row>
    <row r="254" spans="1:21" s="12" customFormat="1" x14ac:dyDescent="0.25">
      <c r="A254" s="35"/>
      <c r="B254" s="81"/>
      <c r="D254" s="35"/>
      <c r="E254" s="35"/>
      <c r="F254" s="35"/>
      <c r="G254" s="35"/>
      <c r="H254" s="35"/>
      <c r="I254" s="100"/>
      <c r="Q254" s="35"/>
      <c r="R254" s="35"/>
      <c r="S254" s="35"/>
      <c r="T254" s="35"/>
      <c r="U254" s="35"/>
    </row>
    <row r="255" spans="1:21" s="12" customFormat="1" x14ac:dyDescent="0.25">
      <c r="A255" s="35"/>
      <c r="B255" s="81"/>
      <c r="D255" s="35"/>
      <c r="E255" s="35"/>
      <c r="F255" s="35"/>
      <c r="G255" s="35"/>
      <c r="H255" s="35"/>
      <c r="I255" s="100"/>
      <c r="Q255" s="35"/>
      <c r="R255" s="35"/>
      <c r="S255" s="35"/>
      <c r="T255" s="35"/>
      <c r="U255" s="35"/>
    </row>
    <row r="256" spans="1:21" s="12" customFormat="1" x14ac:dyDescent="0.25">
      <c r="A256" s="35"/>
      <c r="B256" s="81"/>
      <c r="D256" s="35"/>
      <c r="E256" s="35"/>
      <c r="F256" s="35"/>
      <c r="G256" s="35"/>
      <c r="H256" s="35"/>
      <c r="I256" s="100"/>
      <c r="Q256" s="35"/>
    </row>
    <row r="257" spans="1:17" s="12" customFormat="1" x14ac:dyDescent="0.25">
      <c r="A257" s="35"/>
      <c r="B257" s="81"/>
      <c r="D257" s="35"/>
      <c r="E257" s="35"/>
      <c r="F257" s="35"/>
      <c r="G257" s="35"/>
      <c r="H257" s="35"/>
      <c r="I257" s="100"/>
      <c r="Q257" s="35"/>
    </row>
    <row r="258" spans="1:17" s="12" customFormat="1" x14ac:dyDescent="0.25">
      <c r="A258" s="35"/>
      <c r="B258" s="81"/>
      <c r="D258" s="35"/>
      <c r="E258" s="35"/>
      <c r="F258" s="35"/>
      <c r="G258" s="35"/>
      <c r="H258" s="35"/>
      <c r="I258" s="100"/>
      <c r="Q258" s="35"/>
    </row>
    <row r="259" spans="1:17" s="12" customFormat="1" x14ac:dyDescent="0.25">
      <c r="A259" s="35"/>
      <c r="B259" s="81"/>
      <c r="D259" s="35"/>
      <c r="E259" s="35"/>
      <c r="F259" s="35"/>
      <c r="G259" s="35"/>
      <c r="H259" s="35"/>
      <c r="I259" s="100"/>
      <c r="Q259" s="35"/>
    </row>
    <row r="260" spans="1:17" s="12" customFormat="1" x14ac:dyDescent="0.25">
      <c r="A260" s="35"/>
      <c r="B260" s="81"/>
      <c r="D260" s="35"/>
      <c r="E260" s="35"/>
      <c r="F260" s="35"/>
      <c r="G260" s="35"/>
      <c r="H260" s="35"/>
      <c r="I260" s="100"/>
      <c r="Q260" s="35"/>
    </row>
    <row r="261" spans="1:17" s="12" customFormat="1" x14ac:dyDescent="0.25">
      <c r="A261" s="35"/>
      <c r="B261" s="81"/>
      <c r="D261" s="35"/>
      <c r="E261" s="35"/>
      <c r="F261" s="35"/>
      <c r="G261" s="35"/>
      <c r="H261" s="35"/>
      <c r="I261" s="100"/>
      <c r="Q261" s="35"/>
    </row>
    <row r="262" spans="1:17" s="12" customFormat="1" x14ac:dyDescent="0.25">
      <c r="A262" s="35"/>
      <c r="B262" s="81"/>
      <c r="D262" s="35"/>
      <c r="E262" s="35"/>
      <c r="F262" s="35"/>
      <c r="G262" s="35"/>
      <c r="H262" s="35"/>
      <c r="I262" s="100"/>
      <c r="Q262" s="35"/>
    </row>
    <row r="263" spans="1:17" s="12" customFormat="1" x14ac:dyDescent="0.25">
      <c r="A263" s="35"/>
      <c r="B263" s="81"/>
      <c r="D263" s="35"/>
      <c r="E263" s="35"/>
      <c r="F263" s="35"/>
      <c r="G263" s="35"/>
      <c r="H263" s="35"/>
      <c r="I263" s="100"/>
      <c r="Q263" s="35"/>
    </row>
    <row r="264" spans="1:17" s="12" customFormat="1" x14ac:dyDescent="0.25">
      <c r="A264" s="35"/>
      <c r="B264" s="81"/>
      <c r="D264" s="35"/>
      <c r="E264" s="35"/>
      <c r="F264" s="35"/>
      <c r="G264" s="35"/>
      <c r="H264" s="35"/>
      <c r="I264" s="100"/>
      <c r="Q264" s="35"/>
    </row>
    <row r="265" spans="1:17" s="12" customFormat="1" x14ac:dyDescent="0.25">
      <c r="A265" s="35"/>
      <c r="B265" s="81"/>
      <c r="D265" s="35"/>
      <c r="E265" s="35"/>
      <c r="F265" s="35"/>
      <c r="G265" s="35"/>
      <c r="H265" s="35"/>
      <c r="I265" s="100"/>
      <c r="Q265" s="35"/>
    </row>
    <row r="266" spans="1:17" s="12" customFormat="1" x14ac:dyDescent="0.25">
      <c r="A266" s="35"/>
      <c r="B266" s="81"/>
      <c r="D266" s="35"/>
      <c r="E266" s="35"/>
      <c r="F266" s="35"/>
      <c r="G266" s="35"/>
      <c r="H266" s="35"/>
      <c r="I266" s="100"/>
      <c r="Q266" s="35"/>
    </row>
    <row r="267" spans="1:17" s="12" customFormat="1" x14ac:dyDescent="0.25">
      <c r="A267" s="35"/>
      <c r="B267" s="119"/>
      <c r="D267" s="35"/>
      <c r="E267" s="35"/>
      <c r="F267" s="35"/>
      <c r="G267" s="35"/>
      <c r="H267" s="35"/>
      <c r="I267" s="100"/>
      <c r="Q267" s="35"/>
    </row>
    <row r="268" spans="1:17" s="12" customFormat="1" x14ac:dyDescent="0.25">
      <c r="A268" s="35"/>
      <c r="B268" s="81"/>
      <c r="D268" s="35"/>
      <c r="E268" s="35"/>
      <c r="F268" s="35"/>
      <c r="G268" s="35"/>
      <c r="H268" s="35"/>
      <c r="I268" s="100"/>
      <c r="Q268" s="35"/>
    </row>
    <row r="269" spans="1:17" s="12" customFormat="1" x14ac:dyDescent="0.25">
      <c r="A269" s="35"/>
      <c r="B269" s="81"/>
      <c r="D269" s="35"/>
      <c r="E269" s="35"/>
      <c r="F269" s="35"/>
      <c r="G269" s="35"/>
      <c r="H269" s="35"/>
      <c r="I269" s="100"/>
      <c r="Q269" s="35"/>
    </row>
    <row r="270" spans="1:17" s="12" customFormat="1" x14ac:dyDescent="0.25">
      <c r="A270" s="35"/>
      <c r="B270" s="81"/>
      <c r="D270" s="35"/>
      <c r="E270" s="35"/>
      <c r="F270" s="35"/>
      <c r="G270" s="35"/>
      <c r="H270" s="35"/>
      <c r="I270" s="100"/>
      <c r="Q270" s="35"/>
    </row>
    <row r="271" spans="1:17" s="12" customFormat="1" x14ac:dyDescent="0.25">
      <c r="A271" s="35"/>
      <c r="B271" s="81"/>
      <c r="D271" s="35"/>
      <c r="E271" s="35"/>
      <c r="F271" s="35"/>
      <c r="G271" s="35"/>
      <c r="H271" s="35"/>
      <c r="I271" s="100"/>
      <c r="Q271" s="35"/>
    </row>
    <row r="272" spans="1:17" s="12" customFormat="1" x14ac:dyDescent="0.25">
      <c r="A272" s="35"/>
      <c r="B272" s="81"/>
      <c r="D272" s="35"/>
      <c r="E272" s="35"/>
      <c r="F272" s="35"/>
      <c r="G272" s="35"/>
      <c r="H272" s="35"/>
      <c r="I272" s="100"/>
      <c r="Q272" s="35"/>
    </row>
    <row r="273" spans="1:17" s="12" customFormat="1" x14ac:dyDescent="0.25">
      <c r="A273" s="35"/>
      <c r="B273" s="81"/>
      <c r="D273" s="35"/>
      <c r="E273" s="35"/>
      <c r="F273" s="35"/>
      <c r="G273" s="35"/>
      <c r="H273" s="35"/>
      <c r="I273" s="100"/>
      <c r="Q273" s="35"/>
    </row>
    <row r="274" spans="1:17" s="12" customFormat="1" x14ac:dyDescent="0.25">
      <c r="A274" s="35"/>
      <c r="B274" s="81"/>
      <c r="D274" s="35"/>
      <c r="E274" s="35"/>
      <c r="F274" s="35"/>
      <c r="G274" s="35"/>
      <c r="H274" s="35"/>
      <c r="I274" s="100"/>
      <c r="Q274" s="35"/>
    </row>
    <row r="275" spans="1:17" s="12" customFormat="1" x14ac:dyDescent="0.25">
      <c r="A275" s="35"/>
      <c r="B275" s="81"/>
      <c r="D275" s="35"/>
      <c r="E275" s="35"/>
      <c r="F275" s="35"/>
      <c r="G275" s="35"/>
      <c r="H275" s="35"/>
      <c r="I275" s="100"/>
      <c r="Q275" s="35"/>
    </row>
    <row r="276" spans="1:17" s="12" customFormat="1" x14ac:dyDescent="0.25">
      <c r="A276" s="35"/>
      <c r="B276" s="81"/>
      <c r="D276" s="35"/>
      <c r="E276" s="35"/>
      <c r="F276" s="35"/>
      <c r="G276" s="35"/>
      <c r="H276" s="35"/>
      <c r="I276" s="100"/>
      <c r="Q276" s="35"/>
    </row>
    <row r="277" spans="1:17" s="12" customFormat="1" x14ac:dyDescent="0.25">
      <c r="A277" s="35"/>
      <c r="B277" s="81"/>
      <c r="D277" s="35"/>
      <c r="E277" s="35"/>
      <c r="F277" s="35"/>
      <c r="G277" s="35"/>
      <c r="H277" s="35"/>
      <c r="I277" s="100"/>
      <c r="Q277" s="35"/>
    </row>
    <row r="278" spans="1:17" s="12" customFormat="1" x14ac:dyDescent="0.25">
      <c r="A278" s="35"/>
      <c r="B278" s="81"/>
      <c r="D278" s="35"/>
      <c r="E278" s="35"/>
      <c r="F278" s="35"/>
      <c r="G278" s="35"/>
      <c r="H278" s="35"/>
      <c r="I278" s="100"/>
      <c r="Q278" s="35"/>
    </row>
    <row r="279" spans="1:17" s="12" customFormat="1" x14ac:dyDescent="0.25">
      <c r="A279" s="35"/>
      <c r="B279" s="81"/>
      <c r="D279" s="35"/>
      <c r="E279" s="35"/>
      <c r="F279" s="35"/>
      <c r="G279" s="35"/>
      <c r="H279" s="35"/>
      <c r="I279" s="100"/>
      <c r="Q279" s="35"/>
    </row>
    <row r="280" spans="1:17" s="12" customFormat="1" x14ac:dyDescent="0.25">
      <c r="A280" s="35"/>
      <c r="B280" s="81"/>
      <c r="D280" s="35"/>
      <c r="E280" s="35"/>
      <c r="F280" s="35"/>
      <c r="G280" s="35"/>
      <c r="H280" s="35"/>
      <c r="I280" s="100"/>
      <c r="Q280" s="35"/>
    </row>
    <row r="281" spans="1:17" s="12" customFormat="1" x14ac:dyDescent="0.25">
      <c r="A281" s="35"/>
      <c r="B281" s="81"/>
      <c r="D281" s="35"/>
      <c r="E281" s="35"/>
      <c r="F281" s="35"/>
      <c r="G281" s="35"/>
      <c r="H281" s="35"/>
      <c r="I281" s="100"/>
      <c r="Q281" s="35"/>
    </row>
    <row r="282" spans="1:17" s="12" customFormat="1" x14ac:dyDescent="0.25">
      <c r="A282" s="35"/>
      <c r="B282" s="81"/>
      <c r="D282" s="35"/>
      <c r="E282" s="35"/>
      <c r="F282" s="35"/>
      <c r="G282" s="35"/>
      <c r="H282" s="35"/>
      <c r="I282" s="100"/>
      <c r="Q282" s="35"/>
    </row>
    <row r="283" spans="1:17" s="12" customFormat="1" x14ac:dyDescent="0.25">
      <c r="A283" s="35"/>
      <c r="B283" s="81"/>
      <c r="D283" s="35"/>
      <c r="E283" s="35"/>
      <c r="F283" s="35"/>
      <c r="G283" s="35"/>
      <c r="H283" s="35"/>
      <c r="I283" s="100"/>
      <c r="Q283" s="35"/>
    </row>
    <row r="284" spans="1:17" s="12" customFormat="1" x14ac:dyDescent="0.25">
      <c r="A284" s="35"/>
      <c r="B284" s="81"/>
      <c r="D284" s="35"/>
      <c r="E284" s="35"/>
      <c r="F284" s="35"/>
      <c r="G284" s="35"/>
      <c r="H284" s="35"/>
      <c r="I284" s="100"/>
      <c r="Q284" s="35"/>
    </row>
    <row r="285" spans="1:17" s="12" customFormat="1" x14ac:dyDescent="0.25">
      <c r="A285" s="35"/>
      <c r="B285" s="81"/>
      <c r="D285" s="35"/>
      <c r="E285" s="35"/>
      <c r="F285" s="35"/>
      <c r="G285" s="35"/>
      <c r="H285" s="35"/>
      <c r="I285" s="100"/>
      <c r="Q285" s="35"/>
    </row>
    <row r="286" spans="1:17" s="12" customFormat="1" x14ac:dyDescent="0.25">
      <c r="A286" s="35"/>
      <c r="B286" s="81"/>
      <c r="D286" s="35"/>
      <c r="E286" s="35"/>
      <c r="F286" s="35"/>
      <c r="G286" s="35"/>
      <c r="H286" s="35"/>
      <c r="I286" s="100"/>
      <c r="Q286" s="35"/>
    </row>
    <row r="287" spans="1:17" s="12" customFormat="1" x14ac:dyDescent="0.25">
      <c r="A287" s="35"/>
      <c r="B287" s="81"/>
      <c r="D287" s="35"/>
      <c r="E287" s="35"/>
      <c r="F287" s="35"/>
      <c r="G287" s="35"/>
      <c r="H287" s="35"/>
      <c r="I287" s="100"/>
      <c r="Q287" s="35"/>
    </row>
    <row r="288" spans="1:17" s="12" customFormat="1" x14ac:dyDescent="0.25">
      <c r="A288" s="35"/>
      <c r="B288" s="81"/>
      <c r="D288" s="35"/>
      <c r="E288" s="35"/>
      <c r="F288" s="35"/>
      <c r="G288" s="35"/>
      <c r="H288" s="35"/>
      <c r="I288" s="100"/>
      <c r="Q288" s="35"/>
    </row>
    <row r="289" spans="1:17" s="12" customFormat="1" x14ac:dyDescent="0.25">
      <c r="A289" s="35"/>
      <c r="B289" s="81"/>
      <c r="D289" s="35"/>
      <c r="E289" s="35"/>
      <c r="F289" s="35"/>
      <c r="G289" s="35"/>
      <c r="H289" s="35"/>
      <c r="I289" s="100"/>
      <c r="Q289" s="35"/>
    </row>
    <row r="290" spans="1:17" s="12" customFormat="1" x14ac:dyDescent="0.25">
      <c r="A290" s="35"/>
      <c r="B290" s="81"/>
      <c r="D290" s="35"/>
      <c r="E290" s="35"/>
      <c r="F290" s="35"/>
      <c r="G290" s="35"/>
      <c r="H290" s="35"/>
      <c r="I290" s="100"/>
      <c r="Q290" s="35"/>
    </row>
    <row r="291" spans="1:17" s="12" customFormat="1" x14ac:dyDescent="0.25">
      <c r="A291" s="35"/>
      <c r="B291" s="81"/>
      <c r="D291" s="35"/>
      <c r="E291" s="35"/>
      <c r="F291" s="35"/>
      <c r="G291" s="35"/>
      <c r="H291" s="35"/>
      <c r="I291" s="100"/>
      <c r="Q291" s="35"/>
    </row>
    <row r="292" spans="1:17" s="12" customFormat="1" x14ac:dyDescent="0.25">
      <c r="A292" s="35"/>
      <c r="B292" s="81"/>
      <c r="D292" s="35"/>
      <c r="E292" s="35"/>
      <c r="F292" s="35"/>
      <c r="G292" s="35"/>
      <c r="H292" s="35"/>
      <c r="I292" s="100"/>
      <c r="Q292" s="35"/>
    </row>
    <row r="293" spans="1:17" s="12" customFormat="1" x14ac:dyDescent="0.25">
      <c r="A293" s="35"/>
      <c r="B293" s="81"/>
      <c r="D293" s="35"/>
      <c r="E293" s="35"/>
      <c r="F293" s="35"/>
      <c r="G293" s="35"/>
      <c r="H293" s="35"/>
      <c r="I293" s="100"/>
      <c r="Q293" s="35"/>
    </row>
    <row r="294" spans="1:17" s="12" customFormat="1" x14ac:dyDescent="0.25">
      <c r="A294" s="35"/>
      <c r="B294" s="81"/>
      <c r="D294" s="35"/>
      <c r="E294" s="35"/>
      <c r="F294" s="35"/>
      <c r="G294" s="35"/>
      <c r="H294" s="35"/>
      <c r="I294" s="100"/>
      <c r="Q294" s="35"/>
    </row>
    <row r="295" spans="1:17" s="12" customFormat="1" x14ac:dyDescent="0.25">
      <c r="A295" s="35"/>
      <c r="B295" s="81"/>
      <c r="D295" s="35"/>
      <c r="E295" s="35"/>
      <c r="F295" s="35"/>
      <c r="G295" s="35"/>
      <c r="H295" s="35"/>
      <c r="I295" s="100"/>
      <c r="Q295" s="35"/>
    </row>
    <row r="296" spans="1:17" s="12" customFormat="1" x14ac:dyDescent="0.25">
      <c r="A296" s="35"/>
      <c r="B296" s="81"/>
      <c r="D296" s="35"/>
      <c r="E296" s="35"/>
      <c r="F296" s="35"/>
      <c r="G296" s="35"/>
      <c r="H296" s="35"/>
      <c r="I296" s="100"/>
      <c r="Q296" s="35"/>
    </row>
    <row r="297" spans="1:17" s="12" customFormat="1" x14ac:dyDescent="0.25">
      <c r="A297" s="35"/>
      <c r="B297" s="81"/>
      <c r="D297" s="35"/>
      <c r="E297" s="35"/>
      <c r="F297" s="35"/>
      <c r="G297" s="35"/>
      <c r="H297" s="35"/>
      <c r="I297" s="100"/>
      <c r="Q297" s="35"/>
    </row>
    <row r="298" spans="1:17" s="12" customFormat="1" x14ac:dyDescent="0.25">
      <c r="A298" s="35"/>
      <c r="B298" s="81"/>
      <c r="D298" s="35"/>
      <c r="E298" s="35"/>
      <c r="F298" s="35"/>
      <c r="G298" s="35"/>
      <c r="H298" s="35"/>
      <c r="I298" s="100"/>
      <c r="Q298" s="35"/>
    </row>
    <row r="299" spans="1:17" s="12" customFormat="1" x14ac:dyDescent="0.25">
      <c r="A299" s="35"/>
      <c r="B299" s="81"/>
      <c r="D299" s="35"/>
      <c r="E299" s="35"/>
      <c r="F299" s="35"/>
      <c r="G299" s="35"/>
      <c r="H299" s="35"/>
      <c r="I299" s="100"/>
      <c r="Q299" s="35"/>
    </row>
    <row r="300" spans="1:17" s="12" customFormat="1" x14ac:dyDescent="0.25">
      <c r="A300" s="35"/>
      <c r="B300" s="119"/>
      <c r="D300" s="35"/>
      <c r="E300" s="35"/>
      <c r="F300" s="35"/>
      <c r="G300" s="35"/>
      <c r="H300" s="35"/>
      <c r="I300" s="100"/>
      <c r="Q300" s="35"/>
    </row>
    <row r="301" spans="1:17" s="12" customFormat="1" x14ac:dyDescent="0.25">
      <c r="A301" s="35"/>
      <c r="B301" s="81"/>
      <c r="D301" s="35"/>
      <c r="E301" s="35"/>
      <c r="F301" s="35"/>
      <c r="G301" s="35"/>
      <c r="H301" s="35"/>
      <c r="I301" s="100"/>
      <c r="Q301" s="35"/>
    </row>
    <row r="302" spans="1:17" s="12" customFormat="1" x14ac:dyDescent="0.25">
      <c r="A302" s="35"/>
      <c r="B302" s="81"/>
      <c r="D302" s="35"/>
      <c r="E302" s="35"/>
      <c r="F302" s="35"/>
      <c r="G302" s="35"/>
      <c r="H302" s="35"/>
      <c r="I302" s="100"/>
      <c r="Q302" s="35"/>
    </row>
    <row r="303" spans="1:17" s="12" customFormat="1" x14ac:dyDescent="0.25">
      <c r="A303" s="35"/>
      <c r="B303" s="81"/>
      <c r="D303" s="35"/>
      <c r="E303" s="35"/>
      <c r="F303" s="35"/>
      <c r="G303" s="35"/>
      <c r="H303" s="35"/>
      <c r="I303" s="100"/>
      <c r="Q303" s="35"/>
    </row>
    <row r="304" spans="1:17" s="12" customFormat="1" x14ac:dyDescent="0.25">
      <c r="A304" s="35"/>
      <c r="B304" s="81"/>
      <c r="D304" s="35"/>
      <c r="E304" s="35"/>
      <c r="F304" s="35"/>
      <c r="G304" s="35"/>
      <c r="H304" s="35"/>
      <c r="I304" s="100"/>
      <c r="Q304" s="35"/>
    </row>
    <row r="305" spans="1:17" s="12" customFormat="1" x14ac:dyDescent="0.25">
      <c r="A305" s="35"/>
      <c r="B305" s="81"/>
      <c r="D305" s="35"/>
      <c r="E305" s="35"/>
      <c r="F305" s="35"/>
      <c r="G305" s="35"/>
      <c r="H305" s="35"/>
      <c r="I305" s="100"/>
      <c r="Q305" s="35"/>
    </row>
    <row r="306" spans="1:17" s="12" customFormat="1" x14ac:dyDescent="0.25">
      <c r="A306" s="35"/>
      <c r="B306" s="81"/>
      <c r="D306" s="35"/>
      <c r="E306" s="35"/>
      <c r="F306" s="35"/>
      <c r="G306" s="35"/>
      <c r="H306" s="35"/>
      <c r="I306" s="100"/>
      <c r="Q306" s="35"/>
    </row>
    <row r="307" spans="1:17" s="12" customFormat="1" x14ac:dyDescent="0.25">
      <c r="A307" s="35"/>
      <c r="B307" s="81"/>
      <c r="D307" s="35"/>
      <c r="E307" s="35"/>
      <c r="F307" s="35"/>
      <c r="G307" s="35"/>
      <c r="H307" s="35"/>
      <c r="I307" s="100"/>
      <c r="Q307" s="35"/>
    </row>
    <row r="308" spans="1:17" s="12" customFormat="1" x14ac:dyDescent="0.25">
      <c r="A308" s="35"/>
      <c r="B308" s="81"/>
      <c r="D308" s="35"/>
      <c r="E308" s="35"/>
      <c r="F308" s="35"/>
      <c r="G308" s="35"/>
      <c r="H308" s="35"/>
      <c r="I308" s="100"/>
      <c r="Q308" s="35"/>
    </row>
    <row r="309" spans="1:17" s="12" customFormat="1" x14ac:dyDescent="0.25">
      <c r="A309" s="35"/>
      <c r="B309" s="81"/>
      <c r="D309" s="35"/>
      <c r="E309" s="35"/>
      <c r="F309" s="35"/>
      <c r="G309" s="35"/>
      <c r="H309" s="35"/>
      <c r="I309" s="100"/>
      <c r="Q309" s="35"/>
    </row>
    <row r="310" spans="1:17" s="12" customFormat="1" x14ac:dyDescent="0.25">
      <c r="A310" s="35"/>
      <c r="B310" s="81"/>
      <c r="D310" s="35"/>
      <c r="E310" s="35"/>
      <c r="F310" s="35"/>
      <c r="G310" s="35"/>
      <c r="H310" s="35"/>
      <c r="I310" s="100"/>
      <c r="Q310" s="35"/>
    </row>
    <row r="311" spans="1:17" s="12" customFormat="1" x14ac:dyDescent="0.25">
      <c r="A311" s="35"/>
      <c r="B311" s="81"/>
      <c r="D311" s="35"/>
      <c r="E311" s="35"/>
      <c r="F311" s="35"/>
      <c r="G311" s="35"/>
      <c r="H311" s="35"/>
      <c r="I311" s="100"/>
      <c r="Q311" s="35"/>
    </row>
    <row r="312" spans="1:17" s="12" customFormat="1" x14ac:dyDescent="0.25">
      <c r="A312" s="35"/>
      <c r="B312" s="81"/>
      <c r="D312" s="35"/>
      <c r="E312" s="35"/>
      <c r="F312" s="35"/>
      <c r="G312" s="35"/>
      <c r="H312" s="35"/>
      <c r="I312" s="100"/>
      <c r="Q312" s="35"/>
    </row>
    <row r="313" spans="1:17" s="12" customFormat="1" x14ac:dyDescent="0.25">
      <c r="A313" s="35"/>
      <c r="B313" s="81"/>
      <c r="D313" s="35"/>
      <c r="E313" s="35"/>
      <c r="F313" s="35"/>
      <c r="G313" s="35"/>
      <c r="H313" s="35"/>
      <c r="I313" s="100"/>
      <c r="Q313" s="35"/>
    </row>
    <row r="314" spans="1:17" s="12" customFormat="1" x14ac:dyDescent="0.25">
      <c r="A314" s="35"/>
      <c r="B314" s="81"/>
      <c r="D314" s="35"/>
      <c r="E314" s="35"/>
      <c r="F314" s="35"/>
      <c r="G314" s="35"/>
      <c r="H314" s="35"/>
      <c r="I314" s="100"/>
      <c r="Q314" s="35"/>
    </row>
    <row r="315" spans="1:17" s="12" customFormat="1" x14ac:dyDescent="0.25">
      <c r="A315" s="35"/>
      <c r="B315" s="81"/>
      <c r="D315" s="35"/>
      <c r="E315" s="35"/>
      <c r="F315" s="35"/>
      <c r="G315" s="35"/>
      <c r="H315" s="35"/>
      <c r="I315" s="100"/>
      <c r="Q315" s="35"/>
    </row>
    <row r="316" spans="1:17" s="12" customFormat="1" x14ac:dyDescent="0.25">
      <c r="A316" s="35"/>
      <c r="B316" s="81"/>
      <c r="D316" s="35"/>
      <c r="E316" s="35"/>
      <c r="F316" s="35"/>
      <c r="G316" s="35"/>
      <c r="H316" s="35"/>
      <c r="I316" s="100"/>
      <c r="Q316" s="35"/>
    </row>
    <row r="317" spans="1:17" s="12" customFormat="1" x14ac:dyDescent="0.25">
      <c r="A317" s="35"/>
      <c r="B317" s="81"/>
      <c r="D317" s="35"/>
      <c r="E317" s="35"/>
      <c r="F317" s="35"/>
      <c r="G317" s="35"/>
      <c r="H317" s="35"/>
      <c r="I317" s="100"/>
      <c r="Q317" s="35"/>
    </row>
    <row r="318" spans="1:17" s="12" customFormat="1" x14ac:dyDescent="0.25">
      <c r="A318" s="35"/>
      <c r="B318" s="81"/>
      <c r="D318" s="35"/>
      <c r="E318" s="35"/>
      <c r="F318" s="35"/>
      <c r="G318" s="35"/>
      <c r="H318" s="35"/>
      <c r="I318" s="100"/>
      <c r="Q318" s="35"/>
    </row>
    <row r="319" spans="1:17" s="12" customFormat="1" x14ac:dyDescent="0.25">
      <c r="A319" s="35"/>
      <c r="B319" s="81"/>
      <c r="D319" s="35"/>
      <c r="E319" s="35"/>
      <c r="F319" s="35"/>
      <c r="G319" s="35"/>
      <c r="H319" s="35"/>
      <c r="I319" s="100"/>
      <c r="Q319" s="35"/>
    </row>
    <row r="320" spans="1:17" s="12" customFormat="1" x14ac:dyDescent="0.25">
      <c r="A320" s="35"/>
      <c r="B320" s="119"/>
      <c r="D320" s="35"/>
      <c r="E320" s="35"/>
      <c r="F320" s="35"/>
      <c r="G320" s="35"/>
      <c r="H320" s="35"/>
      <c r="I320" s="100"/>
      <c r="Q320" s="35"/>
    </row>
    <row r="321" spans="1:17" s="12" customFormat="1" x14ac:dyDescent="0.25">
      <c r="A321" s="35"/>
      <c r="B321" s="119"/>
      <c r="D321" s="35"/>
      <c r="E321" s="35"/>
      <c r="F321" s="35"/>
      <c r="G321" s="35"/>
      <c r="H321" s="35"/>
      <c r="I321" s="100"/>
      <c r="Q321" s="35"/>
    </row>
    <row r="322" spans="1:17" s="12" customFormat="1" x14ac:dyDescent="0.25">
      <c r="A322" s="35"/>
      <c r="B322" s="81"/>
      <c r="D322" s="35"/>
      <c r="E322" s="35"/>
      <c r="F322" s="35"/>
      <c r="G322" s="35"/>
      <c r="H322" s="35"/>
      <c r="I322" s="100"/>
      <c r="Q322" s="35"/>
    </row>
    <row r="323" spans="1:17" s="12" customFormat="1" x14ac:dyDescent="0.25">
      <c r="A323" s="35"/>
      <c r="B323" s="81"/>
      <c r="D323" s="35"/>
      <c r="E323" s="35"/>
      <c r="F323" s="35"/>
      <c r="G323" s="35"/>
      <c r="H323" s="35"/>
      <c r="I323" s="100"/>
      <c r="Q323" s="35"/>
    </row>
    <row r="324" spans="1:17" s="12" customFormat="1" x14ac:dyDescent="0.25">
      <c r="A324" s="35"/>
      <c r="B324" s="81"/>
      <c r="D324" s="35"/>
      <c r="E324" s="35"/>
      <c r="F324" s="35"/>
      <c r="G324" s="35"/>
      <c r="H324" s="35"/>
      <c r="I324" s="100"/>
      <c r="Q324" s="35"/>
    </row>
    <row r="325" spans="1:17" s="12" customFormat="1" x14ac:dyDescent="0.25">
      <c r="A325" s="35"/>
      <c r="B325" s="81"/>
      <c r="D325" s="35"/>
      <c r="E325" s="35"/>
      <c r="F325" s="35"/>
      <c r="G325" s="35"/>
      <c r="H325" s="35"/>
      <c r="I325" s="100"/>
      <c r="Q325" s="35"/>
    </row>
    <row r="326" spans="1:17" s="12" customFormat="1" x14ac:dyDescent="0.25">
      <c r="A326" s="35"/>
      <c r="B326" s="81"/>
      <c r="D326" s="35"/>
      <c r="E326" s="35"/>
      <c r="F326" s="35"/>
      <c r="G326" s="35"/>
      <c r="H326" s="35"/>
      <c r="I326" s="100"/>
      <c r="Q326" s="35"/>
    </row>
    <row r="327" spans="1:17" s="12" customFormat="1" x14ac:dyDescent="0.25">
      <c r="A327" s="35"/>
      <c r="B327" s="81"/>
      <c r="D327" s="35"/>
      <c r="E327" s="35"/>
      <c r="F327" s="35"/>
      <c r="G327" s="35"/>
      <c r="H327" s="35"/>
      <c r="I327" s="100"/>
      <c r="Q327" s="35"/>
    </row>
    <row r="328" spans="1:17" s="12" customFormat="1" x14ac:dyDescent="0.25">
      <c r="A328" s="35"/>
      <c r="B328" s="81"/>
      <c r="D328" s="35"/>
      <c r="E328" s="35"/>
      <c r="F328" s="35"/>
      <c r="G328" s="35"/>
      <c r="H328" s="35"/>
      <c r="I328" s="100"/>
      <c r="Q328" s="35"/>
    </row>
    <row r="329" spans="1:17" s="12" customFormat="1" x14ac:dyDescent="0.25">
      <c r="A329" s="35"/>
      <c r="B329" s="119"/>
      <c r="D329" s="35"/>
      <c r="E329" s="35"/>
      <c r="F329" s="35"/>
      <c r="G329" s="35"/>
      <c r="H329" s="35"/>
      <c r="I329" s="100"/>
      <c r="Q329" s="35"/>
    </row>
    <row r="330" spans="1:17" s="12" customFormat="1" x14ac:dyDescent="0.25">
      <c r="A330" s="35"/>
      <c r="B330" s="119"/>
      <c r="D330" s="35"/>
      <c r="E330" s="35"/>
      <c r="F330" s="35"/>
      <c r="G330" s="35"/>
      <c r="H330" s="35"/>
      <c r="I330" s="100"/>
      <c r="Q330" s="35"/>
    </row>
    <row r="331" spans="1:17" s="12" customFormat="1" x14ac:dyDescent="0.25">
      <c r="A331" s="35"/>
      <c r="B331" s="81"/>
      <c r="D331" s="35"/>
      <c r="E331" s="35"/>
      <c r="F331" s="35"/>
      <c r="G331" s="35"/>
      <c r="H331" s="35"/>
      <c r="I331" s="100"/>
      <c r="Q331" s="35"/>
    </row>
    <row r="332" spans="1:17" s="12" customFormat="1" x14ac:dyDescent="0.25">
      <c r="A332" s="35"/>
      <c r="B332" s="81"/>
      <c r="D332" s="35"/>
      <c r="E332" s="35"/>
      <c r="F332" s="35"/>
      <c r="G332" s="35"/>
      <c r="H332" s="35"/>
      <c r="I332" s="100"/>
      <c r="Q332" s="35"/>
    </row>
    <row r="333" spans="1:17" s="12" customFormat="1" x14ac:dyDescent="0.25">
      <c r="A333" s="35"/>
      <c r="B333" s="81"/>
      <c r="D333" s="35"/>
      <c r="E333" s="35"/>
      <c r="F333" s="35"/>
      <c r="G333" s="35"/>
      <c r="H333" s="35"/>
      <c r="I333" s="100"/>
      <c r="Q333" s="35"/>
    </row>
    <row r="334" spans="1:17" s="12" customFormat="1" x14ac:dyDescent="0.25">
      <c r="A334" s="35"/>
      <c r="B334" s="81"/>
      <c r="D334" s="35"/>
      <c r="E334" s="35"/>
      <c r="F334" s="35"/>
      <c r="G334" s="35"/>
      <c r="H334" s="35"/>
      <c r="I334" s="100"/>
      <c r="Q334" s="35"/>
    </row>
    <row r="335" spans="1:17" s="12" customFormat="1" x14ac:dyDescent="0.25">
      <c r="A335" s="35"/>
      <c r="B335" s="81"/>
      <c r="D335" s="35"/>
      <c r="E335" s="35"/>
      <c r="F335" s="35"/>
      <c r="G335" s="35"/>
      <c r="H335" s="35"/>
      <c r="I335" s="100"/>
      <c r="Q335" s="35"/>
    </row>
    <row r="336" spans="1:17" s="12" customFormat="1" x14ac:dyDescent="0.25">
      <c r="A336" s="35"/>
      <c r="B336" s="81"/>
      <c r="D336" s="35"/>
      <c r="E336" s="35"/>
      <c r="F336" s="35"/>
      <c r="G336" s="35"/>
      <c r="H336" s="35"/>
      <c r="I336" s="100"/>
      <c r="Q336" s="35"/>
    </row>
    <row r="337" spans="1:17" s="12" customFormat="1" x14ac:dyDescent="0.25">
      <c r="A337" s="35"/>
      <c r="B337" s="81"/>
      <c r="D337" s="35"/>
      <c r="E337" s="35"/>
      <c r="F337" s="35"/>
      <c r="G337" s="35"/>
      <c r="H337" s="35"/>
      <c r="I337" s="100"/>
      <c r="Q337" s="35"/>
    </row>
    <row r="338" spans="1:17" s="12" customFormat="1" x14ac:dyDescent="0.25">
      <c r="A338" s="35"/>
      <c r="B338" s="81"/>
      <c r="D338" s="35"/>
      <c r="E338" s="35"/>
      <c r="F338" s="35"/>
      <c r="G338" s="35"/>
      <c r="H338" s="35"/>
      <c r="I338" s="100"/>
      <c r="Q338" s="35"/>
    </row>
    <row r="339" spans="1:17" s="12" customFormat="1" x14ac:dyDescent="0.25">
      <c r="A339" s="35"/>
      <c r="B339" s="81"/>
      <c r="D339" s="35"/>
      <c r="E339" s="35"/>
      <c r="F339" s="35"/>
      <c r="G339" s="35"/>
      <c r="H339" s="35"/>
      <c r="I339" s="100"/>
      <c r="Q339" s="35"/>
    </row>
    <row r="340" spans="1:17" s="12" customFormat="1" x14ac:dyDescent="0.25">
      <c r="A340" s="35"/>
      <c r="B340" s="81"/>
      <c r="D340" s="35"/>
      <c r="E340" s="35"/>
      <c r="F340" s="35"/>
      <c r="G340" s="35"/>
      <c r="H340" s="35"/>
      <c r="I340" s="100"/>
      <c r="Q340" s="35"/>
    </row>
    <row r="341" spans="1:17" s="12" customFormat="1" x14ac:dyDescent="0.25">
      <c r="A341" s="35"/>
      <c r="B341" s="81"/>
      <c r="D341" s="35"/>
      <c r="E341" s="35"/>
      <c r="F341" s="35"/>
      <c r="G341" s="35"/>
      <c r="H341" s="35"/>
      <c r="I341" s="100"/>
      <c r="Q341" s="35"/>
    </row>
    <row r="342" spans="1:17" s="12" customFormat="1" x14ac:dyDescent="0.25">
      <c r="A342" s="35"/>
      <c r="B342" s="119"/>
      <c r="D342" s="35"/>
      <c r="E342" s="35"/>
      <c r="F342" s="35"/>
      <c r="G342" s="35"/>
      <c r="H342" s="35"/>
      <c r="I342" s="100"/>
      <c r="Q342" s="35"/>
    </row>
    <row r="343" spans="1:17" s="12" customFormat="1" x14ac:dyDescent="0.25">
      <c r="A343" s="35"/>
      <c r="B343" s="119"/>
      <c r="D343" s="35"/>
      <c r="E343" s="35"/>
      <c r="F343" s="35"/>
      <c r="G343" s="35"/>
      <c r="H343" s="35"/>
      <c r="I343" s="100"/>
      <c r="Q343" s="35"/>
    </row>
    <row r="344" spans="1:17" s="12" customFormat="1" x14ac:dyDescent="0.25">
      <c r="A344" s="35"/>
      <c r="B344" s="81"/>
      <c r="D344" s="35"/>
      <c r="E344" s="35"/>
      <c r="F344" s="35"/>
      <c r="G344" s="35"/>
      <c r="H344" s="35"/>
      <c r="I344" s="100"/>
      <c r="Q344" s="35"/>
    </row>
    <row r="345" spans="1:17" s="12" customFormat="1" x14ac:dyDescent="0.25">
      <c r="A345" s="35"/>
      <c r="B345" s="81"/>
      <c r="D345" s="35"/>
      <c r="E345" s="35"/>
      <c r="F345" s="35"/>
      <c r="G345" s="35"/>
      <c r="H345" s="35"/>
      <c r="I345" s="100"/>
    </row>
    <row r="346" spans="1:17" s="12" customFormat="1" x14ac:dyDescent="0.25">
      <c r="A346" s="35"/>
      <c r="B346" s="81"/>
      <c r="D346" s="35"/>
      <c r="E346" s="35"/>
      <c r="F346" s="35"/>
      <c r="G346" s="35"/>
      <c r="H346" s="35"/>
      <c r="I346" s="100"/>
    </row>
    <row r="347" spans="1:17" s="12" customFormat="1" x14ac:dyDescent="0.25">
      <c r="A347" s="35"/>
      <c r="B347" s="81"/>
      <c r="D347" s="35"/>
      <c r="E347" s="35"/>
      <c r="F347" s="35"/>
      <c r="G347" s="35"/>
      <c r="H347" s="35"/>
      <c r="I347" s="100"/>
    </row>
    <row r="348" spans="1:17" s="12" customFormat="1" x14ac:dyDescent="0.25">
      <c r="A348" s="35"/>
      <c r="B348" s="81"/>
      <c r="D348" s="35"/>
      <c r="E348" s="35"/>
      <c r="F348" s="35"/>
      <c r="G348" s="35"/>
      <c r="H348" s="35"/>
      <c r="I348" s="100"/>
    </row>
    <row r="349" spans="1:17" s="12" customFormat="1" x14ac:dyDescent="0.25">
      <c r="A349" s="35"/>
      <c r="B349" s="81"/>
      <c r="D349" s="35"/>
      <c r="E349" s="35"/>
      <c r="F349" s="35"/>
      <c r="G349" s="35"/>
      <c r="H349" s="35"/>
      <c r="I349" s="100"/>
    </row>
    <row r="350" spans="1:17" s="12" customFormat="1" x14ac:dyDescent="0.25">
      <c r="A350" s="35"/>
      <c r="B350" s="81"/>
      <c r="D350" s="35"/>
      <c r="E350" s="35"/>
      <c r="F350" s="35"/>
      <c r="G350" s="35"/>
      <c r="H350" s="35"/>
      <c r="I350" s="100"/>
    </row>
    <row r="351" spans="1:17" s="12" customFormat="1" x14ac:dyDescent="0.25">
      <c r="A351" s="35"/>
      <c r="B351" s="119"/>
      <c r="D351" s="35"/>
      <c r="E351" s="35"/>
      <c r="F351" s="35"/>
      <c r="G351" s="35"/>
      <c r="H351" s="35"/>
      <c r="I351" s="100"/>
    </row>
    <row r="352" spans="1:17" s="12" customFormat="1" x14ac:dyDescent="0.25">
      <c r="A352" s="35"/>
      <c r="B352" s="119"/>
      <c r="D352" s="35"/>
      <c r="E352" s="35"/>
      <c r="F352" s="35"/>
      <c r="G352" s="35"/>
      <c r="H352" s="35"/>
      <c r="I352" s="100"/>
    </row>
    <row r="353" spans="1:9" s="12" customFormat="1" x14ac:dyDescent="0.25">
      <c r="A353" s="35"/>
      <c r="B353" s="81"/>
      <c r="D353" s="35"/>
      <c r="E353" s="35"/>
      <c r="F353" s="35"/>
      <c r="G353" s="35"/>
      <c r="H353" s="35"/>
      <c r="I353" s="100"/>
    </row>
    <row r="354" spans="1:9" s="12" customFormat="1" x14ac:dyDescent="0.25">
      <c r="A354" s="35"/>
      <c r="B354" s="81"/>
      <c r="D354" s="35"/>
      <c r="E354" s="35"/>
      <c r="F354" s="35"/>
      <c r="G354" s="35"/>
      <c r="H354" s="35"/>
      <c r="I354" s="100"/>
    </row>
    <row r="355" spans="1:9" s="12" customFormat="1" x14ac:dyDescent="0.25">
      <c r="A355" s="35"/>
      <c r="B355" s="81"/>
      <c r="D355" s="35"/>
      <c r="E355" s="35"/>
      <c r="F355" s="35"/>
      <c r="G355" s="35"/>
      <c r="H355" s="35"/>
      <c r="I355" s="100"/>
    </row>
    <row r="356" spans="1:9" s="12" customFormat="1" x14ac:dyDescent="0.25">
      <c r="A356" s="35"/>
      <c r="B356" s="81"/>
      <c r="D356" s="35"/>
      <c r="E356" s="35"/>
      <c r="F356" s="35"/>
      <c r="G356" s="35"/>
      <c r="H356" s="35"/>
      <c r="I356" s="100"/>
    </row>
    <row r="357" spans="1:9" s="12" customFormat="1" x14ac:dyDescent="0.25">
      <c r="A357" s="35"/>
      <c r="B357" s="81"/>
      <c r="D357" s="35"/>
      <c r="E357" s="35"/>
      <c r="F357" s="35"/>
      <c r="G357" s="35"/>
      <c r="H357" s="35"/>
      <c r="I357" s="100"/>
    </row>
    <row r="358" spans="1:9" s="12" customFormat="1" x14ac:dyDescent="0.25">
      <c r="A358" s="35"/>
      <c r="B358" s="81"/>
      <c r="D358" s="35"/>
      <c r="E358" s="35"/>
      <c r="F358" s="35"/>
      <c r="G358" s="35"/>
      <c r="H358" s="35"/>
      <c r="I358" s="100"/>
    </row>
    <row r="359" spans="1:9" s="12" customFormat="1" x14ac:dyDescent="0.25">
      <c r="A359" s="35"/>
      <c r="B359" s="81"/>
      <c r="D359" s="35"/>
      <c r="E359" s="35"/>
      <c r="F359" s="35"/>
      <c r="G359" s="35"/>
      <c r="H359" s="35"/>
      <c r="I359" s="100"/>
    </row>
    <row r="360" spans="1:9" s="12" customFormat="1" x14ac:dyDescent="0.25">
      <c r="A360" s="35"/>
      <c r="B360" s="119"/>
      <c r="D360" s="35"/>
      <c r="E360" s="35"/>
      <c r="F360" s="35"/>
      <c r="G360" s="35"/>
      <c r="H360" s="35"/>
      <c r="I360" s="100"/>
    </row>
    <row r="361" spans="1:9" s="12" customFormat="1" x14ac:dyDescent="0.25">
      <c r="A361" s="35"/>
      <c r="B361" s="119"/>
      <c r="D361" s="35"/>
      <c r="E361" s="35"/>
      <c r="F361" s="35"/>
      <c r="G361" s="35"/>
      <c r="H361" s="35"/>
      <c r="I361" s="100"/>
    </row>
    <row r="362" spans="1:9" s="12" customFormat="1" x14ac:dyDescent="0.25">
      <c r="A362" s="35"/>
      <c r="B362" s="119"/>
      <c r="D362" s="35"/>
      <c r="E362" s="35"/>
      <c r="F362" s="35"/>
      <c r="G362" s="35"/>
      <c r="H362" s="35"/>
      <c r="I362" s="100"/>
    </row>
    <row r="363" spans="1:9" s="12" customFormat="1" x14ac:dyDescent="0.25">
      <c r="A363" s="35"/>
      <c r="B363" s="119"/>
      <c r="D363" s="35"/>
      <c r="E363" s="35"/>
      <c r="F363" s="35"/>
      <c r="G363" s="35"/>
      <c r="H363" s="35"/>
      <c r="I363" s="100"/>
    </row>
    <row r="364" spans="1:9" s="12" customFormat="1" x14ac:dyDescent="0.25">
      <c r="A364" s="35"/>
      <c r="B364" s="119"/>
      <c r="D364" s="35"/>
      <c r="E364" s="35"/>
      <c r="F364" s="35"/>
      <c r="G364" s="35"/>
      <c r="H364" s="35"/>
      <c r="I364" s="100"/>
    </row>
    <row r="365" spans="1:9" s="12" customFormat="1" x14ac:dyDescent="0.25">
      <c r="A365" s="35"/>
      <c r="B365" s="119"/>
      <c r="D365" s="35"/>
      <c r="E365" s="35"/>
      <c r="F365" s="35"/>
      <c r="G365" s="35"/>
      <c r="H365" s="35"/>
      <c r="I365" s="100"/>
    </row>
    <row r="366" spans="1:9" s="12" customFormat="1" x14ac:dyDescent="0.25">
      <c r="A366" s="35"/>
      <c r="B366" s="119"/>
      <c r="D366" s="35"/>
      <c r="E366" s="35"/>
      <c r="F366" s="35"/>
      <c r="G366" s="35"/>
      <c r="H366" s="35"/>
      <c r="I366" s="100"/>
    </row>
    <row r="367" spans="1:9" s="12" customFormat="1" x14ac:dyDescent="0.25">
      <c r="A367" s="35"/>
      <c r="B367" s="119"/>
      <c r="D367" s="35"/>
      <c r="E367" s="35"/>
      <c r="F367" s="35"/>
      <c r="G367" s="35"/>
      <c r="H367" s="35"/>
      <c r="I367" s="100"/>
    </row>
    <row r="368" spans="1:9" s="12" customFormat="1" x14ac:dyDescent="0.25">
      <c r="A368" s="35"/>
      <c r="B368" s="119"/>
      <c r="D368" s="35"/>
      <c r="E368" s="35"/>
      <c r="F368" s="35"/>
      <c r="G368" s="35"/>
      <c r="H368" s="35"/>
      <c r="I368" s="100"/>
    </row>
    <row r="369" spans="1:9" s="12" customFormat="1" x14ac:dyDescent="0.25">
      <c r="A369" s="35"/>
      <c r="B369" s="119"/>
      <c r="D369" s="35"/>
      <c r="E369" s="35"/>
      <c r="F369" s="35"/>
      <c r="G369" s="35"/>
      <c r="H369" s="35"/>
      <c r="I369" s="100"/>
    </row>
    <row r="370" spans="1:9" s="12" customFormat="1" x14ac:dyDescent="0.25">
      <c r="A370" s="35"/>
      <c r="B370" s="119"/>
      <c r="D370" s="35"/>
      <c r="E370" s="35"/>
      <c r="F370" s="35"/>
      <c r="G370" s="35"/>
      <c r="H370" s="35"/>
      <c r="I370" s="100"/>
    </row>
    <row r="371" spans="1:9" s="12" customFormat="1" x14ac:dyDescent="0.25">
      <c r="A371" s="35"/>
      <c r="B371" s="119"/>
      <c r="D371" s="35"/>
      <c r="E371" s="35"/>
      <c r="F371" s="35"/>
      <c r="G371" s="35"/>
      <c r="H371" s="35"/>
      <c r="I371" s="100"/>
    </row>
    <row r="372" spans="1:9" s="12" customFormat="1" x14ac:dyDescent="0.25">
      <c r="A372" s="35"/>
      <c r="B372" s="119"/>
      <c r="D372" s="35"/>
      <c r="E372" s="35"/>
      <c r="F372" s="35"/>
      <c r="G372" s="35"/>
      <c r="H372" s="35"/>
      <c r="I372" s="100"/>
    </row>
    <row r="373" spans="1:9" s="12" customFormat="1" x14ac:dyDescent="0.25">
      <c r="A373" s="35"/>
      <c r="B373" s="119"/>
      <c r="D373" s="35"/>
      <c r="E373" s="35"/>
      <c r="F373" s="35"/>
      <c r="G373" s="35"/>
      <c r="H373" s="35"/>
      <c r="I373" s="100"/>
    </row>
    <row r="374" spans="1:9" s="12" customFormat="1" x14ac:dyDescent="0.25">
      <c r="A374" s="35"/>
      <c r="B374" s="119"/>
      <c r="D374" s="35"/>
      <c r="E374" s="35"/>
      <c r="F374" s="35"/>
      <c r="G374" s="35"/>
      <c r="H374" s="35"/>
      <c r="I374" s="100"/>
    </row>
    <row r="375" spans="1:9" s="12" customFormat="1" x14ac:dyDescent="0.25">
      <c r="A375" s="35"/>
      <c r="B375" s="119"/>
      <c r="D375" s="35"/>
      <c r="E375" s="35"/>
      <c r="F375" s="35"/>
      <c r="G375" s="35"/>
      <c r="H375" s="35"/>
      <c r="I375" s="100"/>
    </row>
    <row r="376" spans="1:9" s="12" customFormat="1" x14ac:dyDescent="0.25">
      <c r="A376" s="35"/>
      <c r="B376" s="119"/>
      <c r="D376" s="35"/>
      <c r="E376" s="35"/>
      <c r="F376" s="35"/>
      <c r="G376" s="35"/>
      <c r="H376" s="35"/>
      <c r="I376" s="100"/>
    </row>
    <row r="377" spans="1:9" s="12" customFormat="1" x14ac:dyDescent="0.25">
      <c r="A377" s="35"/>
      <c r="B377" s="120"/>
      <c r="D377" s="35"/>
      <c r="E377" s="35"/>
      <c r="F377" s="35"/>
      <c r="G377" s="35"/>
      <c r="H377" s="35"/>
      <c r="I377" s="100"/>
    </row>
    <row r="378" spans="1:9" s="12" customFormat="1" x14ac:dyDescent="0.25">
      <c r="A378" s="35"/>
      <c r="B378" s="121"/>
      <c r="D378" s="35"/>
      <c r="E378" s="35"/>
      <c r="F378" s="35"/>
      <c r="G378" s="35"/>
      <c r="H378" s="35"/>
      <c r="I378" s="100"/>
    </row>
    <row r="379" spans="1:9" s="12" customFormat="1" x14ac:dyDescent="0.25">
      <c r="A379" s="35"/>
      <c r="B379" s="119"/>
      <c r="D379" s="35"/>
      <c r="E379" s="35"/>
      <c r="F379" s="35"/>
      <c r="G379" s="35"/>
      <c r="H379" s="35"/>
      <c r="I379" s="100"/>
    </row>
    <row r="380" spans="1:9" s="12" customFormat="1" x14ac:dyDescent="0.25">
      <c r="A380" s="35"/>
      <c r="B380" s="119"/>
      <c r="D380" s="35"/>
      <c r="E380" s="35"/>
      <c r="F380" s="35"/>
      <c r="G380" s="35"/>
      <c r="H380" s="35"/>
      <c r="I380" s="100"/>
    </row>
    <row r="381" spans="1:9" s="12" customFormat="1" x14ac:dyDescent="0.25">
      <c r="A381" s="35"/>
      <c r="B381" s="119"/>
      <c r="D381" s="35"/>
      <c r="E381" s="35"/>
      <c r="F381" s="35"/>
      <c r="G381" s="35"/>
      <c r="H381" s="35"/>
      <c r="I381" s="100"/>
    </row>
    <row r="382" spans="1:9" s="12" customFormat="1" x14ac:dyDescent="0.25">
      <c r="A382" s="35"/>
      <c r="B382" s="119"/>
      <c r="D382" s="35"/>
      <c r="E382" s="35"/>
      <c r="F382" s="35"/>
      <c r="G382" s="35"/>
      <c r="H382" s="35"/>
      <c r="I382" s="100"/>
    </row>
    <row r="383" spans="1:9" s="12" customFormat="1" x14ac:dyDescent="0.25">
      <c r="A383" s="35"/>
      <c r="B383" s="119"/>
      <c r="D383" s="35"/>
      <c r="E383" s="35"/>
      <c r="F383" s="35"/>
      <c r="G383" s="35"/>
      <c r="H383" s="35"/>
      <c r="I383" s="100"/>
    </row>
    <row r="384" spans="1:9" s="12" customFormat="1" x14ac:dyDescent="0.25">
      <c r="A384" s="35"/>
      <c r="B384" s="120"/>
      <c r="D384" s="35"/>
      <c r="E384" s="35"/>
      <c r="F384" s="35"/>
      <c r="G384" s="35"/>
      <c r="H384" s="35"/>
      <c r="I384" s="100"/>
    </row>
    <row r="385" spans="1:9" s="12" customFormat="1" x14ac:dyDescent="0.25">
      <c r="A385" s="35"/>
      <c r="B385" s="119"/>
      <c r="D385" s="35"/>
      <c r="E385" s="35"/>
      <c r="F385" s="35"/>
      <c r="G385" s="35"/>
      <c r="H385" s="35"/>
      <c r="I385" s="100"/>
    </row>
    <row r="386" spans="1:9" s="12" customFormat="1" x14ac:dyDescent="0.25">
      <c r="A386" s="35"/>
      <c r="B386" s="120"/>
      <c r="D386" s="35"/>
      <c r="E386" s="35"/>
      <c r="F386" s="35"/>
      <c r="G386" s="35"/>
      <c r="H386" s="35"/>
      <c r="I386" s="100"/>
    </row>
    <row r="387" spans="1:9" s="12" customFormat="1" x14ac:dyDescent="0.25">
      <c r="A387" s="35"/>
      <c r="B387" s="119"/>
      <c r="D387" s="35"/>
      <c r="E387" s="35"/>
      <c r="F387" s="35"/>
      <c r="G387" s="35"/>
      <c r="H387" s="35"/>
      <c r="I387" s="100"/>
    </row>
    <row r="388" spans="1:9" s="12" customFormat="1" x14ac:dyDescent="0.25">
      <c r="A388" s="35"/>
      <c r="B388" s="119"/>
      <c r="D388" s="35"/>
      <c r="E388" s="35"/>
      <c r="F388" s="35"/>
      <c r="G388" s="35"/>
      <c r="H388" s="35"/>
      <c r="I388" s="100"/>
    </row>
    <row r="389" spans="1:9" s="12" customFormat="1" x14ac:dyDescent="0.25">
      <c r="A389" s="35"/>
      <c r="B389" s="119"/>
      <c r="D389" s="35"/>
      <c r="E389" s="35"/>
      <c r="F389" s="35"/>
      <c r="G389" s="35"/>
      <c r="H389" s="35"/>
      <c r="I389" s="100"/>
    </row>
    <row r="390" spans="1:9" s="12" customFormat="1" x14ac:dyDescent="0.25">
      <c r="A390" s="35"/>
      <c r="B390" s="119"/>
      <c r="D390" s="35"/>
      <c r="E390" s="35"/>
      <c r="F390" s="35"/>
      <c r="G390" s="35"/>
      <c r="H390" s="35"/>
      <c r="I390" s="100"/>
    </row>
    <row r="391" spans="1:9" s="12" customFormat="1" x14ac:dyDescent="0.25">
      <c r="A391" s="35"/>
      <c r="B391" s="119"/>
      <c r="D391" s="35"/>
      <c r="E391" s="35"/>
      <c r="F391" s="35"/>
      <c r="G391" s="35"/>
      <c r="H391" s="35"/>
      <c r="I391" s="100"/>
    </row>
    <row r="392" spans="1:9" s="12" customFormat="1" x14ac:dyDescent="0.25">
      <c r="A392" s="35"/>
      <c r="B392" s="119"/>
      <c r="D392" s="35"/>
      <c r="E392" s="35"/>
      <c r="F392" s="35"/>
      <c r="G392" s="35"/>
      <c r="H392" s="35"/>
      <c r="I392" s="100"/>
    </row>
    <row r="393" spans="1:9" s="12" customFormat="1" x14ac:dyDescent="0.25">
      <c r="A393" s="35"/>
      <c r="B393" s="119"/>
      <c r="D393" s="35"/>
      <c r="E393" s="35"/>
      <c r="F393" s="35"/>
      <c r="G393" s="35"/>
      <c r="H393" s="35"/>
      <c r="I393" s="100"/>
    </row>
    <row r="394" spans="1:9" s="12" customFormat="1" x14ac:dyDescent="0.25">
      <c r="A394" s="35"/>
      <c r="B394" s="119"/>
      <c r="D394" s="35"/>
      <c r="E394" s="35"/>
      <c r="F394" s="35"/>
      <c r="G394" s="35"/>
      <c r="H394" s="35"/>
      <c r="I394" s="100"/>
    </row>
    <row r="395" spans="1:9" s="12" customFormat="1" x14ac:dyDescent="0.25">
      <c r="A395" s="35"/>
      <c r="B395" s="119"/>
      <c r="D395" s="35"/>
      <c r="E395" s="35"/>
      <c r="F395" s="35"/>
      <c r="G395" s="35"/>
      <c r="H395" s="35"/>
      <c r="I395" s="100"/>
    </row>
    <row r="396" spans="1:9" s="12" customFormat="1" x14ac:dyDescent="0.25">
      <c r="A396" s="35"/>
      <c r="B396" s="119"/>
      <c r="D396" s="35"/>
      <c r="E396" s="35"/>
      <c r="F396" s="35"/>
      <c r="G396" s="35"/>
      <c r="H396" s="35"/>
      <c r="I396" s="100"/>
    </row>
    <row r="397" spans="1:9" s="12" customFormat="1" x14ac:dyDescent="0.25">
      <c r="A397" s="35"/>
      <c r="B397" s="119"/>
      <c r="D397" s="35"/>
      <c r="E397" s="35"/>
      <c r="F397" s="35"/>
      <c r="G397" s="35"/>
      <c r="H397" s="35"/>
      <c r="I397" s="100"/>
    </row>
    <row r="398" spans="1:9" s="12" customFormat="1" x14ac:dyDescent="0.25">
      <c r="A398" s="35"/>
      <c r="B398" s="119"/>
      <c r="D398" s="35"/>
      <c r="E398" s="35"/>
      <c r="F398" s="35"/>
      <c r="G398" s="35"/>
      <c r="H398" s="35"/>
      <c r="I398" s="100"/>
    </row>
    <row r="399" spans="1:9" s="12" customFormat="1" x14ac:dyDescent="0.25">
      <c r="A399" s="35"/>
      <c r="B399" s="119"/>
      <c r="D399" s="35"/>
      <c r="E399" s="35"/>
      <c r="F399" s="35"/>
      <c r="G399" s="35"/>
      <c r="H399" s="35"/>
      <c r="I399" s="100"/>
    </row>
    <row r="400" spans="1:9" s="12" customFormat="1" x14ac:dyDescent="0.25">
      <c r="A400" s="35"/>
      <c r="B400" s="119"/>
      <c r="D400" s="35"/>
      <c r="E400" s="35"/>
      <c r="F400" s="35"/>
      <c r="G400" s="35"/>
      <c r="H400" s="35"/>
      <c r="I400" s="100"/>
    </row>
    <row r="401" spans="1:9" s="12" customFormat="1" x14ac:dyDescent="0.25">
      <c r="A401" s="35"/>
      <c r="B401" s="119"/>
      <c r="D401" s="35"/>
      <c r="E401" s="35"/>
      <c r="F401" s="35"/>
      <c r="G401" s="35"/>
      <c r="H401" s="35"/>
      <c r="I401" s="100"/>
    </row>
    <row r="402" spans="1:9" s="12" customFormat="1" x14ac:dyDescent="0.25">
      <c r="A402" s="35"/>
      <c r="B402" s="120"/>
      <c r="D402" s="35"/>
      <c r="E402" s="35"/>
      <c r="F402" s="35"/>
      <c r="G402" s="35"/>
      <c r="H402" s="35"/>
      <c r="I402" s="100"/>
    </row>
    <row r="403" spans="1:9" s="12" customFormat="1" x14ac:dyDescent="0.25">
      <c r="A403" s="35"/>
      <c r="B403" s="119"/>
      <c r="D403" s="35"/>
      <c r="E403" s="35"/>
      <c r="F403" s="35"/>
      <c r="G403" s="35"/>
      <c r="H403" s="35"/>
      <c r="I403" s="100"/>
    </row>
    <row r="404" spans="1:9" s="12" customFormat="1" x14ac:dyDescent="0.25">
      <c r="A404" s="35"/>
      <c r="B404" s="119"/>
      <c r="D404" s="35"/>
      <c r="E404" s="35"/>
      <c r="F404" s="35"/>
      <c r="G404" s="35"/>
      <c r="H404" s="35"/>
      <c r="I404" s="100"/>
    </row>
    <row r="405" spans="1:9" s="12" customFormat="1" x14ac:dyDescent="0.25">
      <c r="A405" s="35"/>
      <c r="B405" s="119"/>
      <c r="D405" s="35"/>
      <c r="E405" s="35"/>
      <c r="F405" s="35"/>
      <c r="G405" s="35"/>
      <c r="H405" s="35"/>
      <c r="I405" s="100"/>
    </row>
    <row r="406" spans="1:9" s="12" customFormat="1" x14ac:dyDescent="0.25">
      <c r="A406" s="35"/>
      <c r="B406" s="119"/>
      <c r="D406" s="35"/>
      <c r="E406" s="35"/>
      <c r="F406" s="35"/>
      <c r="G406" s="35"/>
      <c r="H406" s="35"/>
      <c r="I406" s="100"/>
    </row>
    <row r="407" spans="1:9" s="12" customFormat="1" x14ac:dyDescent="0.25">
      <c r="A407" s="35"/>
      <c r="B407" s="119"/>
      <c r="D407" s="35"/>
      <c r="E407" s="35"/>
      <c r="F407" s="35"/>
      <c r="G407" s="35"/>
      <c r="H407" s="35"/>
      <c r="I407" s="100"/>
    </row>
    <row r="408" spans="1:9" s="12" customFormat="1" x14ac:dyDescent="0.25">
      <c r="A408" s="35"/>
      <c r="B408" s="119"/>
      <c r="D408" s="35"/>
      <c r="E408" s="35"/>
      <c r="F408" s="35"/>
      <c r="G408" s="35"/>
      <c r="H408" s="35"/>
      <c r="I408" s="100"/>
    </row>
    <row r="409" spans="1:9" s="12" customFormat="1" x14ac:dyDescent="0.25">
      <c r="A409" s="35"/>
      <c r="B409" s="119"/>
      <c r="D409" s="35"/>
      <c r="E409" s="35"/>
      <c r="F409" s="35"/>
      <c r="G409" s="35"/>
      <c r="H409" s="35"/>
      <c r="I409" s="100"/>
    </row>
    <row r="411" spans="1:9" x14ac:dyDescent="0.25">
      <c r="B411" s="122"/>
    </row>
  </sheetData>
  <mergeCells count="10">
    <mergeCell ref="O8:P8"/>
    <mergeCell ref="Q8:Q9"/>
    <mergeCell ref="A1:M1"/>
    <mergeCell ref="A8:A9"/>
    <mergeCell ref="C8:C9"/>
    <mergeCell ref="D8:D9"/>
    <mergeCell ref="F8:G8"/>
    <mergeCell ref="K8:K9"/>
    <mergeCell ref="L8:L9"/>
    <mergeCell ref="M8:N8"/>
  </mergeCells>
  <pageMargins left="0.75" right="0.75" top="1" bottom="1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6" r:id="rId4" name="btnGenerate">
          <controlPr defaultSize="0" autoLine="0" r:id="rId5">
            <anchor moveWithCells="1" sizeWithCells="1">
              <from>
                <xdr:col>4</xdr:col>
                <xdr:colOff>533400</xdr:colOff>
                <xdr:row>2</xdr:row>
                <xdr:rowOff>45720</xdr:rowOff>
              </from>
              <to>
                <xdr:col>7</xdr:col>
                <xdr:colOff>396240</xdr:colOff>
                <xdr:row>3</xdr:row>
                <xdr:rowOff>182880</xdr:rowOff>
              </to>
            </anchor>
          </controlPr>
        </control>
      </mc:Choice>
      <mc:Fallback>
        <control shapeId="1056" r:id="rId4" name="btnGener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EMM</vt:lpstr>
    </vt:vector>
  </TitlesOfParts>
  <Company>AGCO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2016-04-19T15:58:07Z</dcterms:created>
  <dcterms:modified xsi:type="dcterms:W3CDTF">2017-04-06T20:33:26Z</dcterms:modified>
</cp:coreProperties>
</file>