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RG600_Chassis\ExternalLinks\Parts_Store\Chassis\Chassis_Functions\Control_Logic\Track_Adjust\Doc\"/>
    </mc:Choice>
  </mc:AlternateContent>
  <bookViews>
    <workbookView xWindow="11508" yWindow="-12" windowWidth="11544" windowHeight="11316" activeTab="1"/>
  </bookViews>
  <sheets>
    <sheet name="TA" sheetId="2" r:id="rId1"/>
    <sheet name="TA_RG600" sheetId="1" r:id="rId2"/>
  </sheets>
  <functionGroups builtInGroupCount="18"/>
  <externalReferences>
    <externalReference r:id="rId3"/>
    <externalReference r:id="rId4"/>
  </externalReferences>
  <definedNames>
    <definedName name="App._1" localSheetId="0">#REF!</definedName>
    <definedName name="App._1">#REF!</definedName>
    <definedName name="App._11" localSheetId="0">#REF!</definedName>
    <definedName name="App._11">#REF!</definedName>
    <definedName name="App._12" localSheetId="0">#REF!</definedName>
    <definedName name="App._12">#REF!</definedName>
    <definedName name="App._13" localSheetId="0">#REF!</definedName>
    <definedName name="App._13">#REF!</definedName>
    <definedName name="App._14" localSheetId="0">#REF!</definedName>
    <definedName name="App._14">#REF!</definedName>
    <definedName name="App._15" localSheetId="0">#REF!</definedName>
    <definedName name="App._15">#REF!</definedName>
    <definedName name="App._16" localSheetId="0">#REF!</definedName>
    <definedName name="App._16">#REF!</definedName>
    <definedName name="App._17" localSheetId="0">#REF!</definedName>
    <definedName name="App._17">#REF!</definedName>
    <definedName name="App._18" localSheetId="0">#REF!</definedName>
    <definedName name="App._18">#REF!</definedName>
    <definedName name="App._19" localSheetId="0">#REF!</definedName>
    <definedName name="App._19">#REF!</definedName>
    <definedName name="App._2" localSheetId="0">#REF!</definedName>
    <definedName name="App._2">#REF!</definedName>
    <definedName name="App._20" localSheetId="0">#REF!</definedName>
    <definedName name="App._20">#REF!</definedName>
    <definedName name="App._21" localSheetId="0">#REF!</definedName>
    <definedName name="App._21">#REF!</definedName>
    <definedName name="App._22" localSheetId="0">#REF!</definedName>
    <definedName name="App._22">#REF!</definedName>
    <definedName name="App._23" localSheetId="0">#REF!</definedName>
    <definedName name="App._23">#REF!</definedName>
    <definedName name="App._24" localSheetId="0">#REF!</definedName>
    <definedName name="App._24">#REF!</definedName>
    <definedName name="App._25" localSheetId="0">#REF!</definedName>
    <definedName name="App._25">#REF!</definedName>
    <definedName name="App._26" localSheetId="0">#REF!</definedName>
    <definedName name="App._26">#REF!</definedName>
    <definedName name="App._27" localSheetId="0">#REF!</definedName>
    <definedName name="App._27">#REF!</definedName>
    <definedName name="App._28" localSheetId="0">#REF!</definedName>
    <definedName name="App._28">#REF!</definedName>
    <definedName name="App._29" localSheetId="0">#REF!</definedName>
    <definedName name="App._29">#REF!</definedName>
    <definedName name="App._30" localSheetId="0">#REF!</definedName>
    <definedName name="App._30">#REF!</definedName>
    <definedName name="App._5" localSheetId="0">#REF!</definedName>
    <definedName name="App._5">#REF!</definedName>
    <definedName name="App._7" localSheetId="0">#REF!</definedName>
    <definedName name="App._7">#REF!</definedName>
    <definedName name="App._8" localSheetId="0">#REF!</definedName>
    <definedName name="App._8">#REF!</definedName>
    <definedName name="EBT_Anmerkung_1" localSheetId="0">#REF!</definedName>
    <definedName name="EBT_Anmerkung_1">#REF!</definedName>
    <definedName name="EBT_Anmerkung_2" localSheetId="0">#REF!</definedName>
    <definedName name="EBT_Anmerkung_2">#REF!</definedName>
    <definedName name="EHL_ANMERKUNG_1" localSheetId="0">#REF!</definedName>
    <definedName name="EHL_ANMERKUNG_1">#REF!</definedName>
    <definedName name="EHL_ANMERKUNG_2" localSheetId="0">#REF!</definedName>
    <definedName name="EHL_ANMERKUNG_2">#REF!</definedName>
    <definedName name="EMM_ANMERKUNG_1" localSheetId="0">#REF!</definedName>
    <definedName name="EMM_ANMERKUNG_1">#REF!</definedName>
    <definedName name="KHR_ANMERKUNG_1">[1]GD_ID!$A$70:$F$81</definedName>
    <definedName name="KHR_ANMERKUNG_2">[1]GD_ID!$A$83:$F$87</definedName>
    <definedName name="KHR_ANMERKUNG_3">[1]GD_ID!$A$89:$G$100</definedName>
    <definedName name="KHR_ANMERKUNG_4">[1]GD_ID!$A$102:$F$116</definedName>
    <definedName name="Machine_List">'[2]Routing-Data RG3'!$P$23:$P$54</definedName>
    <definedName name="Machine_Select">'[2]Routing-Data RG3'!$P$30</definedName>
    <definedName name="MFA_Anmerkung_1" localSheetId="0">#REF!</definedName>
    <definedName name="MFA_Anmerkung_1">#REF!</definedName>
    <definedName name="MFA_Anmerkung_10" localSheetId="0">#REF!</definedName>
    <definedName name="MFA_Anmerkung_10">#REF!</definedName>
    <definedName name="MFA_Anmerkung_11" localSheetId="0">#REF!</definedName>
    <definedName name="MFA_Anmerkung_11">#REF!</definedName>
    <definedName name="MFA_Anmerkung_2" localSheetId="0">#REF!</definedName>
    <definedName name="MFA_Anmerkung_2">#REF!</definedName>
    <definedName name="MFA_Anmerkung_3" localSheetId="0">#REF!</definedName>
    <definedName name="MFA_Anmerkung_3">#REF!</definedName>
    <definedName name="MFA_Anmerkung_4" localSheetId="0">#REF!</definedName>
    <definedName name="MFA_Anmerkung_4">#REF!</definedName>
    <definedName name="MFA_Anmerkung_5" localSheetId="0">#REF!</definedName>
    <definedName name="MFA_Anmerkung_5">#REF!</definedName>
    <definedName name="MFA_Anmerkung_6" localSheetId="0">#REF!</definedName>
    <definedName name="MFA_Anmerkung_6">#REF!</definedName>
    <definedName name="MFA_Anmerkung_7" localSheetId="0">#REF!</definedName>
    <definedName name="MFA_Anmerkung_7">#REF!</definedName>
    <definedName name="MFA_Anmerkung_8" localSheetId="0">#REF!</definedName>
    <definedName name="MFA_Anmerkung_8">#REF!</definedName>
    <definedName name="MFA_Anmerkung_9" localSheetId="0">#REF!</definedName>
    <definedName name="MFA_Anmerkung_9">#REF!</definedName>
  </definedNames>
  <calcPr calcId="152511"/>
</workbook>
</file>

<file path=xl/calcChain.xml><?xml version="1.0" encoding="utf-8"?>
<calcChain xmlns="http://schemas.openxmlformats.org/spreadsheetml/2006/main">
  <c r="N65" i="1" l="1"/>
  <c r="M65" i="1"/>
  <c r="O65" i="1" s="1"/>
  <c r="P65" i="1" s="1"/>
  <c r="N64" i="1"/>
  <c r="M64" i="1"/>
  <c r="O64" i="1" s="1"/>
  <c r="P64" i="1" s="1"/>
  <c r="N87" i="2"/>
  <c r="M87" i="2"/>
  <c r="O87" i="2" s="1"/>
  <c r="P87" i="2" s="1"/>
  <c r="P86" i="2"/>
  <c r="O86" i="2"/>
  <c r="N86" i="2"/>
  <c r="M86" i="2"/>
  <c r="N85" i="2"/>
  <c r="M85" i="2"/>
  <c r="O85" i="2" s="1"/>
  <c r="P85" i="2" s="1"/>
  <c r="N84" i="2"/>
  <c r="M84" i="2"/>
  <c r="O83" i="2"/>
  <c r="P83" i="2" s="1"/>
  <c r="N83" i="2"/>
  <c r="M83" i="2"/>
  <c r="N82" i="2"/>
  <c r="M82" i="2"/>
  <c r="O82" i="2" s="1"/>
  <c r="P82" i="2" s="1"/>
  <c r="O81" i="2"/>
  <c r="P81" i="2" s="1"/>
  <c r="N81" i="2"/>
  <c r="M81" i="2"/>
  <c r="O80" i="2"/>
  <c r="P80" i="2" s="1"/>
  <c r="N80" i="2"/>
  <c r="M80" i="2"/>
  <c r="N79" i="2"/>
  <c r="M79" i="2"/>
  <c r="O79" i="2" s="1"/>
  <c r="P79" i="2" s="1"/>
  <c r="O78" i="2"/>
  <c r="P78" i="2" s="1"/>
  <c r="N78" i="2"/>
  <c r="M78" i="2"/>
  <c r="O77" i="2"/>
  <c r="P77" i="2" s="1"/>
  <c r="N77" i="2"/>
  <c r="M77" i="2"/>
  <c r="N76" i="2"/>
  <c r="M76" i="2"/>
  <c r="O76" i="2" s="1"/>
  <c r="P76" i="2" s="1"/>
  <c r="P75" i="2"/>
  <c r="O75" i="2"/>
  <c r="N75" i="2"/>
  <c r="M75" i="2"/>
  <c r="O74" i="2"/>
  <c r="P74" i="2" s="1"/>
  <c r="N74" i="2"/>
  <c r="M74" i="2"/>
  <c r="N73" i="2"/>
  <c r="M73" i="2"/>
  <c r="O73" i="2" s="1"/>
  <c r="P73" i="2" s="1"/>
  <c r="P72" i="2"/>
  <c r="O72" i="2"/>
  <c r="N72" i="2"/>
  <c r="M72" i="2"/>
  <c r="O71" i="2"/>
  <c r="P71" i="2" s="1"/>
  <c r="N71" i="2"/>
  <c r="M71" i="2"/>
  <c r="N70" i="2"/>
  <c r="M70" i="2"/>
  <c r="O70" i="2" s="1"/>
  <c r="P70" i="2" s="1"/>
  <c r="O69" i="2"/>
  <c r="P69" i="2" s="1"/>
  <c r="N69" i="2"/>
  <c r="M69" i="2"/>
  <c r="O68" i="2"/>
  <c r="P68" i="2" s="1"/>
  <c r="N68" i="2"/>
  <c r="M68" i="2"/>
  <c r="P67" i="2"/>
  <c r="O67" i="2"/>
  <c r="N67" i="2"/>
  <c r="M67" i="2"/>
  <c r="P66" i="2"/>
  <c r="O66" i="2"/>
  <c r="N66" i="2"/>
  <c r="M66" i="2"/>
  <c r="O65" i="2"/>
  <c r="P65" i="2" s="1"/>
  <c r="N65" i="2"/>
  <c r="M65" i="2"/>
  <c r="P64" i="2"/>
  <c r="O64" i="2"/>
  <c r="N64" i="2"/>
  <c r="M64" i="2"/>
  <c r="O63" i="2"/>
  <c r="P63" i="2" s="1"/>
  <c r="N63" i="2"/>
  <c r="M63" i="2"/>
  <c r="O62" i="2"/>
  <c r="P62" i="2" s="1"/>
  <c r="N62" i="2"/>
  <c r="M62" i="2"/>
  <c r="N61" i="2"/>
  <c r="M61" i="2"/>
  <c r="O61" i="2" s="1"/>
  <c r="P61" i="2" s="1"/>
  <c r="O60" i="2"/>
  <c r="P60" i="2" s="1"/>
  <c r="N60" i="2"/>
  <c r="M60" i="2"/>
  <c r="O59" i="2"/>
  <c r="P59" i="2" s="1"/>
  <c r="N59" i="2"/>
  <c r="M59" i="2"/>
  <c r="N58" i="2"/>
  <c r="M58" i="2"/>
  <c r="O58" i="2" s="1"/>
  <c r="P58" i="2" s="1"/>
  <c r="O57" i="2"/>
  <c r="P57" i="2" s="1"/>
  <c r="N57" i="2"/>
  <c r="M57" i="2"/>
  <c r="O56" i="2"/>
  <c r="P56" i="2" s="1"/>
  <c r="N56" i="2"/>
  <c r="M56" i="2"/>
  <c r="N51" i="2"/>
  <c r="M51" i="2"/>
  <c r="O51" i="2" s="1"/>
  <c r="P51" i="2" s="1"/>
  <c r="O50" i="2"/>
  <c r="P50" i="2" s="1"/>
  <c r="N50" i="2"/>
  <c r="M50" i="2"/>
  <c r="O49" i="2"/>
  <c r="P49" i="2" s="1"/>
  <c r="N49" i="2"/>
  <c r="M49" i="2"/>
  <c r="N48" i="2"/>
  <c r="M48" i="2"/>
  <c r="O48" i="2" s="1"/>
  <c r="P48" i="2" s="1"/>
  <c r="O47" i="2"/>
  <c r="P47" i="2" s="1"/>
  <c r="N47" i="2"/>
  <c r="M47" i="2"/>
  <c r="O46" i="2"/>
  <c r="P46" i="2" s="1"/>
  <c r="N46" i="2"/>
  <c r="M46" i="2"/>
  <c r="N45" i="2"/>
  <c r="M45" i="2"/>
  <c r="O45" i="2" s="1"/>
  <c r="P45" i="2" s="1"/>
  <c r="O44" i="2"/>
  <c r="P44" i="2" s="1"/>
  <c r="N44" i="2"/>
  <c r="M44" i="2"/>
  <c r="O43" i="2"/>
  <c r="P43" i="2" s="1"/>
  <c r="N43" i="2"/>
  <c r="M43" i="2"/>
  <c r="N42" i="2"/>
  <c r="M42" i="2"/>
  <c r="O42" i="2" s="1"/>
  <c r="P42" i="2" s="1"/>
  <c r="O41" i="2"/>
  <c r="P41" i="2" s="1"/>
  <c r="N41" i="2"/>
  <c r="M41" i="2"/>
  <c r="O40" i="2"/>
  <c r="P40" i="2" s="1"/>
  <c r="N40" i="2"/>
  <c r="M40" i="2"/>
  <c r="N37" i="2"/>
  <c r="M37" i="2"/>
  <c r="O37" i="2" s="1"/>
  <c r="P37" i="2" s="1"/>
  <c r="O36" i="2"/>
  <c r="P36" i="2" s="1"/>
  <c r="N36" i="2"/>
  <c r="M36" i="2"/>
  <c r="O29" i="2"/>
  <c r="P29" i="2" s="1"/>
  <c r="N29" i="2"/>
  <c r="M29" i="2"/>
  <c r="N22" i="2"/>
  <c r="M22" i="2"/>
  <c r="O22" i="2" s="1"/>
  <c r="P22" i="2" s="1"/>
  <c r="P21" i="2"/>
  <c r="O21" i="2"/>
  <c r="N21" i="2"/>
  <c r="M21" i="2"/>
  <c r="P20" i="2"/>
  <c r="O20" i="2"/>
  <c r="N20" i="2"/>
  <c r="M20" i="2"/>
  <c r="N19" i="2"/>
  <c r="M19" i="2"/>
  <c r="O19" i="2" s="1"/>
  <c r="P19" i="2" s="1"/>
  <c r="O18" i="2"/>
  <c r="P18" i="2" s="1"/>
  <c r="N18" i="2"/>
  <c r="M18" i="2"/>
  <c r="O17" i="2"/>
  <c r="P17" i="2" s="1"/>
  <c r="N17" i="2"/>
  <c r="M17" i="2"/>
  <c r="N16" i="2"/>
  <c r="M16" i="2"/>
  <c r="O16" i="2" s="1"/>
  <c r="P16" i="2" s="1"/>
  <c r="O15" i="2"/>
  <c r="P15" i="2" s="1"/>
  <c r="N15" i="2"/>
  <c r="M15" i="2"/>
  <c r="O14" i="2"/>
  <c r="P14" i="2" s="1"/>
  <c r="N14" i="2"/>
  <c r="M14" i="2"/>
  <c r="N13" i="2"/>
  <c r="M13" i="2"/>
  <c r="O13" i="2" s="1"/>
  <c r="P13" i="2" s="1"/>
  <c r="O12" i="2"/>
  <c r="P12" i="2" s="1"/>
  <c r="N12" i="2"/>
  <c r="M12" i="2"/>
  <c r="O11" i="2"/>
  <c r="P11" i="2" s="1"/>
  <c r="N11" i="2"/>
  <c r="M11" i="2"/>
  <c r="N83" i="1" l="1"/>
  <c r="M83" i="1"/>
  <c r="O83" i="1" s="1"/>
  <c r="P83" i="1" s="1"/>
  <c r="N82" i="1"/>
  <c r="M82" i="1"/>
  <c r="O82" i="1" s="1"/>
  <c r="P82" i="1" s="1"/>
  <c r="N81" i="1"/>
  <c r="M81" i="1"/>
  <c r="O81" i="1" s="1"/>
  <c r="P81" i="1" s="1"/>
  <c r="N80" i="1"/>
  <c r="M80" i="1"/>
  <c r="O80" i="1" s="1"/>
  <c r="P80" i="1" s="1"/>
  <c r="N43" i="1" l="1"/>
  <c r="M43" i="1"/>
  <c r="O43" i="1" s="1"/>
  <c r="P43" i="1" s="1"/>
  <c r="N42" i="1"/>
  <c r="M42" i="1"/>
  <c r="O42" i="1" s="1"/>
  <c r="P42" i="1" s="1"/>
  <c r="N41" i="1"/>
  <c r="M41" i="1"/>
  <c r="O41" i="1" s="1"/>
  <c r="P41" i="1" s="1"/>
  <c r="N40" i="1"/>
  <c r="M40" i="1"/>
  <c r="O40" i="1" s="1"/>
  <c r="P40" i="1" s="1"/>
  <c r="N79" i="1" l="1"/>
  <c r="M79" i="1"/>
  <c r="O79" i="1" s="1"/>
  <c r="P79" i="1" s="1"/>
  <c r="N78" i="1"/>
  <c r="M78" i="1"/>
  <c r="O78" i="1" s="1"/>
  <c r="P78" i="1" s="1"/>
  <c r="N77" i="1"/>
  <c r="M77" i="1"/>
  <c r="O77" i="1" s="1"/>
  <c r="P77" i="1" s="1"/>
  <c r="N76" i="1"/>
  <c r="M76" i="1"/>
  <c r="O76" i="1" s="1"/>
  <c r="P76" i="1" s="1"/>
  <c r="P86" i="1" l="1"/>
  <c r="O86" i="1"/>
  <c r="N86" i="1"/>
  <c r="M86" i="1"/>
  <c r="P75" i="1"/>
  <c r="O75" i="1"/>
  <c r="N75" i="1"/>
  <c r="M75" i="1"/>
  <c r="P74" i="1"/>
  <c r="O74" i="1"/>
  <c r="N73" i="1"/>
  <c r="M73" i="1"/>
  <c r="O73" i="1" s="1"/>
  <c r="P73" i="1" s="1"/>
  <c r="N71" i="1"/>
  <c r="M71" i="1"/>
  <c r="O71" i="1" s="1"/>
  <c r="P71" i="1" s="1"/>
  <c r="P69" i="1"/>
  <c r="O69" i="1"/>
  <c r="N69" i="1"/>
  <c r="M69" i="1"/>
  <c r="P68" i="1"/>
  <c r="O68" i="1"/>
  <c r="N67" i="1"/>
  <c r="M67" i="1"/>
  <c r="O67" i="1" s="1"/>
  <c r="P67" i="1" s="1"/>
  <c r="P66" i="1"/>
  <c r="O66" i="1"/>
  <c r="N63" i="1"/>
  <c r="M63" i="1"/>
  <c r="O63" i="1" s="1"/>
  <c r="P63" i="1" s="1"/>
  <c r="N61" i="1"/>
  <c r="M61" i="1"/>
  <c r="O61" i="1" s="1"/>
  <c r="P61" i="1" s="1"/>
  <c r="N59" i="1"/>
  <c r="M59" i="1"/>
  <c r="O59" i="1" s="1"/>
  <c r="P59" i="1" s="1"/>
  <c r="N57" i="1"/>
  <c r="M57" i="1"/>
  <c r="O57" i="1" s="1"/>
  <c r="P57" i="1" s="1"/>
  <c r="N51" i="1"/>
  <c r="M51" i="1"/>
  <c r="O51" i="1" s="1"/>
  <c r="P51" i="1" s="1"/>
  <c r="N49" i="1"/>
  <c r="M49" i="1"/>
  <c r="O49" i="1" s="1"/>
  <c r="P49" i="1" s="1"/>
  <c r="N47" i="1"/>
  <c r="M47" i="1"/>
  <c r="O47" i="1" s="1"/>
  <c r="P47" i="1" s="1"/>
  <c r="N45" i="1"/>
  <c r="M45" i="1"/>
  <c r="O45" i="1" s="1"/>
  <c r="P45" i="1" s="1"/>
  <c r="N37" i="1"/>
  <c r="M37" i="1"/>
  <c r="O37" i="1" s="1"/>
  <c r="P37" i="1" s="1"/>
  <c r="N29" i="1"/>
  <c r="M29" i="1"/>
  <c r="O29" i="1" s="1"/>
  <c r="P29" i="1" s="1"/>
  <c r="P21" i="1"/>
  <c r="O21" i="1"/>
  <c r="N21" i="1"/>
  <c r="M21" i="1"/>
  <c r="P20" i="1"/>
  <c r="O20" i="1"/>
  <c r="N19" i="1"/>
  <c r="M19" i="1"/>
  <c r="O19" i="1" s="1"/>
  <c r="P19" i="1" s="1"/>
  <c r="N17" i="1"/>
  <c r="M17" i="1"/>
  <c r="O17" i="1" s="1"/>
  <c r="P17" i="1" s="1"/>
  <c r="N15" i="1"/>
  <c r="M15" i="1"/>
  <c r="O15" i="1" s="1"/>
  <c r="P15" i="1" s="1"/>
  <c r="N13" i="1"/>
  <c r="M13" i="1"/>
  <c r="O13" i="1" s="1"/>
  <c r="P13" i="1" s="1"/>
  <c r="N11" i="1"/>
  <c r="M11" i="1"/>
  <c r="O11" i="1" s="1"/>
  <c r="P11" i="1" s="1"/>
  <c r="M87" i="1"/>
  <c r="O87" i="1" s="1"/>
  <c r="P87" i="1" s="1"/>
  <c r="N87" i="1"/>
  <c r="M12" i="1" l="1"/>
  <c r="O12" i="1" s="1"/>
  <c r="P12" i="1" s="1"/>
  <c r="M14" i="1"/>
  <c r="O14" i="1" s="1"/>
  <c r="P14" i="1" s="1"/>
  <c r="M16" i="1"/>
  <c r="O16" i="1" s="1"/>
  <c r="P16" i="1" s="1"/>
  <c r="M18" i="1"/>
  <c r="O18" i="1" s="1"/>
  <c r="P18" i="1" s="1"/>
  <c r="M20" i="1"/>
  <c r="M22" i="1"/>
  <c r="O22" i="1" s="1"/>
  <c r="P22" i="1" s="1"/>
  <c r="M36" i="1"/>
  <c r="O36" i="1" s="1"/>
  <c r="P36" i="1" s="1"/>
  <c r="M44" i="1"/>
  <c r="O44" i="1" s="1"/>
  <c r="P44" i="1" s="1"/>
  <c r="M46" i="1"/>
  <c r="O46" i="1" s="1"/>
  <c r="P46" i="1" s="1"/>
  <c r="M48" i="1"/>
  <c r="O48" i="1" s="1"/>
  <c r="P48" i="1" s="1"/>
  <c r="M50" i="1"/>
  <c r="O50" i="1" s="1"/>
  <c r="P50" i="1" s="1"/>
  <c r="M56" i="1"/>
  <c r="O56" i="1" s="1"/>
  <c r="P56" i="1" s="1"/>
  <c r="M58" i="1"/>
  <c r="O58" i="1" s="1"/>
  <c r="P58" i="1" s="1"/>
  <c r="M60" i="1"/>
  <c r="O60" i="1" s="1"/>
  <c r="P60" i="1" s="1"/>
  <c r="M62" i="1"/>
  <c r="O62" i="1" s="1"/>
  <c r="P62" i="1" s="1"/>
  <c r="M66" i="1"/>
  <c r="M68" i="1"/>
  <c r="M70" i="1"/>
  <c r="O70" i="1" s="1"/>
  <c r="P70" i="1" s="1"/>
  <c r="M72" i="1"/>
  <c r="O72" i="1" s="1"/>
  <c r="P72" i="1" s="1"/>
  <c r="M74" i="1"/>
  <c r="M84" i="1"/>
  <c r="N12" i="1"/>
  <c r="N14" i="1"/>
  <c r="N16" i="1"/>
  <c r="N18" i="1"/>
  <c r="N20" i="1"/>
  <c r="N22" i="1"/>
  <c r="N36" i="1"/>
  <c r="N44" i="1"/>
  <c r="N46" i="1"/>
  <c r="N48" i="1"/>
  <c r="N50" i="1"/>
  <c r="N56" i="1"/>
  <c r="N58" i="1"/>
  <c r="N60" i="1"/>
  <c r="N62" i="1"/>
  <c r="N66" i="1"/>
  <c r="N68" i="1"/>
  <c r="N70" i="1"/>
  <c r="N72" i="1"/>
  <c r="N74" i="1"/>
  <c r="N84" i="1"/>
  <c r="M85" i="1"/>
  <c r="O85" i="1" s="1"/>
  <c r="P85" i="1" s="1"/>
  <c r="N85" i="1"/>
</calcChain>
</file>

<file path=xl/comments1.xml><?xml version="1.0" encoding="utf-8"?>
<comments xmlns="http://schemas.openxmlformats.org/spreadsheetml/2006/main">
  <authors>
    <author>AGCO</author>
    <author>Edwards, Nick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ECU Logical Node Name</t>
        </r>
      </text>
    </comment>
    <comment ref="D3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short name for ECU logical name</t>
        </r>
      </text>
    </comment>
    <comment ref="C1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Follow the pattern to generate signal information for the logical node</t>
        </r>
      </text>
    </comment>
    <comment ref="D1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R, W, R/W based on the signal type</t>
        </r>
      </text>
    </comment>
    <comment ref="E1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J51" authorId="1" shapeId="0">
      <text>
        <r>
          <rPr>
            <b/>
            <sz val="9"/>
            <color indexed="81"/>
            <rFont val="Tahoma"/>
            <family val="2"/>
          </rPr>
          <t>Edwards, Nick:</t>
        </r>
        <r>
          <rPr>
            <sz val="9"/>
            <color indexed="81"/>
            <rFont val="Tahoma"/>
            <family val="2"/>
          </rPr>
          <t xml:space="preserve">
0 - Normal Operation
1 - Automatic Operation A
2 - Automatic Operation B
3 - Dual Operation
4 - Error</t>
        </r>
      </text>
    </comment>
    <comment ref="A64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Never leave blank spaces between the rows. This will affect generation of files</t>
        </r>
      </text>
    </comment>
    <comment ref="A85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494 for error message signal. This holds good for all logical nodes
</t>
        </r>
      </text>
    </comment>
    <comment ref="A87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Make sure to enter 511 for life message. This holds good for all the logical nodes
</t>
        </r>
      </text>
    </comment>
  </commentList>
</comments>
</file>

<file path=xl/comments2.xml><?xml version="1.0" encoding="utf-8"?>
<comments xmlns="http://schemas.openxmlformats.org/spreadsheetml/2006/main">
  <authors>
    <author>AGCO</author>
    <author>Edwards, Nick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the ECU Logical Node Name</t>
        </r>
      </text>
    </comment>
    <comment ref="D3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short name for ECU logical name</t>
        </r>
      </text>
    </comment>
    <comment ref="C1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Follow the pattern to generate signal information for the logical node</t>
        </r>
      </text>
    </comment>
    <comment ref="D1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R, W, R/W based on the signal type</t>
        </r>
      </text>
    </comment>
    <comment ref="E12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--- to generate 16 bit signal or 0/1 for single bit signal in the generated files</t>
        </r>
      </text>
    </comment>
    <comment ref="J51" authorId="1" shapeId="0">
      <text>
        <r>
          <rPr>
            <b/>
            <sz val="9"/>
            <color indexed="81"/>
            <rFont val="Tahoma"/>
            <family val="2"/>
          </rPr>
          <t>Edwards, Nick:</t>
        </r>
        <r>
          <rPr>
            <sz val="9"/>
            <color indexed="81"/>
            <rFont val="Tahoma"/>
            <family val="2"/>
          </rPr>
          <t xml:space="preserve">
0 - Normal Operation
1 - Automatic Operation A
2 - Automatic Operation B
3 - Dual Operation
4 - Error</t>
        </r>
      </text>
    </comment>
    <comment ref="A66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Never leave blank spaces between the rows. This will affect generation of files</t>
        </r>
      </text>
    </comment>
    <comment ref="A85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Enter 494 for error message signal. This holds good for all logical nodes
</t>
        </r>
      </text>
    </comment>
    <comment ref="A87" authorId="0" shapeId="0">
      <text>
        <r>
          <rPr>
            <b/>
            <sz val="8"/>
            <color indexed="81"/>
            <rFont val="Tahoma"/>
            <family val="2"/>
          </rPr>
          <t>AGCO:</t>
        </r>
        <r>
          <rPr>
            <sz val="8"/>
            <color indexed="81"/>
            <rFont val="Tahoma"/>
            <family val="2"/>
          </rPr>
          <t xml:space="preserve">
Make sure to enter 511 for life message. This holds good for all the logical nodes
</t>
        </r>
      </text>
    </comment>
  </commentList>
</comments>
</file>

<file path=xl/sharedStrings.xml><?xml version="1.0" encoding="utf-8"?>
<sst xmlns="http://schemas.openxmlformats.org/spreadsheetml/2006/main" count="682" uniqueCount="166">
  <si>
    <t>Track Adjust</t>
  </si>
  <si>
    <t>Logical name:</t>
  </si>
  <si>
    <t>TA</t>
  </si>
  <si>
    <t>Physical Node:</t>
  </si>
  <si>
    <t>Logical Node:</t>
  </si>
  <si>
    <t>Index
0 - 511</t>
  </si>
  <si>
    <t>Status</t>
  </si>
  <si>
    <t>Variable Name
Begin with GD_ID_XXX_</t>
  </si>
  <si>
    <t>Access
R, W, R/W</t>
  </si>
  <si>
    <t>Data - Min/Max</t>
  </si>
  <si>
    <t>Offset</t>
  </si>
  <si>
    <t>Scaling</t>
  </si>
  <si>
    <t>Unit</t>
  </si>
  <si>
    <t>Data
Dimension</t>
  </si>
  <si>
    <t>Description</t>
  </si>
  <si>
    <t>Subscriber Number</t>
  </si>
  <si>
    <t>Globaler Index</t>
  </si>
  <si>
    <t>NT01 Reference</t>
  </si>
  <si>
    <t>Used by EDT</t>
  </si>
  <si>
    <t>Nodes to Respond to Variable</t>
  </si>
  <si>
    <t>Nodes to Request Variable</t>
  </si>
  <si>
    <t>Nodes to Immediate Write Variable</t>
  </si>
  <si>
    <t>Value Table Name For 16 Bit Value</t>
  </si>
  <si>
    <t>Value Text Description</t>
  </si>
  <si>
    <t>Value</t>
  </si>
  <si>
    <t>Bit Table Name For 1 Bit Status</t>
  </si>
  <si>
    <t>Bit Value Description</t>
  </si>
  <si>
    <t>Bit Value</t>
  </si>
  <si>
    <t>(P/I/R)</t>
  </si>
  <si>
    <t>DB5 - Bit7</t>
  </si>
  <si>
    <t xml:space="preserve">MIN </t>
  </si>
  <si>
    <t>Max</t>
  </si>
  <si>
    <t>Factor</t>
  </si>
  <si>
    <t>Logical Node</t>
  </si>
  <si>
    <t>Phy Node</t>
  </si>
  <si>
    <t>Dec</t>
  </si>
  <si>
    <t>Hex</t>
  </si>
  <si>
    <t>GD_ID_Current_Track_Width</t>
  </si>
  <si>
    <t>---</t>
  </si>
  <si>
    <t>mm</t>
  </si>
  <si>
    <t>Current Track Width</t>
  </si>
  <si>
    <t>x</t>
  </si>
  <si>
    <t>GD_ID_TA_Min_Track_Width</t>
  </si>
  <si>
    <t>Small track width setting</t>
  </si>
  <si>
    <t>GD_ID_Max_Track_Width</t>
  </si>
  <si>
    <t>Wide track width setting</t>
  </si>
  <si>
    <t>GD_ID_Calib_State_Track_Width</t>
  </si>
  <si>
    <t>1/0</t>
  </si>
  <si>
    <t>TRUE/FALSE</t>
  </si>
  <si>
    <t>Track width calibrated</t>
  </si>
  <si>
    <t>GD_ID_TA_Front_Axle_Width</t>
  </si>
  <si>
    <t>Axle width front axle</t>
  </si>
  <si>
    <t>GD_ID_TA_Front_Track_Width</t>
  </si>
  <si>
    <t>Track width front axle</t>
  </si>
  <si>
    <t>-g</t>
  </si>
  <si>
    <t>GD_ID_TA_Rear_Axle_Width</t>
  </si>
  <si>
    <t>Axle width rear axle</t>
  </si>
  <si>
    <t>GD_ID_TA_Rear_Track_Width</t>
  </si>
  <si>
    <t>Track width rear axle</t>
  </si>
  <si>
    <t>GD_ID_Track_Adjust_Errors</t>
  </si>
  <si>
    <t>1 bit/error</t>
  </si>
  <si>
    <t>Track adjust errors</t>
  </si>
  <si>
    <t xml:space="preserve"> </t>
  </si>
  <si>
    <t>0x00 No errors</t>
  </si>
  <si>
    <t>0x01 Difference front and rear axle too big</t>
  </si>
  <si>
    <t>GD_ID_TA_Calibration_Command</t>
  </si>
  <si>
    <t>Calibration Command</t>
  </si>
  <si>
    <t>NT01</t>
  </si>
  <si>
    <t>Start</t>
  </si>
  <si>
    <t>XXXXXXXXXXXXXXXXXXXXX</t>
  </si>
  <si>
    <t>Proceed From Step1</t>
  </si>
  <si>
    <t>Proceed From Step2</t>
  </si>
  <si>
    <t>Proceed From Step3</t>
  </si>
  <si>
    <t>Accept-Proceed From Step4</t>
  </si>
  <si>
    <t>Decline-Proceed From Step4</t>
  </si>
  <si>
    <t>Abort</t>
  </si>
  <si>
    <t>GD_ID_TA_Calibration_State</t>
  </si>
  <si>
    <t>Calibration State</t>
  </si>
  <si>
    <t>-gu</t>
  </si>
  <si>
    <t>Step1 - Begin Calib</t>
  </si>
  <si>
    <t>Step2 - Min Track</t>
  </si>
  <si>
    <t>Step3 - Max Track</t>
  </si>
  <si>
    <t>Step4 - User AcceptOrDeny</t>
  </si>
  <si>
    <t>Calibration Finished</t>
  </si>
  <si>
    <t>Calibration Error</t>
  </si>
  <si>
    <t>GD_ID_TA_MANUAL_IN</t>
  </si>
  <si>
    <t>immediate write for manual tracking (calibrations)</t>
  </si>
  <si>
    <t>-gs</t>
  </si>
  <si>
    <t>GD_ID_TA_MANUAL_OUT</t>
  </si>
  <si>
    <t>GD_ID_TA_Actual_Front_In</t>
  </si>
  <si>
    <t>ON/OFF</t>
  </si>
  <si>
    <t>Report valve state front axle in</t>
  </si>
  <si>
    <t>GD_ID_TA_Actual_Front_Out</t>
  </si>
  <si>
    <t>Report valve state front axle out</t>
  </si>
  <si>
    <t>GD_ID_TA_Actual_Rear_In</t>
  </si>
  <si>
    <t>Report valve state rear axle in</t>
  </si>
  <si>
    <t>GD_ID_TA_Actual_Rear_Out</t>
  </si>
  <si>
    <t>Report valve state rear axle out</t>
  </si>
  <si>
    <t>GD_ID_Track_Adjust_Equipped</t>
  </si>
  <si>
    <t>YES/NO</t>
  </si>
  <si>
    <t>Report if machine has Track Adjust</t>
  </si>
  <si>
    <t>GD_ID_TA_Min_Tire_Track_Width</t>
  </si>
  <si>
    <t>Current Tire Mininimal Track Width</t>
  </si>
  <si>
    <t>GD_ID_Current_Axle_Width</t>
  </si>
  <si>
    <t>Current Axle Width</t>
  </si>
  <si>
    <t>GD_ID_TA_Operation_State</t>
  </si>
  <si>
    <t>enum</t>
  </si>
  <si>
    <t>Manual</t>
  </si>
  <si>
    <t>AutoA</t>
  </si>
  <si>
    <t>AutoB</t>
  </si>
  <si>
    <t>AutoDual</t>
  </si>
  <si>
    <t>GD_ID_TA_In_Tolerance</t>
  </si>
  <si>
    <t>bool</t>
  </si>
  <si>
    <t>GD_ID_TA_Auto_Enable_A</t>
  </si>
  <si>
    <t>GD_ID_TA_Auto_Enable_B</t>
  </si>
  <si>
    <t>GD_ID_TA_Auto_Enable_Dual</t>
  </si>
  <si>
    <t>GD_ID_TA_Setpoint_A</t>
  </si>
  <si>
    <t>GD_ID_TA_Setpoint_B</t>
  </si>
  <si>
    <t>GD_ID_TA_Setpoint_Dual_Front</t>
  </si>
  <si>
    <t>GD_ID_TA_Setpoint_Dual_Rear</t>
  </si>
  <si>
    <t>GD_ID_TA_Equipped</t>
  </si>
  <si>
    <t>Report if machine is equipped with track adjust</t>
  </si>
  <si>
    <t>GD_ID_TA_FL_POSITION</t>
  </si>
  <si>
    <t>GD_ID_TA_FR_POSITION</t>
  </si>
  <si>
    <t>GD_ID_TA_RL_POSITION</t>
  </si>
  <si>
    <t>GD_ID_TA_RR_POSITION</t>
  </si>
  <si>
    <t>GD_ID_TA_Setpoint_A_Rear</t>
  </si>
  <si>
    <t>GD_ID_TA_Setpoint_B_Rear</t>
  </si>
  <si>
    <t>GD_ID_TA_ErrorManagement</t>
  </si>
  <si>
    <t>W</t>
  </si>
  <si>
    <t>Error Code</t>
  </si>
  <si>
    <t>Return path for fault management (acknowledgment)</t>
  </si>
  <si>
    <t>GD_ID_TA_LifeMessage</t>
  </si>
  <si>
    <t>R</t>
  </si>
  <si>
    <t>ms</t>
  </si>
  <si>
    <t>mSec</t>
  </si>
  <si>
    <t>Lifemessage</t>
  </si>
  <si>
    <t>End</t>
  </si>
  <si>
    <t>Anl. 1:</t>
  </si>
  <si>
    <t>0 = OFF</t>
  </si>
  <si>
    <t>1 = ON</t>
  </si>
  <si>
    <t>2 = Flashing</t>
  </si>
  <si>
    <t>GD_ID_TA_TARGET_TRACKWIDTH_FL</t>
  </si>
  <si>
    <t>Target width for the FL track</t>
  </si>
  <si>
    <t>GD_ID_TA_TARGET_TRACKWIDTH_FR</t>
  </si>
  <si>
    <t>GD_ID_TA_TARGET_TRACKWIDTH_RL</t>
  </si>
  <si>
    <t>GD_ID_TA_TARGET_TRACKWIDTH_RR</t>
  </si>
  <si>
    <t>Target width for the FR track</t>
  </si>
  <si>
    <t>Target width for the RL track</t>
  </si>
  <si>
    <t>Target width for the RR track</t>
  </si>
  <si>
    <t>GD_ID_TA_Actual_Front_In_R</t>
  </si>
  <si>
    <t>GD_ID_TA_Actual_Front_Out_R</t>
  </si>
  <si>
    <t>GD_ID_TA_Actual_Rear_In_R</t>
  </si>
  <si>
    <t>GD_ID_TA_Actual_Rear_Out_R</t>
  </si>
  <si>
    <t>Report valve state front axle in for Right side</t>
  </si>
  <si>
    <t>Report valve state front axle out for Right side</t>
  </si>
  <si>
    <t>Report valve state rear axle in for Right side</t>
  </si>
  <si>
    <t>Report valve state rear axle out for Right side</t>
  </si>
  <si>
    <t>Transition</t>
  </si>
  <si>
    <t>idle</t>
  </si>
  <si>
    <t>active</t>
  </si>
  <si>
    <t>GD_ID_TA_ADDITIONAL_WIDTH_FL</t>
  </si>
  <si>
    <t>GD_ID_TA_ADDITIONAL_WIDTH_FR</t>
  </si>
  <si>
    <t>GD_ID_TA_ADDITIONAL_WIDTH_RL</t>
  </si>
  <si>
    <t>GD_ID_TA_ADDITIONAL_WIDTH_RR</t>
  </si>
  <si>
    <t>Additional track width accounting for height of leg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</si>
</sst>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\ &quot;DM&quot;_-;\-* #,##0.00\ &quot;DM&quot;_-;_-* &quot;-&quot;??\ &quot;DM&quot;_-;_-@_-"/>
    <numFmt numFmtId="165" formatCode="_-* #,##0.00\ [$€]_-;\-* #,##0.00\ [$€]_-;_-* &quot;-&quot;??\ [$€]_-;_-@_-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  <charset val="204"/>
    </font>
    <font>
      <b/>
      <sz val="11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b/>
      <sz val="10"/>
      <name val="Arial"/>
      <family val="2"/>
      <charset val="204"/>
    </font>
    <font>
      <sz val="10"/>
      <color indexed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u/>
      <sz val="10"/>
      <color indexed="12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charset val="204"/>
      <scheme val="minor"/>
    </font>
    <font>
      <sz val="11"/>
      <color indexed="20"/>
      <name val="Calibri"/>
      <family val="2"/>
    </font>
    <font>
      <b/>
      <i/>
      <sz val="16"/>
      <name val="Courier New"/>
      <family val="3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55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238">
    <xf numFmtId="0" fontId="0" fillId="0" borderId="0"/>
    <xf numFmtId="164" fontId="2" fillId="0" borderId="0" applyFont="0" applyFill="0" applyBorder="0" applyAlignment="0" applyProtection="0"/>
    <xf numFmtId="0" fontId="5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11" borderId="0" applyNumberFormat="0" applyBorder="0" applyAlignment="0" applyProtection="0"/>
    <xf numFmtId="0" fontId="15" fillId="6" borderId="0" applyNumberFormat="0" applyBorder="0" applyAlignment="0" applyProtection="0"/>
    <xf numFmtId="0" fontId="15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20" borderId="0" applyNumberFormat="0" applyBorder="0" applyAlignment="0" applyProtection="0"/>
    <xf numFmtId="0" fontId="17" fillId="21" borderId="23" applyNumberFormat="0" applyAlignment="0" applyProtection="0"/>
    <xf numFmtId="0" fontId="18" fillId="21" borderId="24" applyNumberFormat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9" fillId="8" borderId="24" applyNumberFormat="0" applyAlignment="0" applyProtection="0"/>
    <xf numFmtId="0" fontId="20" fillId="0" borderId="25" applyNumberFormat="0" applyFill="0" applyAlignment="0" applyProtection="0"/>
    <xf numFmtId="0" fontId="21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0" fontId="22" fillId="5" borderId="0" applyNumberFormat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22" borderId="26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6" fillId="4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7" fillId="0" borderId="0" applyNumberFormat="0" applyFill="0" applyBorder="0" applyProtection="0">
      <alignment horizontal="center"/>
    </xf>
    <xf numFmtId="0" fontId="28" fillId="0" borderId="27" applyNumberFormat="0" applyFill="0" applyAlignment="0" applyProtection="0"/>
    <xf numFmtId="0" fontId="29" fillId="0" borderId="28" applyNumberFormat="0" applyFill="0" applyAlignment="0" applyProtection="0"/>
    <xf numFmtId="0" fontId="30" fillId="0" borderId="29" applyNumberFormat="0" applyFill="0" applyAlignment="0" applyProtection="0"/>
    <xf numFmtId="0" fontId="30" fillId="0" borderId="0" applyNumberFormat="0" applyFill="0" applyBorder="0" applyAlignment="0" applyProtection="0"/>
    <xf numFmtId="0" fontId="27" fillId="0" borderId="0" applyNumberFormat="0" applyFill="0" applyBorder="0" applyProtection="0">
      <alignment horizontal="center"/>
    </xf>
    <xf numFmtId="0" fontId="31" fillId="0" borderId="0" applyNumberFormat="0" applyFill="0" applyBorder="0" applyAlignment="0" applyProtection="0"/>
    <xf numFmtId="0" fontId="32" fillId="0" borderId="30" applyNumberFormat="0" applyFill="0" applyAlignment="0" applyProtection="0"/>
    <xf numFmtId="0" fontId="33" fillId="0" borderId="0" applyNumberFormat="0" applyFill="0" applyBorder="0" applyAlignment="0" applyProtection="0"/>
    <xf numFmtId="0" fontId="34" fillId="23" borderId="31" applyNumberFormat="0" applyAlignment="0" applyProtection="0"/>
  </cellStyleXfs>
  <cellXfs count="14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0" xfId="0" applyFont="1" applyFill="1" applyAlignment="1">
      <alignment horizontal="centerContinuous"/>
    </xf>
    <xf numFmtId="0" fontId="4" fillId="0" borderId="0" xfId="2" applyFont="1" applyFill="1" applyAlignment="1">
      <alignment horizontal="centerContinuous"/>
    </xf>
    <xf numFmtId="0" fontId="6" fillId="0" borderId="0" xfId="0" applyFont="1" applyAlignment="1">
      <alignment horizontal="center"/>
    </xf>
    <xf numFmtId="0" fontId="6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Continuous"/>
    </xf>
    <xf numFmtId="0" fontId="0" fillId="0" borderId="0" xfId="0" applyFill="1" applyAlignment="1">
      <alignment horizontal="centerContinuous"/>
    </xf>
    <xf numFmtId="0" fontId="0" fillId="0" borderId="0" xfId="0" applyFill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4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Continuous"/>
    </xf>
    <xf numFmtId="0" fontId="7" fillId="0" borderId="0" xfId="0" applyFont="1" applyFill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Continuous"/>
    </xf>
    <xf numFmtId="0" fontId="7" fillId="0" borderId="5" xfId="0" applyFont="1" applyFill="1" applyBorder="1" applyAlignment="1">
      <alignment horizontal="center"/>
    </xf>
    <xf numFmtId="0" fontId="5" fillId="0" borderId="0" xfId="2" applyFill="1"/>
    <xf numFmtId="0" fontId="9" fillId="0" borderId="0" xfId="4" applyFont="1" applyBorder="1" applyAlignment="1">
      <alignment horizontal="center" vertical="top" wrapText="1"/>
    </xf>
    <xf numFmtId="0" fontId="8" fillId="0" borderId="0" xfId="3" applyFont="1" applyBorder="1" applyAlignment="1">
      <alignment horizontal="center" vertical="top"/>
    </xf>
    <xf numFmtId="0" fontId="8" fillId="0" borderId="0" xfId="3" applyFont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top" wrapText="1"/>
    </xf>
    <xf numFmtId="49" fontId="7" fillId="2" borderId="0" xfId="0" applyNumberFormat="1" applyFont="1" applyFill="1" applyBorder="1" applyAlignment="1">
      <alignment horizontal="center" vertical="top" wrapText="1"/>
    </xf>
    <xf numFmtId="0" fontId="7" fillId="2" borderId="5" xfId="0" applyFont="1" applyFill="1" applyBorder="1" applyAlignment="1">
      <alignment horizontal="center" vertical="center"/>
    </xf>
    <xf numFmtId="49" fontId="7" fillId="2" borderId="0" xfId="0" applyNumberFormat="1" applyFont="1" applyFill="1" applyBorder="1" applyAlignment="1">
      <alignment horizontal="center" vertical="center" wrapText="1"/>
    </xf>
    <xf numFmtId="49" fontId="7" fillId="2" borderId="0" xfId="0" applyNumberFormat="1" applyFont="1" applyFill="1" applyBorder="1" applyAlignment="1">
      <alignment horizontal="center" vertical="center"/>
    </xf>
    <xf numFmtId="0" fontId="9" fillId="0" borderId="0" xfId="4" applyFont="1" applyBorder="1" applyAlignment="1">
      <alignment horizontal="center" vertical="top"/>
    </xf>
    <xf numFmtId="0" fontId="2" fillId="0" borderId="0" xfId="3" applyFont="1" applyBorder="1" applyAlignment="1">
      <alignment horizontal="center" vertical="top"/>
    </xf>
    <xf numFmtId="0" fontId="7" fillId="0" borderId="0" xfId="3" applyFont="1" applyBorder="1" applyAlignment="1">
      <alignment horizontal="center" vertical="top"/>
    </xf>
    <xf numFmtId="0" fontId="2" fillId="0" borderId="4" xfId="3" applyBorder="1" applyAlignment="1">
      <alignment vertical="top"/>
    </xf>
    <xf numFmtId="0" fontId="2" fillId="0" borderId="0" xfId="3" applyBorder="1" applyAlignment="1">
      <alignment vertical="top"/>
    </xf>
    <xf numFmtId="0" fontId="2" fillId="0" borderId="5" xfId="3" applyBorder="1" applyAlignment="1">
      <alignment vertical="top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/>
    <xf numFmtId="0" fontId="5" fillId="0" borderId="6" xfId="2" applyFont="1" applyBorder="1" applyAlignment="1">
      <alignment wrapText="1"/>
    </xf>
    <xf numFmtId="0" fontId="0" fillId="0" borderId="6" xfId="0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0" fillId="0" borderId="6" xfId="0" applyBorder="1" applyAlignment="1">
      <alignment wrapText="1"/>
    </xf>
    <xf numFmtId="0" fontId="8" fillId="0" borderId="6" xfId="0" applyFont="1" applyBorder="1"/>
    <xf numFmtId="0" fontId="2" fillId="0" borderId="7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5" fillId="0" borderId="10" xfId="2" applyFont="1" applyBorder="1" applyAlignment="1">
      <alignment horizontal="center"/>
    </xf>
    <xf numFmtId="0" fontId="0" fillId="0" borderId="11" xfId="0" applyBorder="1"/>
    <xf numFmtId="0" fontId="2" fillId="0" borderId="11" xfId="0" quotePrefix="1" applyFont="1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0" fillId="0" borderId="11" xfId="0" quotePrefix="1" applyBorder="1" applyAlignment="1">
      <alignment horizontal="center" wrapText="1"/>
    </xf>
    <xf numFmtId="0" fontId="0" fillId="0" borderId="0" xfId="0" quotePrefix="1" applyBorder="1" applyAlignment="1">
      <alignment horizontal="center" wrapText="1"/>
    </xf>
    <xf numFmtId="0" fontId="0" fillId="0" borderId="12" xfId="0" applyFill="1" applyBorder="1" applyAlignment="1">
      <alignment horizontal="center"/>
    </xf>
    <xf numFmtId="0" fontId="0" fillId="0" borderId="9" xfId="0" applyBorder="1"/>
    <xf numFmtId="0" fontId="0" fillId="0" borderId="11" xfId="0" applyBorder="1" applyAlignment="1">
      <alignment horizontal="center"/>
    </xf>
    <xf numFmtId="0" fontId="2" fillId="0" borderId="12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/>
    </xf>
    <xf numFmtId="2" fontId="2" fillId="0" borderId="13" xfId="0" applyNumberFormat="1" applyFont="1" applyBorder="1" applyAlignment="1">
      <alignment horizontal="center"/>
    </xf>
    <xf numFmtId="2" fontId="2" fillId="0" borderId="13" xfId="5" applyNumberFormat="1" applyFont="1" applyBorder="1" applyAlignment="1">
      <alignment horizontal="center"/>
    </xf>
    <xf numFmtId="2" fontId="2" fillId="0" borderId="14" xfId="5" applyNumberFormat="1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0" fontId="0" fillId="0" borderId="11" xfId="0" applyFill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2" fillId="0" borderId="16" xfId="5" applyBorder="1" applyAlignment="1">
      <alignment horizontal="center"/>
    </xf>
    <xf numFmtId="0" fontId="2" fillId="0" borderId="0" xfId="5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1" xfId="0" quotePrefix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2" fillId="0" borderId="11" xfId="0" applyFont="1" applyBorder="1"/>
    <xf numFmtId="0" fontId="2" fillId="0" borderId="4" xfId="5" applyBorder="1"/>
    <xf numFmtId="0" fontId="2" fillId="0" borderId="0" xfId="5" applyBorder="1"/>
    <xf numFmtId="0" fontId="2" fillId="0" borderId="5" xfId="5" applyBorder="1"/>
    <xf numFmtId="0" fontId="2" fillId="0" borderId="11" xfId="5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2" fillId="0" borderId="11" xfId="5" applyNumberFormat="1" applyFont="1" applyBorder="1" applyAlignment="1">
      <alignment horizontal="center"/>
    </xf>
    <xf numFmtId="2" fontId="2" fillId="0" borderId="0" xfId="5" applyNumberFormat="1" applyFont="1" applyBorder="1" applyAlignment="1">
      <alignment horizontal="center"/>
    </xf>
    <xf numFmtId="0" fontId="10" fillId="0" borderId="11" xfId="0" applyFont="1" applyBorder="1" applyAlignment="1">
      <alignment horizontal="center" wrapText="1"/>
    </xf>
    <xf numFmtId="0" fontId="2" fillId="0" borderId="9" xfId="6" applyBorder="1" applyAlignment="1">
      <alignment horizontal="center"/>
    </xf>
    <xf numFmtId="0" fontId="2" fillId="0" borderId="11" xfId="6" applyBorder="1"/>
    <xf numFmtId="0" fontId="2" fillId="0" borderId="11" xfId="6" applyBorder="1" applyAlignment="1">
      <alignment horizontal="center"/>
    </xf>
    <xf numFmtId="0" fontId="2" fillId="0" borderId="11" xfId="6" applyBorder="1" applyAlignment="1">
      <alignment horizontal="center" wrapText="1"/>
    </xf>
    <xf numFmtId="0" fontId="2" fillId="0" borderId="0" xfId="6" applyBorder="1" applyAlignment="1">
      <alignment horizontal="center" wrapText="1"/>
    </xf>
    <xf numFmtId="0" fontId="2" fillId="0" borderId="11" xfId="6" applyFill="1" applyBorder="1"/>
    <xf numFmtId="0" fontId="2" fillId="0" borderId="9" xfId="6" applyBorder="1" applyAlignment="1">
      <alignment horizontal="center" wrapText="1"/>
    </xf>
    <xf numFmtId="0" fontId="2" fillId="0" borderId="5" xfId="5" applyFill="1" applyBorder="1"/>
    <xf numFmtId="0" fontId="2" fillId="0" borderId="11" xfId="6" applyFont="1" applyBorder="1"/>
    <xf numFmtId="0" fontId="0" fillId="0" borderId="11" xfId="0" applyFill="1" applyBorder="1"/>
    <xf numFmtId="0" fontId="2" fillId="0" borderId="11" xfId="0" applyFont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" fillId="0" borderId="9" xfId="7" applyFont="1" applyBorder="1" applyAlignment="1">
      <alignment horizontal="center" vertical="top"/>
    </xf>
    <xf numFmtId="0" fontId="2" fillId="0" borderId="11" xfId="7" applyFont="1" applyBorder="1" applyAlignment="1">
      <alignment horizontal="center" vertical="top"/>
    </xf>
    <xf numFmtId="0" fontId="2" fillId="0" borderId="11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1" xfId="7" applyFont="1" applyBorder="1" applyAlignment="1">
      <alignment horizontal="left" vertical="top"/>
    </xf>
    <xf numFmtId="0" fontId="2" fillId="0" borderId="9" xfId="7" applyFont="1" applyBorder="1" applyAlignment="1">
      <alignment vertical="top"/>
    </xf>
    <xf numFmtId="0" fontId="5" fillId="0" borderId="0" xfId="2" applyFont="1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5" fillId="0" borderId="18" xfId="2" applyFont="1" applyBorder="1" applyAlignment="1">
      <alignment horizontal="center"/>
    </xf>
    <xf numFmtId="0" fontId="0" fillId="0" borderId="18" xfId="0" applyBorder="1"/>
    <xf numFmtId="0" fontId="2" fillId="0" borderId="18" xfId="3" applyFont="1" applyBorder="1" applyAlignment="1">
      <alignment horizontal="center" vertical="top"/>
    </xf>
    <xf numFmtId="0" fontId="2" fillId="0" borderId="18" xfId="3" quotePrefix="1" applyBorder="1" applyAlignment="1">
      <alignment horizontal="center" vertical="top"/>
    </xf>
    <xf numFmtId="0" fontId="2" fillId="0" borderId="18" xfId="8" applyBorder="1" applyAlignment="1">
      <alignment horizontal="center" vertical="top"/>
    </xf>
    <xf numFmtId="0" fontId="2" fillId="0" borderId="19" xfId="8" applyBorder="1" applyAlignment="1">
      <alignment horizontal="center" vertical="top"/>
    </xf>
    <xf numFmtId="0" fontId="2" fillId="0" borderId="18" xfId="8" applyFont="1" applyBorder="1" applyAlignment="1">
      <alignment horizontal="center" vertical="top"/>
    </xf>
    <xf numFmtId="0" fontId="2" fillId="0" borderId="18" xfId="0" applyFont="1" applyBorder="1" applyAlignment="1">
      <alignment horizontal="center"/>
    </xf>
    <xf numFmtId="49" fontId="0" fillId="0" borderId="18" xfId="0" applyNumberFormat="1" applyBorder="1" applyAlignment="1">
      <alignment horizontal="center"/>
    </xf>
    <xf numFmtId="0" fontId="2" fillId="0" borderId="19" xfId="5" applyBorder="1" applyAlignment="1">
      <alignment horizontal="center"/>
    </xf>
    <xf numFmtId="0" fontId="2" fillId="0" borderId="20" xfId="5" applyBorder="1" applyAlignment="1">
      <alignment horizontal="center"/>
    </xf>
    <xf numFmtId="0" fontId="0" fillId="0" borderId="21" xfId="0" applyBorder="1"/>
    <xf numFmtId="0" fontId="0" fillId="0" borderId="20" xfId="0" applyBorder="1"/>
    <xf numFmtId="0" fontId="2" fillId="0" borderId="0" xfId="5" applyAlignment="1">
      <alignment horizontal="center"/>
    </xf>
    <xf numFmtId="0" fontId="2" fillId="0" borderId="0" xfId="5"/>
    <xf numFmtId="0" fontId="7" fillId="0" borderId="0" xfId="5" applyFont="1" applyAlignment="1">
      <alignment horizontal="center"/>
    </xf>
    <xf numFmtId="0" fontId="7" fillId="0" borderId="0" xfId="5" applyFont="1" applyAlignment="1">
      <alignment horizontal="left"/>
    </xf>
    <xf numFmtId="0" fontId="2" fillId="0" borderId="0" xfId="5" applyAlignment="1">
      <alignment wrapText="1"/>
    </xf>
    <xf numFmtId="0" fontId="2" fillId="0" borderId="0" xfId="5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5" fillId="0" borderId="0" xfId="2" applyBorder="1" applyAlignment="1">
      <alignment horizontal="center"/>
    </xf>
    <xf numFmtId="0" fontId="5" fillId="0" borderId="0" xfId="2" applyAlignment="1">
      <alignment horizontal="center"/>
    </xf>
    <xf numFmtId="0" fontId="5" fillId="0" borderId="0" xfId="2" applyFont="1" applyAlignment="1">
      <alignment horizontal="center"/>
    </xf>
    <xf numFmtId="0" fontId="5" fillId="0" borderId="9" xfId="2" applyBorder="1" applyAlignment="1">
      <alignment horizontal="center"/>
    </xf>
    <xf numFmtId="0" fontId="5" fillId="0" borderId="22" xfId="2" applyBorder="1" applyAlignment="1">
      <alignment horizont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left"/>
    </xf>
    <xf numFmtId="0" fontId="2" fillId="0" borderId="0" xfId="0" applyFont="1" applyBorder="1"/>
    <xf numFmtId="0" fontId="8" fillId="0" borderId="0" xfId="3" applyFont="1" applyBorder="1" applyAlignment="1">
      <alignment horizontal="center" vertical="top"/>
    </xf>
    <xf numFmtId="0" fontId="8" fillId="0" borderId="0" xfId="3" applyFont="1" applyBorder="1" applyAlignment="1">
      <alignment horizontal="center" vertical="top"/>
    </xf>
    <xf numFmtId="164" fontId="3" fillId="0" borderId="0" xfId="1" applyFont="1" applyAlignment="1">
      <alignment horizontal="center"/>
    </xf>
    <xf numFmtId="164" fontId="2" fillId="0" borderId="0" xfId="1" applyAlignment="1">
      <alignment horizontal="center"/>
    </xf>
    <xf numFmtId="0" fontId="8" fillId="0" borderId="0" xfId="3" applyFont="1" applyBorder="1" applyAlignment="1">
      <alignment horizontal="center" vertical="top" wrapText="1"/>
    </xf>
    <xf numFmtId="0" fontId="7" fillId="0" borderId="0" xfId="3" applyFont="1" applyBorder="1" applyAlignment="1">
      <alignment vertical="top" wrapText="1"/>
    </xf>
    <xf numFmtId="0" fontId="7" fillId="0" borderId="0" xfId="3" applyFont="1" applyBorder="1" applyAlignment="1">
      <alignment vertical="top"/>
    </xf>
    <xf numFmtId="0" fontId="8" fillId="0" borderId="0" xfId="3" applyFont="1" applyBorder="1" applyAlignment="1">
      <alignment vertical="top"/>
    </xf>
  </cellXfs>
  <cellStyles count="238">
    <cellStyle name="20% - Akzent1" xfId="9"/>
    <cellStyle name="20% - Akzent2" xfId="10"/>
    <cellStyle name="20% - Akzent3" xfId="11"/>
    <cellStyle name="20% - Akzent4" xfId="12"/>
    <cellStyle name="20% - Akzent5" xfId="13"/>
    <cellStyle name="20% - Akzent6" xfId="14"/>
    <cellStyle name="40% - Akzent1" xfId="15"/>
    <cellStyle name="40% - Akzent2" xfId="16"/>
    <cellStyle name="40% - Akzent3" xfId="17"/>
    <cellStyle name="40% - Akzent4" xfId="18"/>
    <cellStyle name="40% - Akzent5" xfId="19"/>
    <cellStyle name="40% - Akzent6" xfId="20"/>
    <cellStyle name="60% - Akzent1" xfId="21"/>
    <cellStyle name="60% - Akzent2" xfId="22"/>
    <cellStyle name="60% - Akzent3" xfId="23"/>
    <cellStyle name="60% - Akzent4" xfId="24"/>
    <cellStyle name="60% - Akzent5" xfId="25"/>
    <cellStyle name="60% - Akzent6" xfId="26"/>
    <cellStyle name="Akzent1" xfId="27"/>
    <cellStyle name="Akzent2" xfId="28"/>
    <cellStyle name="Akzent3" xfId="29"/>
    <cellStyle name="Akzent4" xfId="30"/>
    <cellStyle name="Akzent5" xfId="31"/>
    <cellStyle name="Akzent6" xfId="32"/>
    <cellStyle name="Ausgabe" xfId="33"/>
    <cellStyle name="Berechnung" xfId="34"/>
    <cellStyle name="Currency" xfId="1" builtinId="4"/>
    <cellStyle name="Currency 2" xfId="35"/>
    <cellStyle name="Currency 3" xfId="36"/>
    <cellStyle name="Currency 4" xfId="37"/>
    <cellStyle name="Currency 5" xfId="38"/>
    <cellStyle name="Currency 6" xfId="39"/>
    <cellStyle name="Currency 7" xfId="40"/>
    <cellStyle name="Eingabe" xfId="41"/>
    <cellStyle name="Ergebnis" xfId="42"/>
    <cellStyle name="Erklärender Text" xfId="43"/>
    <cellStyle name="Euro" xfId="44"/>
    <cellStyle name="Gut" xfId="45"/>
    <cellStyle name="Hyperlink 2" xfId="46"/>
    <cellStyle name="Hyperlink 3" xfId="47"/>
    <cellStyle name="Hyperlink 3 2" xfId="48"/>
    <cellStyle name="Hyperlink 3 3" xfId="49"/>
    <cellStyle name="Hyperlink 3 4" xfId="50"/>
    <cellStyle name="Normal" xfId="0" builtinId="0"/>
    <cellStyle name="Normal 10" xfId="51"/>
    <cellStyle name="Normal 10 2" xfId="52"/>
    <cellStyle name="Normal 10 2 2" xfId="53"/>
    <cellStyle name="Normal 10 2 2 2" xfId="54"/>
    <cellStyle name="Normal 10 2 2 2 2" xfId="55"/>
    <cellStyle name="Normal 10 2 2 2 2 2" xfId="56"/>
    <cellStyle name="Normal 10 2 2 2 3" xfId="57"/>
    <cellStyle name="Normal 10 2 2 3" xfId="58"/>
    <cellStyle name="Normal 10 2 2 3 2" xfId="59"/>
    <cellStyle name="Normal 10 2 2 4" xfId="60"/>
    <cellStyle name="Normal 10 2 2 4 2" xfId="61"/>
    <cellStyle name="Normal 10 2 2 5" xfId="62"/>
    <cellStyle name="Normal 10 2 3" xfId="63"/>
    <cellStyle name="Normal 10 2 3 2" xfId="64"/>
    <cellStyle name="Normal 10 2 3 2 2" xfId="65"/>
    <cellStyle name="Normal 10 2 3 3" xfId="66"/>
    <cellStyle name="Normal 10 2 4" xfId="67"/>
    <cellStyle name="Normal 10 2 4 2" xfId="68"/>
    <cellStyle name="Normal 10 2 5" xfId="69"/>
    <cellStyle name="Normal 10 2 5 2" xfId="70"/>
    <cellStyle name="Normal 10 2 6" xfId="71"/>
    <cellStyle name="Normal 10 3" xfId="72"/>
    <cellStyle name="Normal 10 3 2" xfId="73"/>
    <cellStyle name="Normal 10 3 2 2" xfId="74"/>
    <cellStyle name="Normal 10 3 2 2 2" xfId="75"/>
    <cellStyle name="Normal 10 3 2 3" xfId="76"/>
    <cellStyle name="Normal 10 3 3" xfId="77"/>
    <cellStyle name="Normal 10 3 3 2" xfId="78"/>
    <cellStyle name="Normal 10 3 4" xfId="79"/>
    <cellStyle name="Normal 10 3 4 2" xfId="80"/>
    <cellStyle name="Normal 10 3 5" xfId="81"/>
    <cellStyle name="Normal 10 4" xfId="82"/>
    <cellStyle name="Normal 10 4 2" xfId="83"/>
    <cellStyle name="Normal 10 4 2 2" xfId="84"/>
    <cellStyle name="Normal 10 4 3" xfId="85"/>
    <cellStyle name="Normal 10 5" xfId="86"/>
    <cellStyle name="Normal 10 5 2" xfId="87"/>
    <cellStyle name="Normal 10 6" xfId="88"/>
    <cellStyle name="Normal 10 6 2" xfId="89"/>
    <cellStyle name="Normal 10 7" xfId="90"/>
    <cellStyle name="Normal 11" xfId="91"/>
    <cellStyle name="Normal 11 2" xfId="92"/>
    <cellStyle name="Normal 2" xfId="2"/>
    <cellStyle name="Normal 2 2" xfId="93"/>
    <cellStyle name="Normal 2 2 2" xfId="5"/>
    <cellStyle name="Normal 2 2 2 2" xfId="94"/>
    <cellStyle name="Normal 2 3" xfId="95"/>
    <cellStyle name="Normal 2 3 2" xfId="96"/>
    <cellStyle name="Normal 2 3 2 2" xfId="97"/>
    <cellStyle name="Normal 2 3 3" xfId="98"/>
    <cellStyle name="Normal 2 3 3 2" xfId="99"/>
    <cellStyle name="Normal 2 3 4" xfId="100"/>
    <cellStyle name="Normal 2 3 5" xfId="101"/>
    <cellStyle name="Normal 3" xfId="102"/>
    <cellStyle name="Normal 3 2" xfId="103"/>
    <cellStyle name="Normal 3 2 2" xfId="104"/>
    <cellStyle name="Normal 3 2 2 2" xfId="105"/>
    <cellStyle name="Normal 3 2 2 2 2" xfId="106"/>
    <cellStyle name="Normal 3 2 2 2 2 2" xfId="107"/>
    <cellStyle name="Normal 3 2 2 2 3" xfId="108"/>
    <cellStyle name="Normal 3 2 2 3" xfId="109"/>
    <cellStyle name="Normal 3 2 2 3 2" xfId="110"/>
    <cellStyle name="Normal 3 2 2 4" xfId="111"/>
    <cellStyle name="Normal 3 2 2 4 2" xfId="112"/>
    <cellStyle name="Normal 3 2 2 5" xfId="113"/>
    <cellStyle name="Normal 3 2 3" xfId="114"/>
    <cellStyle name="Normal 3 2 3 2" xfId="115"/>
    <cellStyle name="Normal 3 2 3 2 2" xfId="116"/>
    <cellStyle name="Normal 3 2 3 3" xfId="117"/>
    <cellStyle name="Normal 3 2 4" xfId="118"/>
    <cellStyle name="Normal 3 2 4 2" xfId="119"/>
    <cellStyle name="Normal 3 2 5" xfId="120"/>
    <cellStyle name="Normal 3 2 5 2" xfId="121"/>
    <cellStyle name="Normal 3 2 6" xfId="122"/>
    <cellStyle name="Normal 3 3" xfId="123"/>
    <cellStyle name="Normal 3 3 2" xfId="124"/>
    <cellStyle name="Normal 3 3 2 2" xfId="125"/>
    <cellStyle name="Normal 3 3 2 2 2" xfId="126"/>
    <cellStyle name="Normal 3 3 2 3" xfId="127"/>
    <cellStyle name="Normal 3 3 3" xfId="128"/>
    <cellStyle name="Normal 3 3 3 2" xfId="129"/>
    <cellStyle name="Normal 3 3 4" xfId="130"/>
    <cellStyle name="Normal 3 3 4 2" xfId="131"/>
    <cellStyle name="Normal 3 3 5" xfId="132"/>
    <cellStyle name="Normal 3 4" xfId="133"/>
    <cellStyle name="Normal 3 4 2" xfId="134"/>
    <cellStyle name="Normal 3 4 2 2" xfId="135"/>
    <cellStyle name="Normal 3 4 2 2 2" xfId="136"/>
    <cellStyle name="Normal 3 4 2 3" xfId="137"/>
    <cellStyle name="Normal 3 4 3" xfId="138"/>
    <cellStyle name="Normal 3 4 3 2" xfId="139"/>
    <cellStyle name="Normal 3 4 4" xfId="140"/>
    <cellStyle name="Normal 3 4 4 2" xfId="141"/>
    <cellStyle name="Normal 3 4 5" xfId="142"/>
    <cellStyle name="Normal 3 4 6" xfId="143"/>
    <cellStyle name="Normal 3 5" xfId="144"/>
    <cellStyle name="Normal 3 5 2" xfId="145"/>
    <cellStyle name="Normal 3 5 2 2" xfId="146"/>
    <cellStyle name="Normal 3 5 2 2 2" xfId="147"/>
    <cellStyle name="Normal 3 5 2 3" xfId="148"/>
    <cellStyle name="Normal 3 5 3" xfId="149"/>
    <cellStyle name="Normal 3 5 3 2" xfId="150"/>
    <cellStyle name="Normal 3 5 4" xfId="151"/>
    <cellStyle name="Normal 3 5 4 2" xfId="152"/>
    <cellStyle name="Normal 3 5 5" xfId="153"/>
    <cellStyle name="Normal 3 6" xfId="154"/>
    <cellStyle name="Normal 3 6 2" xfId="155"/>
    <cellStyle name="Normal 3 6 2 2" xfId="156"/>
    <cellStyle name="Normal 3 6 3" xfId="157"/>
    <cellStyle name="Normal 3 7" xfId="158"/>
    <cellStyle name="Normal 3 7 2" xfId="159"/>
    <cellStyle name="Normal 3 8" xfId="160"/>
    <cellStyle name="Normal 3 8 2" xfId="161"/>
    <cellStyle name="Normal 3 9" xfId="162"/>
    <cellStyle name="Normal 4" xfId="163"/>
    <cellStyle name="Normal 4 2" xfId="164"/>
    <cellStyle name="Normal 5" xfId="165"/>
    <cellStyle name="Normal 5 2" xfId="166"/>
    <cellStyle name="Normal 5 2 2" xfId="167"/>
    <cellStyle name="Normal 5 2 2 2" xfId="168"/>
    <cellStyle name="Normal 5 2 2 2 2" xfId="169"/>
    <cellStyle name="Normal 5 2 2 3" xfId="170"/>
    <cellStyle name="Normal 5 2 2 3 2" xfId="171"/>
    <cellStyle name="Normal 5 2 2 4" xfId="172"/>
    <cellStyle name="Normal 5 2 3" xfId="173"/>
    <cellStyle name="Normal 5 2 3 2" xfId="174"/>
    <cellStyle name="Normal 5 2 4" xfId="175"/>
    <cellStyle name="Normal 5 2 4 2" xfId="176"/>
    <cellStyle name="Normal 5 2 5" xfId="177"/>
    <cellStyle name="Normal 5 3" xfId="178"/>
    <cellStyle name="Normal 5 3 2" xfId="179"/>
    <cellStyle name="Normal 5 3 2 2" xfId="180"/>
    <cellStyle name="Normal 5 3 3" xfId="181"/>
    <cellStyle name="Normal 5 3 3 2" xfId="182"/>
    <cellStyle name="Normal 5 3 4" xfId="183"/>
    <cellStyle name="Normal 5 4" xfId="184"/>
    <cellStyle name="Normal 5 4 2" xfId="185"/>
    <cellStyle name="Normal 5 5" xfId="186"/>
    <cellStyle name="Normal 5 5 2" xfId="187"/>
    <cellStyle name="Normal 5 6" xfId="188"/>
    <cellStyle name="Normal 5 7" xfId="189"/>
    <cellStyle name="Normal 6" xfId="190"/>
    <cellStyle name="Normal 6 2" xfId="191"/>
    <cellStyle name="Normal 7" xfId="192"/>
    <cellStyle name="Normal 7 2" xfId="193"/>
    <cellStyle name="Normal 7 2 2" xfId="194"/>
    <cellStyle name="Normal 7 2 2 2" xfId="195"/>
    <cellStyle name="Normal 7 2 3" xfId="196"/>
    <cellStyle name="Normal 7 2 3 2" xfId="197"/>
    <cellStyle name="Normal 7 2 4" xfId="198"/>
    <cellStyle name="Normal 7 3" xfId="199"/>
    <cellStyle name="Normal 7 3 2" xfId="200"/>
    <cellStyle name="Normal 7 4" xfId="201"/>
    <cellStyle name="Normal 7 4 2" xfId="202"/>
    <cellStyle name="Normal 7 5" xfId="203"/>
    <cellStyle name="Normal 7 6" xfId="204"/>
    <cellStyle name="Normal 8" xfId="205"/>
    <cellStyle name="Normal 8 2" xfId="6"/>
    <cellStyle name="Normal 9" xfId="206"/>
    <cellStyle name="Normal 9 2" xfId="207"/>
    <cellStyle name="Normal 9 2 2" xfId="208"/>
    <cellStyle name="Normal 9 2 2 2" xfId="209"/>
    <cellStyle name="Normal 9 2 3" xfId="210"/>
    <cellStyle name="Normal 9 2 3 2" xfId="211"/>
    <cellStyle name="Normal 9 2 4" xfId="212"/>
    <cellStyle name="Normal 9 3" xfId="213"/>
    <cellStyle name="Normal 9 3 2" xfId="214"/>
    <cellStyle name="Normal 9 4" xfId="215"/>
    <cellStyle name="Normal 9 4 2" xfId="216"/>
    <cellStyle name="Normal 9 5" xfId="217"/>
    <cellStyle name="Normal 9 6" xfId="218"/>
    <cellStyle name="Notiz" xfId="219"/>
    <cellStyle name="Percent 2" xfId="220"/>
    <cellStyle name="Percent 2 2" xfId="221"/>
    <cellStyle name="Percent 2 2 2" xfId="222"/>
    <cellStyle name="Percent 2 3" xfId="223"/>
    <cellStyle name="Schlecht" xfId="224"/>
    <cellStyle name="Standard 2" xfId="225"/>
    <cellStyle name="Standard 2 2" xfId="226"/>
    <cellStyle name="Standard_EBT" xfId="227"/>
    <cellStyle name="Standard_khr_GD_Routing_RG600" xfId="8"/>
    <cellStyle name="Standard_mfaERR" xfId="3"/>
    <cellStyle name="Standard_mfaERR 2" xfId="4"/>
    <cellStyle name="Standard_Variable_XT" xfId="7"/>
    <cellStyle name="Überschrift" xfId="228"/>
    <cellStyle name="Überschrift 1" xfId="229"/>
    <cellStyle name="Überschrift 2" xfId="230"/>
    <cellStyle name="Überschrift 3" xfId="231"/>
    <cellStyle name="Überschrift 4" xfId="232"/>
    <cellStyle name="Überschrift 5" xfId="233"/>
    <cellStyle name="Überschrift_AWB" xfId="234"/>
    <cellStyle name="Verknüpfte Zelle" xfId="235"/>
    <cellStyle name="Warnender Text" xfId="236"/>
    <cellStyle name="Zelle überprüfen" xfId="23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2</xdr:row>
          <xdr:rowOff>99060</xdr:rowOff>
        </xdr:from>
        <xdr:to>
          <xdr:col>7</xdr:col>
          <xdr:colOff>548640</xdr:colOff>
          <xdr:row>4</xdr:row>
          <xdr:rowOff>7620</xdr:rowOff>
        </xdr:to>
        <xdr:sp macro="" textlink="">
          <xdr:nvSpPr>
            <xdr:cNvPr id="2049" name="btnGenerat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2</xdr:row>
          <xdr:rowOff>99060</xdr:rowOff>
        </xdr:from>
        <xdr:to>
          <xdr:col>7</xdr:col>
          <xdr:colOff>548640</xdr:colOff>
          <xdr:row>4</xdr:row>
          <xdr:rowOff>7620</xdr:rowOff>
        </xdr:to>
        <xdr:sp macro="" textlink="">
          <xdr:nvSpPr>
            <xdr:cNvPr id="1035" name="btnGenerate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odsrvfil001\home1\PROJEKTE\DOC\KHR\kh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Jax_Doc/AED/Rogator/RG3/Software/GD/GD_Routing_RG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EEPR_ADR"/>
      <sheetName val="GD_ID"/>
      <sheetName val="CALIB"/>
      <sheetName val="ERROR_CODE"/>
      <sheetName val="DIAG_MSG"/>
    </sheetNames>
    <sheetDataSet>
      <sheetData sheetId="0"/>
      <sheetData sheetId="1"/>
      <sheetData sheetId="2">
        <row r="70">
          <cell r="A70" t="str">
            <v>zu 1)</v>
          </cell>
          <cell r="B70" t="str">
            <v>Betriebsstatus</v>
          </cell>
          <cell r="D70" t="str">
            <v>DB5 - Bit7</v>
          </cell>
          <cell r="E70" t="str">
            <v>DB6 / DB7</v>
          </cell>
          <cell r="F70" t="str">
            <v>Bedeutung</v>
          </cell>
        </row>
        <row r="71">
          <cell r="D71" t="str">
            <v>---</v>
          </cell>
          <cell r="E71" t="str">
            <v>Bit 15</v>
          </cell>
          <cell r="F71" t="str">
            <v>Betätigung über Hecktaster</v>
          </cell>
        </row>
        <row r="72">
          <cell r="D72" t="str">
            <v>---</v>
          </cell>
          <cell r="E72" t="str">
            <v>Bit 14</v>
          </cell>
          <cell r="F72" t="str">
            <v>Starre Ackerschiene</v>
          </cell>
        </row>
        <row r="73">
          <cell r="D73" t="str">
            <v>---</v>
          </cell>
          <cell r="E73" t="str">
            <v>Bit 13</v>
          </cell>
          <cell r="F73" t="str">
            <v>Tastbetrieb/Automatik</v>
          </cell>
        </row>
        <row r="74">
          <cell r="D74" t="str">
            <v>---</v>
          </cell>
          <cell r="E74" t="str">
            <v>Bit 12</v>
          </cell>
          <cell r="F74" t="str">
            <v>Schnelleinzug</v>
          </cell>
        </row>
        <row r="75">
          <cell r="D75" t="str">
            <v>---</v>
          </cell>
          <cell r="E75" t="str">
            <v>Bit 11</v>
          </cell>
          <cell r="F75" t="str">
            <v>---</v>
          </cell>
        </row>
        <row r="76">
          <cell r="D76" t="str">
            <v>---</v>
          </cell>
          <cell r="E76" t="str">
            <v>Bit 10</v>
          </cell>
          <cell r="F76" t="str">
            <v>Entriegelungsstatus</v>
          </cell>
        </row>
        <row r="77">
          <cell r="D77" t="str">
            <v>---</v>
          </cell>
          <cell r="E77" t="str">
            <v>Bit 9/8</v>
          </cell>
          <cell r="F77" t="str">
            <v>Stellung Aushubhebel</v>
          </cell>
        </row>
        <row r="78">
          <cell r="D78" t="str">
            <v>---</v>
          </cell>
          <cell r="E78" t="str">
            <v>Bit 7</v>
          </cell>
          <cell r="F78" t="str">
            <v>Schwingungstilgung</v>
          </cell>
        </row>
        <row r="79">
          <cell r="D79" t="str">
            <v>---</v>
          </cell>
          <cell r="E79" t="str">
            <v>Bit 6/5</v>
          </cell>
          <cell r="F79" t="str">
            <v>Betriebsart</v>
          </cell>
        </row>
        <row r="80">
          <cell r="D80" t="str">
            <v>---</v>
          </cell>
          <cell r="E80" t="str">
            <v>Bit 4/3</v>
          </cell>
          <cell r="F80" t="str">
            <v>Funktionsstatus</v>
          </cell>
        </row>
        <row r="81">
          <cell r="D81" t="str">
            <v>---</v>
          </cell>
          <cell r="E81" t="str">
            <v>Bit 2/1/0</v>
          </cell>
          <cell r="F81" t="str">
            <v>Ventilstatus</v>
          </cell>
        </row>
        <row r="83">
          <cell r="A83" t="str">
            <v>zu 2)</v>
          </cell>
          <cell r="B83" t="str">
            <v>Stellung Aushubhebel</v>
          </cell>
          <cell r="D83" t="str">
            <v>DB5 - Bit7</v>
          </cell>
          <cell r="E83" t="str">
            <v>DB6 / DB7</v>
          </cell>
          <cell r="F83" t="str">
            <v>Bedeutung</v>
          </cell>
        </row>
        <row r="84">
          <cell r="D84" t="str">
            <v>---</v>
          </cell>
          <cell r="E84">
            <v>0</v>
          </cell>
          <cell r="F84" t="str">
            <v>STOP</v>
          </cell>
        </row>
        <row r="85">
          <cell r="D85" t="str">
            <v>---</v>
          </cell>
          <cell r="E85">
            <v>1</v>
          </cell>
          <cell r="F85" t="str">
            <v>Heben (UP)</v>
          </cell>
        </row>
        <row r="86">
          <cell r="D86" t="str">
            <v>---</v>
          </cell>
          <cell r="E86">
            <v>2</v>
          </cell>
          <cell r="F86" t="str">
            <v>Senken (DOWN)</v>
          </cell>
        </row>
        <row r="87">
          <cell r="D87" t="str">
            <v>---</v>
          </cell>
          <cell r="E87">
            <v>3</v>
          </cell>
          <cell r="F87" t="str">
            <v>Schnelleinzug (FASTDOWN)</v>
          </cell>
        </row>
        <row r="89">
          <cell r="A89" t="str">
            <v>zu 3)</v>
          </cell>
          <cell r="B89" t="str">
            <v>Aktivierung der Automatik</v>
          </cell>
          <cell r="D89" t="str">
            <v>DB5 - Bit7</v>
          </cell>
          <cell r="E89" t="str">
            <v>DB6</v>
          </cell>
          <cell r="F89" t="str">
            <v>Stellung des Schalters Tauschfunktion</v>
          </cell>
        </row>
        <row r="90">
          <cell r="D90" t="str">
            <v>---</v>
          </cell>
          <cell r="E90" t="str">
            <v>0x00</v>
          </cell>
          <cell r="F90" t="str">
            <v>Normalstellung</v>
          </cell>
        </row>
        <row r="91">
          <cell r="D91" t="str">
            <v>---</v>
          </cell>
          <cell r="E91" t="str">
            <v>0x01</v>
          </cell>
          <cell r="F91" t="str">
            <v>Tauschfunktion 1</v>
          </cell>
        </row>
        <row r="92">
          <cell r="D92" t="str">
            <v>---</v>
          </cell>
          <cell r="E92" t="str">
            <v>0x02</v>
          </cell>
          <cell r="F92" t="str">
            <v>Tauschfunktion 2</v>
          </cell>
        </row>
        <row r="93">
          <cell r="D93" t="str">
            <v>---</v>
          </cell>
          <cell r="E93" t="str">
            <v>0x03</v>
          </cell>
          <cell r="F93" t="str">
            <v>Tauschfunktion 3</v>
          </cell>
        </row>
        <row r="95">
          <cell r="D95" t="str">
            <v>DB5 - Bit7</v>
          </cell>
          <cell r="E95" t="str">
            <v>DB7</v>
          </cell>
          <cell r="F95" t="str">
            <v>Tasten auf denen die Heckkraftheberautomatik liegt</v>
          </cell>
        </row>
        <row r="96">
          <cell r="D96">
            <v>0</v>
          </cell>
          <cell r="E96" t="str">
            <v>0x00</v>
          </cell>
          <cell r="F96" t="str">
            <v>keine Tasten für Heckkraftheberautomatik</v>
          </cell>
        </row>
        <row r="97">
          <cell r="D97">
            <v>1</v>
          </cell>
          <cell r="E97" t="str">
            <v>0x01</v>
          </cell>
          <cell r="F97" t="str">
            <v>Ventiltasten rechts</v>
          </cell>
        </row>
        <row r="98">
          <cell r="D98">
            <v>1</v>
          </cell>
          <cell r="E98" t="str">
            <v>0x02</v>
          </cell>
          <cell r="F98" t="str">
            <v>Tasten "Kleblatt" senkrecht</v>
          </cell>
        </row>
        <row r="99">
          <cell r="D99">
            <v>1</v>
          </cell>
          <cell r="E99" t="str">
            <v>0x04</v>
          </cell>
          <cell r="F99" t="str">
            <v>Tasten "Kleblatt" waagrecht</v>
          </cell>
        </row>
        <row r="100">
          <cell r="D100">
            <v>1</v>
          </cell>
          <cell r="E100" t="str">
            <v>0x08</v>
          </cell>
          <cell r="F100" t="str">
            <v>Ventiltasten links</v>
          </cell>
        </row>
        <row r="102">
          <cell r="A102" t="str">
            <v>zu 4)</v>
          </cell>
          <cell r="B102" t="str">
            <v>Subzustand</v>
          </cell>
          <cell r="D102" t="str">
            <v>DB5 - Bit7</v>
          </cell>
          <cell r="E102" t="str">
            <v>DB6</v>
          </cell>
          <cell r="F102" t="str">
            <v>Bedeutung</v>
          </cell>
        </row>
        <row r="103">
          <cell r="D103" t="str">
            <v>---</v>
          </cell>
          <cell r="E103" t="str">
            <v>0x00</v>
          </cell>
          <cell r="F103" t="str">
            <v xml:space="preserve">DEAKTIV       </v>
          </cell>
        </row>
        <row r="104">
          <cell r="D104" t="str">
            <v>---</v>
          </cell>
          <cell r="E104" t="str">
            <v>0x01</v>
          </cell>
          <cell r="F104" t="str">
            <v xml:space="preserve">TI_INIT       </v>
          </cell>
        </row>
        <row r="105">
          <cell r="D105" t="str">
            <v>---</v>
          </cell>
          <cell r="E105" t="str">
            <v>0x02</v>
          </cell>
          <cell r="F105" t="str">
            <v>RECORD_STANDBY</v>
          </cell>
        </row>
        <row r="106">
          <cell r="D106" t="str">
            <v>---</v>
          </cell>
          <cell r="E106" t="str">
            <v>0x03</v>
          </cell>
          <cell r="F106" t="str">
            <v xml:space="preserve">RECORD_AKTIV  </v>
          </cell>
        </row>
        <row r="107">
          <cell r="D107" t="str">
            <v>---</v>
          </cell>
          <cell r="E107" t="str">
            <v>0x04</v>
          </cell>
          <cell r="F107" t="str">
            <v xml:space="preserve">PLAY_STANDBY  </v>
          </cell>
        </row>
        <row r="108">
          <cell r="D108" t="str">
            <v>---</v>
          </cell>
          <cell r="E108" t="str">
            <v>0x05</v>
          </cell>
          <cell r="F108" t="str">
            <v xml:space="preserve">PLAY_AKTIV    </v>
          </cell>
        </row>
        <row r="109">
          <cell r="D109" t="str">
            <v>---</v>
          </cell>
          <cell r="E109" t="str">
            <v>0x06</v>
          </cell>
          <cell r="F109" t="str">
            <v xml:space="preserve">CONFIG        </v>
          </cell>
        </row>
        <row r="110">
          <cell r="D110" t="str">
            <v>---</v>
          </cell>
          <cell r="E110" t="str">
            <v>0x07</v>
          </cell>
          <cell r="F110" t="str">
            <v xml:space="preserve">EDIT          </v>
          </cell>
        </row>
        <row r="111">
          <cell r="D111" t="str">
            <v>---</v>
          </cell>
          <cell r="E111" t="str">
            <v>0x08</v>
          </cell>
          <cell r="F111" t="str">
            <v xml:space="preserve">DATAXCHANGE   </v>
          </cell>
        </row>
        <row r="112">
          <cell r="D112" t="str">
            <v>---</v>
          </cell>
          <cell r="E112" t="str">
            <v>0xF0</v>
          </cell>
          <cell r="F112" t="str">
            <v xml:space="preserve">SAFESTATE     </v>
          </cell>
        </row>
        <row r="113">
          <cell r="D113" t="str">
            <v>---</v>
          </cell>
          <cell r="E113" t="str">
            <v>0xFF</v>
          </cell>
          <cell r="F113" t="str">
            <v>NO_SUBSTATEWXL</v>
          </cell>
        </row>
        <row r="115">
          <cell r="D115" t="str">
            <v>---</v>
          </cell>
          <cell r="E115" t="str">
            <v>DB7</v>
          </cell>
          <cell r="F115" t="str">
            <v>Bedeutung</v>
          </cell>
        </row>
        <row r="116">
          <cell r="D116" t="str">
            <v>---</v>
          </cell>
          <cell r="E116" t="str">
            <v>0x??</v>
          </cell>
          <cell r="F116" t="str">
            <v>Teilnehmernummer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s"/>
      <sheetName val="Readme"/>
      <sheetName val="Rules"/>
      <sheetName val="EXT Domain Areas"/>
      <sheetName val="Routing-Data RG3"/>
      <sheetName val="NT01"/>
      <sheetName val="CEAG"/>
      <sheetName val="MFA"/>
      <sheetName val="DRIVE"/>
      <sheetName val="EFC"/>
      <sheetName val="TELEMETRY"/>
      <sheetName val="ZE"/>
      <sheetName val="INFO"/>
      <sheetName val="WBZ"/>
      <sheetName val="SBL"/>
      <sheetName val="SCT"/>
      <sheetName val="TA"/>
      <sheetName val="RG3"/>
      <sheetName val="EMM"/>
      <sheetName val="ES"/>
      <sheetName val="LCP"/>
      <sheetName val="4WS"/>
      <sheetName val="DASH"/>
      <sheetName val="DIAGNOSE"/>
      <sheetName val="template"/>
      <sheetName val="Sheet2"/>
      <sheetName val="GD_Routing_RG3"/>
    </sheetNames>
    <sheetDataSet>
      <sheetData sheetId="0"/>
      <sheetData sheetId="1"/>
      <sheetData sheetId="2"/>
      <sheetData sheetId="3"/>
      <sheetData sheetId="4">
        <row r="6">
          <cell r="B6" t="str">
            <v>DASH</v>
          </cell>
        </row>
        <row r="23">
          <cell r="P23" t="str">
            <v>Select Machine Variant</v>
          </cell>
        </row>
        <row r="29">
          <cell r="P29" t="str">
            <v>Generate Data for:</v>
          </cell>
        </row>
        <row r="30">
          <cell r="P30" t="str">
            <v>RG3</v>
          </cell>
        </row>
        <row r="32">
          <cell r="P32" t="str">
            <v>Generate Source Code</v>
          </cell>
        </row>
        <row r="34">
          <cell r="P34" t="str">
            <v>EXT File Name:</v>
          </cell>
        </row>
        <row r="35">
          <cell r="P35" t="str">
            <v>NT01 XML File Name:</v>
          </cell>
        </row>
        <row r="36">
          <cell r="P36" t="str">
            <v>EDT XML File Name:</v>
          </cell>
        </row>
        <row r="37">
          <cell r="P37" t="str">
            <v>GD DBC File Name:</v>
          </cell>
        </row>
        <row r="38">
          <cell r="P38" t="str">
            <v>Simplified GD DBC File Name:</v>
          </cell>
        </row>
        <row r="53">
          <cell r="P53" t="str">
            <v>Machine Variants</v>
          </cell>
        </row>
        <row r="54">
          <cell r="P54" t="str">
            <v>RG3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7"/>
  <dimension ref="A1:AA370"/>
  <sheetViews>
    <sheetView zoomScale="85" workbookViewId="0">
      <pane xSplit="3" ySplit="10" topLeftCell="D50" activePane="bottomRight" state="frozen"/>
      <selection pane="topRight" activeCell="C1" sqref="C1"/>
      <selection pane="bottomLeft" activeCell="A11" sqref="A11"/>
      <selection pane="bottomRight" activeCell="L83" sqref="L83"/>
    </sheetView>
  </sheetViews>
  <sheetFormatPr defaultColWidth="11.44140625" defaultRowHeight="13.2" x14ac:dyDescent="0.25"/>
  <cols>
    <col min="1" max="1" width="8.33203125" style="126" customWidth="1"/>
    <col min="2" max="2" width="8.33203125" style="131" customWidth="1"/>
    <col min="3" max="3" width="35.21875" bestFit="1" customWidth="1"/>
    <col min="4" max="8" width="9.44140625" style="126" customWidth="1"/>
    <col min="9" max="9" width="9.44140625" style="127" customWidth="1"/>
    <col min="10" max="10" width="13.6640625" bestFit="1" customWidth="1"/>
    <col min="11" max="11" width="9.88671875" bestFit="1" customWidth="1"/>
    <col min="12" max="12" width="40.5546875" bestFit="1" customWidth="1"/>
    <col min="13" max="13" width="12" customWidth="1"/>
    <col min="14" max="16" width="11.44140625" customWidth="1"/>
    <col min="17" max="17" width="16.109375" customWidth="1"/>
    <col min="18" max="18" width="12.44140625" bestFit="1" customWidth="1"/>
    <col min="19" max="21" width="12.44140625" customWidth="1"/>
    <col min="22" max="22" width="31.44140625" style="11" customWidth="1"/>
    <col min="23" max="23" width="28.88671875" style="12" customWidth="1"/>
    <col min="24" max="24" width="11.44140625" style="13" customWidth="1"/>
    <col min="25" max="26" width="11.44140625" style="12" customWidth="1"/>
    <col min="27" max="27" width="11.44140625" style="13" customWidth="1"/>
  </cols>
  <sheetData>
    <row r="1" spans="1:27" ht="17.399999999999999" x14ac:dyDescent="0.3">
      <c r="A1" s="140" t="s">
        <v>0</v>
      </c>
      <c r="B1" s="140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V1" s="1"/>
      <c r="W1" s="2"/>
      <c r="X1" s="3"/>
      <c r="Y1" s="2"/>
      <c r="Z1" s="2"/>
      <c r="AA1" s="3"/>
    </row>
    <row r="3" spans="1:27" ht="17.399999999999999" x14ac:dyDescent="0.3">
      <c r="A3" s="4"/>
      <c r="B3" s="5"/>
      <c r="C3" s="6" t="s">
        <v>1</v>
      </c>
      <c r="D3" s="7" t="s">
        <v>2</v>
      </c>
      <c r="E3" s="4"/>
      <c r="F3" s="4"/>
      <c r="G3" s="8"/>
      <c r="H3" s="8"/>
      <c r="I3" s="4"/>
      <c r="J3" s="9"/>
      <c r="K3" s="9"/>
      <c r="L3" s="9"/>
      <c r="M3" s="10"/>
    </row>
    <row r="4" spans="1:27" ht="17.399999999999999" x14ac:dyDescent="0.3">
      <c r="A4" s="4"/>
      <c r="B4" s="5"/>
      <c r="C4" s="7" t="s">
        <v>3</v>
      </c>
      <c r="D4" s="7">
        <v>5</v>
      </c>
      <c r="E4" s="14"/>
      <c r="F4" s="14"/>
      <c r="G4" s="15"/>
      <c r="H4" s="15"/>
      <c r="I4" s="14"/>
      <c r="J4" s="9"/>
      <c r="K4" s="9"/>
      <c r="L4" s="9"/>
      <c r="M4" s="10"/>
    </row>
    <row r="5" spans="1:27" ht="17.399999999999999" x14ac:dyDescent="0.3">
      <c r="A5" s="4"/>
      <c r="B5" s="5"/>
      <c r="C5" s="7" t="s">
        <v>4</v>
      </c>
      <c r="D5" s="7">
        <v>27</v>
      </c>
      <c r="E5" s="4"/>
      <c r="F5" s="4"/>
      <c r="G5" s="8"/>
      <c r="H5" s="8"/>
      <c r="I5" s="4"/>
      <c r="J5" s="9"/>
      <c r="K5" s="9"/>
      <c r="L5" s="9"/>
      <c r="M5" s="10"/>
    </row>
    <row r="6" spans="1:27" x14ac:dyDescent="0.25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7</v>
      </c>
      <c r="H6" s="17">
        <v>8</v>
      </c>
      <c r="I6" s="16">
        <v>9</v>
      </c>
      <c r="J6" s="17">
        <v>10</v>
      </c>
      <c r="K6" s="16">
        <v>11</v>
      </c>
      <c r="L6" s="17">
        <v>12</v>
      </c>
      <c r="M6" s="16">
        <v>13</v>
      </c>
      <c r="N6" s="17">
        <v>14</v>
      </c>
      <c r="O6" s="16">
        <v>15</v>
      </c>
      <c r="P6" s="17">
        <v>16</v>
      </c>
      <c r="Q6" s="16">
        <v>17</v>
      </c>
      <c r="R6" s="17">
        <v>18</v>
      </c>
      <c r="S6" s="16">
        <v>19</v>
      </c>
      <c r="T6" s="17">
        <v>20</v>
      </c>
      <c r="U6" s="16">
        <v>21</v>
      </c>
      <c r="V6" s="18">
        <v>22</v>
      </c>
      <c r="W6" s="19">
        <v>23</v>
      </c>
      <c r="X6" s="20">
        <v>24</v>
      </c>
      <c r="Y6" s="16">
        <v>25</v>
      </c>
      <c r="Z6" s="17">
        <v>26</v>
      </c>
      <c r="AA6" s="16">
        <v>27</v>
      </c>
    </row>
    <row r="7" spans="1:27" x14ac:dyDescent="0.25">
      <c r="A7" s="10"/>
      <c r="B7" s="21"/>
      <c r="C7" s="10"/>
      <c r="D7" s="15"/>
      <c r="E7" s="15"/>
      <c r="F7" s="15"/>
      <c r="G7" s="15"/>
      <c r="H7" s="15"/>
      <c r="I7" s="10"/>
      <c r="J7" s="10"/>
      <c r="K7" s="10"/>
      <c r="L7" s="10"/>
      <c r="M7" s="10"/>
    </row>
    <row r="8" spans="1:27" s="12" customFormat="1" ht="26.4" customHeight="1" x14ac:dyDescent="0.25">
      <c r="A8" s="142" t="s">
        <v>5</v>
      </c>
      <c r="B8" s="22" t="s">
        <v>6</v>
      </c>
      <c r="C8" s="143" t="s">
        <v>7</v>
      </c>
      <c r="D8" s="142" t="s">
        <v>8</v>
      </c>
      <c r="E8" s="138" t="s">
        <v>6</v>
      </c>
      <c r="F8" s="139" t="s">
        <v>9</v>
      </c>
      <c r="G8" s="139"/>
      <c r="H8" s="138" t="s">
        <v>10</v>
      </c>
      <c r="I8" s="138" t="s">
        <v>11</v>
      </c>
      <c r="J8" s="138" t="s">
        <v>12</v>
      </c>
      <c r="K8" s="142" t="s">
        <v>13</v>
      </c>
      <c r="L8" s="145" t="s">
        <v>14</v>
      </c>
      <c r="M8" s="139" t="s">
        <v>15</v>
      </c>
      <c r="N8" s="139"/>
      <c r="O8" s="139" t="s">
        <v>16</v>
      </c>
      <c r="P8" s="139"/>
      <c r="Q8" s="139" t="s">
        <v>17</v>
      </c>
      <c r="R8" s="138" t="s">
        <v>18</v>
      </c>
      <c r="S8" s="24" t="s">
        <v>19</v>
      </c>
      <c r="T8" s="24" t="s">
        <v>20</v>
      </c>
      <c r="U8" s="24" t="s">
        <v>21</v>
      </c>
      <c r="V8" s="25" t="s">
        <v>22</v>
      </c>
      <c r="W8" s="26" t="s">
        <v>23</v>
      </c>
      <c r="X8" s="27" t="s">
        <v>24</v>
      </c>
      <c r="Y8" s="28" t="s">
        <v>25</v>
      </c>
      <c r="Z8" s="28" t="s">
        <v>26</v>
      </c>
      <c r="AA8" s="29" t="s">
        <v>27</v>
      </c>
    </row>
    <row r="9" spans="1:27" s="12" customFormat="1" x14ac:dyDescent="0.25">
      <c r="A9" s="139"/>
      <c r="B9" s="30" t="s">
        <v>28</v>
      </c>
      <c r="C9" s="144"/>
      <c r="D9" s="139"/>
      <c r="E9" s="31" t="s">
        <v>29</v>
      </c>
      <c r="F9" s="31" t="s">
        <v>30</v>
      </c>
      <c r="G9" s="31" t="s">
        <v>31</v>
      </c>
      <c r="H9" s="31"/>
      <c r="I9" s="32" t="s">
        <v>32</v>
      </c>
      <c r="J9" s="31"/>
      <c r="K9" s="139"/>
      <c r="L9" s="145"/>
      <c r="M9" s="31" t="s">
        <v>33</v>
      </c>
      <c r="N9" s="31" t="s">
        <v>34</v>
      </c>
      <c r="O9" s="31" t="s">
        <v>35</v>
      </c>
      <c r="P9" s="31" t="s">
        <v>36</v>
      </c>
      <c r="Q9" s="139"/>
      <c r="R9" s="138"/>
      <c r="S9" s="138"/>
      <c r="T9" s="138"/>
      <c r="U9" s="138"/>
      <c r="V9" s="33"/>
      <c r="W9" s="34"/>
      <c r="X9" s="35"/>
      <c r="Y9" s="36"/>
      <c r="Z9" s="37"/>
      <c r="AA9" s="38"/>
    </row>
    <row r="10" spans="1:27" s="39" customFormat="1" ht="13.8" thickBot="1" x14ac:dyDescent="0.3">
      <c r="B10" s="40"/>
      <c r="D10" s="41"/>
      <c r="E10" s="41"/>
      <c r="F10" s="42"/>
      <c r="G10" s="42"/>
      <c r="H10" s="42"/>
      <c r="I10" s="41"/>
      <c r="J10" s="43"/>
      <c r="K10" s="44"/>
      <c r="L10" s="44"/>
      <c r="V10" s="45"/>
      <c r="W10" s="46"/>
      <c r="X10" s="47"/>
      <c r="Y10" s="48"/>
      <c r="Z10" s="41"/>
      <c r="AA10" s="49"/>
    </row>
    <row r="11" spans="1:27" s="12" customFormat="1" ht="13.8" thickTop="1" x14ac:dyDescent="0.25">
      <c r="A11" s="50">
        <v>0</v>
      </c>
      <c r="B11" s="51"/>
      <c r="C11" s="52" t="s">
        <v>37</v>
      </c>
      <c r="D11" s="50"/>
      <c r="E11" s="53" t="s">
        <v>38</v>
      </c>
      <c r="F11" s="54">
        <v>0</v>
      </c>
      <c r="G11" s="55">
        <v>32767</v>
      </c>
      <c r="H11" s="56"/>
      <c r="I11" s="57">
        <v>1</v>
      </c>
      <c r="J11" s="58" t="s">
        <v>39</v>
      </c>
      <c r="K11" s="59"/>
      <c r="L11" s="58" t="s">
        <v>40</v>
      </c>
      <c r="M11" s="60">
        <f t="shared" ref="M11:M87" si="0">$D$5</f>
        <v>27</v>
      </c>
      <c r="N11" s="60">
        <f t="shared" ref="N11:N87" si="1">$D$4</f>
        <v>5</v>
      </c>
      <c r="O11" s="60">
        <f t="shared" ref="O11:O63" si="2">IF(A11&lt;&gt;"",M11*2^9+A11,"")</f>
        <v>13824</v>
      </c>
      <c r="P11" s="60" t="str">
        <f t="shared" ref="P11:P22" si="3">IF(A11&lt;&gt;"","0x" &amp;DEC2HEX( O11,4),"")</f>
        <v>0x3600</v>
      </c>
      <c r="Q11" s="61"/>
      <c r="R11" s="62" t="s">
        <v>41</v>
      </c>
      <c r="S11" s="63"/>
      <c r="T11" s="64"/>
      <c r="U11" s="64"/>
      <c r="V11" s="65"/>
      <c r="W11" s="66"/>
      <c r="X11" s="13"/>
      <c r="AA11" s="13"/>
    </row>
    <row r="12" spans="1:27" x14ac:dyDescent="0.25">
      <c r="A12" s="50">
        <v>1</v>
      </c>
      <c r="B12" s="51"/>
      <c r="C12" s="52" t="s">
        <v>42</v>
      </c>
      <c r="D12" s="50"/>
      <c r="E12" s="53" t="s">
        <v>38</v>
      </c>
      <c r="F12" s="50">
        <v>1800</v>
      </c>
      <c r="G12" s="55">
        <v>3900</v>
      </c>
      <c r="H12" s="56"/>
      <c r="I12" s="67">
        <v>1</v>
      </c>
      <c r="J12" s="58" t="s">
        <v>39</v>
      </c>
      <c r="K12" s="59"/>
      <c r="L12" s="52" t="s">
        <v>43</v>
      </c>
      <c r="M12" s="50">
        <f t="shared" si="0"/>
        <v>27</v>
      </c>
      <c r="N12" s="50">
        <f t="shared" si="1"/>
        <v>5</v>
      </c>
      <c r="O12" s="50">
        <f t="shared" si="2"/>
        <v>13825</v>
      </c>
      <c r="P12" s="59" t="str">
        <f t="shared" si="3"/>
        <v>0x3601</v>
      </c>
      <c r="Q12" s="68"/>
      <c r="R12" s="69" t="s">
        <v>41</v>
      </c>
      <c r="S12" s="70"/>
      <c r="T12" s="71"/>
      <c r="U12" s="71"/>
    </row>
    <row r="13" spans="1:27" x14ac:dyDescent="0.25">
      <c r="A13" s="50">
        <v>2</v>
      </c>
      <c r="B13" s="51"/>
      <c r="C13" s="52" t="s">
        <v>44</v>
      </c>
      <c r="D13" s="50"/>
      <c r="E13" s="53" t="s">
        <v>38</v>
      </c>
      <c r="F13" s="50">
        <v>0</v>
      </c>
      <c r="G13" s="55">
        <v>32767</v>
      </c>
      <c r="H13" s="56"/>
      <c r="I13" s="67">
        <v>1</v>
      </c>
      <c r="J13" s="58" t="s">
        <v>39</v>
      </c>
      <c r="K13" s="59"/>
      <c r="L13" s="58" t="s">
        <v>45</v>
      </c>
      <c r="M13" s="50">
        <f t="shared" si="0"/>
        <v>27</v>
      </c>
      <c r="N13" s="50">
        <f t="shared" si="1"/>
        <v>5</v>
      </c>
      <c r="O13" s="50">
        <f t="shared" si="2"/>
        <v>13826</v>
      </c>
      <c r="P13" s="59" t="str">
        <f t="shared" si="3"/>
        <v>0x3602</v>
      </c>
      <c r="Q13" s="68"/>
      <c r="R13" s="69" t="s">
        <v>41</v>
      </c>
      <c r="S13" s="70"/>
      <c r="T13" s="71"/>
      <c r="U13" s="71"/>
    </row>
    <row r="14" spans="1:27" x14ac:dyDescent="0.25">
      <c r="A14" s="50">
        <v>3</v>
      </c>
      <c r="B14" s="51"/>
      <c r="C14" s="52" t="s">
        <v>46</v>
      </c>
      <c r="D14" s="50"/>
      <c r="E14" s="50" t="s">
        <v>47</v>
      </c>
      <c r="F14" s="54">
        <v>0</v>
      </c>
      <c r="G14" s="55">
        <v>0</v>
      </c>
      <c r="H14" s="56"/>
      <c r="I14" s="67"/>
      <c r="J14" s="58" t="s">
        <v>48</v>
      </c>
      <c r="K14" s="59"/>
      <c r="L14" s="58" t="s">
        <v>49</v>
      </c>
      <c r="M14" s="50">
        <f t="shared" si="0"/>
        <v>27</v>
      </c>
      <c r="N14" s="50">
        <f t="shared" si="1"/>
        <v>5</v>
      </c>
      <c r="O14" s="50">
        <f t="shared" si="2"/>
        <v>13827</v>
      </c>
      <c r="P14" s="59" t="str">
        <f t="shared" si="3"/>
        <v>0x3603</v>
      </c>
      <c r="Q14" s="68"/>
      <c r="R14" s="69" t="s">
        <v>41</v>
      </c>
      <c r="S14" s="70"/>
      <c r="T14" s="71"/>
      <c r="U14" s="71"/>
    </row>
    <row r="15" spans="1:27" x14ac:dyDescent="0.25">
      <c r="A15" s="50">
        <v>4</v>
      </c>
      <c r="B15" s="51"/>
      <c r="C15" s="52" t="s">
        <v>50</v>
      </c>
      <c r="D15" s="50"/>
      <c r="E15" s="53" t="s">
        <v>38</v>
      </c>
      <c r="F15" s="50">
        <v>0</v>
      </c>
      <c r="G15" s="55">
        <v>32767</v>
      </c>
      <c r="H15" s="56"/>
      <c r="I15" s="67">
        <v>1</v>
      </c>
      <c r="J15" s="58" t="s">
        <v>39</v>
      </c>
      <c r="K15" s="59"/>
      <c r="L15" s="58" t="s">
        <v>51</v>
      </c>
      <c r="M15" s="50">
        <f t="shared" si="0"/>
        <v>27</v>
      </c>
      <c r="N15" s="50">
        <f t="shared" si="1"/>
        <v>5</v>
      </c>
      <c r="O15" s="50">
        <f t="shared" si="2"/>
        <v>13828</v>
      </c>
      <c r="P15" s="59" t="str">
        <f t="shared" si="3"/>
        <v>0x3604</v>
      </c>
      <c r="Q15" s="68"/>
      <c r="R15" s="69" t="s">
        <v>41</v>
      </c>
      <c r="S15" s="70"/>
      <c r="T15" s="71"/>
      <c r="U15" s="71"/>
    </row>
    <row r="16" spans="1:27" x14ac:dyDescent="0.25">
      <c r="A16" s="50">
        <v>5</v>
      </c>
      <c r="B16" s="51"/>
      <c r="C16" s="52" t="s">
        <v>52</v>
      </c>
      <c r="D16" s="50"/>
      <c r="E16" s="53" t="s">
        <v>38</v>
      </c>
      <c r="F16" s="50">
        <v>1800</v>
      </c>
      <c r="G16" s="55">
        <v>3900</v>
      </c>
      <c r="H16" s="56"/>
      <c r="I16" s="67">
        <v>1</v>
      </c>
      <c r="J16" s="58" t="s">
        <v>39</v>
      </c>
      <c r="K16" s="59"/>
      <c r="L16" s="58" t="s">
        <v>53</v>
      </c>
      <c r="M16" s="50">
        <f t="shared" si="0"/>
        <v>27</v>
      </c>
      <c r="N16" s="50">
        <f t="shared" si="1"/>
        <v>5</v>
      </c>
      <c r="O16" s="50">
        <f t="shared" si="2"/>
        <v>13829</v>
      </c>
      <c r="P16" s="59" t="str">
        <f t="shared" si="3"/>
        <v>0x3605</v>
      </c>
      <c r="Q16" s="61" t="s">
        <v>54</v>
      </c>
      <c r="R16" s="69" t="s">
        <v>41</v>
      </c>
      <c r="S16" s="70"/>
      <c r="T16" s="71"/>
      <c r="U16" s="71"/>
    </row>
    <row r="17" spans="1:24" x14ac:dyDescent="0.25">
      <c r="A17" s="50">
        <v>6</v>
      </c>
      <c r="B17" s="51"/>
      <c r="C17" s="52" t="s">
        <v>55</v>
      </c>
      <c r="D17" s="50"/>
      <c r="E17" s="53" t="s">
        <v>38</v>
      </c>
      <c r="F17" s="50">
        <v>0</v>
      </c>
      <c r="G17" s="55">
        <v>32767</v>
      </c>
      <c r="H17" s="56"/>
      <c r="I17" s="67">
        <v>1</v>
      </c>
      <c r="J17" s="52" t="s">
        <v>39</v>
      </c>
      <c r="K17" s="59"/>
      <c r="L17" s="58" t="s">
        <v>56</v>
      </c>
      <c r="M17" s="50">
        <f t="shared" si="0"/>
        <v>27</v>
      </c>
      <c r="N17" s="50">
        <f t="shared" si="1"/>
        <v>5</v>
      </c>
      <c r="O17" s="50">
        <f t="shared" si="2"/>
        <v>13830</v>
      </c>
      <c r="P17" s="59" t="str">
        <f t="shared" si="3"/>
        <v>0x3606</v>
      </c>
      <c r="Q17" s="68"/>
      <c r="R17" s="69" t="s">
        <v>41</v>
      </c>
      <c r="S17" s="70"/>
      <c r="T17" s="71"/>
      <c r="U17" s="71"/>
    </row>
    <row r="18" spans="1:24" x14ac:dyDescent="0.25">
      <c r="A18" s="50">
        <v>7</v>
      </c>
      <c r="B18" s="51"/>
      <c r="C18" s="58" t="s">
        <v>57</v>
      </c>
      <c r="D18" s="50"/>
      <c r="E18" s="53" t="s">
        <v>38</v>
      </c>
      <c r="F18" s="50">
        <v>1800</v>
      </c>
      <c r="G18" s="55">
        <v>3900</v>
      </c>
      <c r="H18" s="56"/>
      <c r="I18" s="67">
        <v>1</v>
      </c>
      <c r="J18" s="52" t="s">
        <v>39</v>
      </c>
      <c r="K18" s="59"/>
      <c r="L18" s="58" t="s">
        <v>58</v>
      </c>
      <c r="M18" s="50">
        <f t="shared" si="0"/>
        <v>27</v>
      </c>
      <c r="N18" s="50">
        <f t="shared" si="1"/>
        <v>5</v>
      </c>
      <c r="O18" s="50">
        <f t="shared" si="2"/>
        <v>13831</v>
      </c>
      <c r="P18" s="59" t="str">
        <f t="shared" si="3"/>
        <v>0x3607</v>
      </c>
      <c r="Q18" s="61" t="s">
        <v>54</v>
      </c>
      <c r="R18" s="69" t="s">
        <v>41</v>
      </c>
      <c r="S18" s="70"/>
      <c r="T18" s="71"/>
      <c r="U18" s="71"/>
    </row>
    <row r="19" spans="1:24" x14ac:dyDescent="0.25">
      <c r="A19" s="50">
        <v>8</v>
      </c>
      <c r="B19" s="51"/>
      <c r="C19" s="58" t="s">
        <v>59</v>
      </c>
      <c r="D19" s="50"/>
      <c r="E19" s="59" t="s">
        <v>47</v>
      </c>
      <c r="F19" s="50">
        <v>0</v>
      </c>
      <c r="G19" s="72">
        <v>65535</v>
      </c>
      <c r="H19" s="73"/>
      <c r="I19" s="67"/>
      <c r="J19" s="52" t="s">
        <v>60</v>
      </c>
      <c r="K19" s="59"/>
      <c r="L19" s="52" t="s">
        <v>61</v>
      </c>
      <c r="M19" s="50">
        <f t="shared" si="0"/>
        <v>27</v>
      </c>
      <c r="N19" s="50">
        <f t="shared" si="1"/>
        <v>5</v>
      </c>
      <c r="O19" s="50">
        <f t="shared" si="2"/>
        <v>13832</v>
      </c>
      <c r="P19" s="59" t="str">
        <f t="shared" si="3"/>
        <v>0x3608</v>
      </c>
      <c r="Q19" s="68"/>
      <c r="R19" s="69"/>
      <c r="S19" s="70"/>
      <c r="T19" s="71"/>
      <c r="U19" s="71"/>
    </row>
    <row r="20" spans="1:24" x14ac:dyDescent="0.25">
      <c r="A20" s="50"/>
      <c r="B20" s="51"/>
      <c r="C20" s="58"/>
      <c r="D20" s="50"/>
      <c r="E20" s="59"/>
      <c r="F20" s="50"/>
      <c r="G20" s="74"/>
      <c r="H20" s="73"/>
      <c r="I20" s="67"/>
      <c r="J20" s="52" t="s">
        <v>62</v>
      </c>
      <c r="K20" s="59"/>
      <c r="L20" s="52" t="s">
        <v>63</v>
      </c>
      <c r="M20" s="50">
        <f t="shared" si="0"/>
        <v>27</v>
      </c>
      <c r="N20" s="50">
        <f t="shared" si="1"/>
        <v>5</v>
      </c>
      <c r="O20" s="50" t="str">
        <f t="shared" si="2"/>
        <v/>
      </c>
      <c r="P20" s="59" t="str">
        <f t="shared" si="3"/>
        <v/>
      </c>
      <c r="Q20" s="68"/>
      <c r="R20" s="69"/>
      <c r="S20" s="70"/>
      <c r="T20" s="71"/>
      <c r="U20" s="71"/>
    </row>
    <row r="21" spans="1:24" x14ac:dyDescent="0.25">
      <c r="A21" s="50"/>
      <c r="B21" s="51"/>
      <c r="C21" s="58"/>
      <c r="D21" s="50"/>
      <c r="E21" s="59"/>
      <c r="F21" s="50"/>
      <c r="G21" s="74"/>
      <c r="H21" s="73"/>
      <c r="I21" s="67"/>
      <c r="J21" s="52" t="s">
        <v>62</v>
      </c>
      <c r="K21" s="59"/>
      <c r="L21" s="52" t="s">
        <v>64</v>
      </c>
      <c r="M21" s="50">
        <f t="shared" si="0"/>
        <v>27</v>
      </c>
      <c r="N21" s="50">
        <f t="shared" si="1"/>
        <v>5</v>
      </c>
      <c r="O21" s="50" t="str">
        <f t="shared" si="2"/>
        <v/>
      </c>
      <c r="P21" s="59" t="str">
        <f t="shared" si="3"/>
        <v/>
      </c>
      <c r="Q21" s="68"/>
      <c r="R21" s="69"/>
      <c r="S21" s="70"/>
      <c r="T21" s="71"/>
      <c r="U21" s="71"/>
    </row>
    <row r="22" spans="1:24" x14ac:dyDescent="0.25">
      <c r="A22" s="50">
        <v>9</v>
      </c>
      <c r="B22" s="51"/>
      <c r="C22" s="58" t="s">
        <v>65</v>
      </c>
      <c r="D22" s="50"/>
      <c r="E22" s="75" t="s">
        <v>38</v>
      </c>
      <c r="F22" s="50">
        <v>0</v>
      </c>
      <c r="G22" s="72">
        <v>65535</v>
      </c>
      <c r="H22" s="76"/>
      <c r="I22" s="59"/>
      <c r="J22" s="52"/>
      <c r="K22" s="59"/>
      <c r="L22" s="77" t="s">
        <v>66</v>
      </c>
      <c r="M22" s="50">
        <f t="shared" si="0"/>
        <v>27</v>
      </c>
      <c r="N22" s="50">
        <f t="shared" si="1"/>
        <v>5</v>
      </c>
      <c r="O22" s="50">
        <f t="shared" si="2"/>
        <v>13833</v>
      </c>
      <c r="P22" s="59" t="str">
        <f t="shared" si="3"/>
        <v>0x3609</v>
      </c>
      <c r="Q22" s="61" t="s">
        <v>54</v>
      </c>
      <c r="R22" s="69" t="s">
        <v>41</v>
      </c>
      <c r="S22" s="70"/>
      <c r="T22" s="71"/>
      <c r="U22" s="71" t="s">
        <v>67</v>
      </c>
      <c r="V22" s="78" t="s">
        <v>65</v>
      </c>
      <c r="W22" s="79" t="s">
        <v>68</v>
      </c>
      <c r="X22" s="80">
        <v>52224</v>
      </c>
    </row>
    <row r="23" spans="1:24" x14ac:dyDescent="0.25">
      <c r="A23" s="50"/>
      <c r="B23" s="51"/>
      <c r="C23" s="81" t="s">
        <v>69</v>
      </c>
      <c r="D23" s="50"/>
      <c r="E23" s="75"/>
      <c r="F23" s="54"/>
      <c r="G23" s="54"/>
      <c r="H23" s="76"/>
      <c r="I23" s="59"/>
      <c r="J23" s="52"/>
      <c r="K23" s="59"/>
      <c r="L23" s="52"/>
      <c r="M23" s="50"/>
      <c r="N23" s="50"/>
      <c r="O23" s="50"/>
      <c r="P23" s="59"/>
      <c r="Q23" s="68"/>
      <c r="R23" s="69"/>
      <c r="S23" s="70"/>
      <c r="T23" s="71"/>
      <c r="U23" s="71"/>
      <c r="V23" s="78" t="s">
        <v>65</v>
      </c>
      <c r="W23" s="79" t="s">
        <v>70</v>
      </c>
      <c r="X23" s="80">
        <v>52225</v>
      </c>
    </row>
    <row r="24" spans="1:24" x14ac:dyDescent="0.25">
      <c r="A24" s="50"/>
      <c r="B24" s="51"/>
      <c r="C24" s="81" t="s">
        <v>69</v>
      </c>
      <c r="D24" s="50"/>
      <c r="E24" s="75"/>
      <c r="F24" s="54"/>
      <c r="G24" s="54"/>
      <c r="H24" s="76"/>
      <c r="I24" s="59"/>
      <c r="J24" s="52"/>
      <c r="K24" s="59"/>
      <c r="L24" s="52"/>
      <c r="M24" s="50"/>
      <c r="N24" s="50"/>
      <c r="O24" s="50"/>
      <c r="P24" s="59"/>
      <c r="Q24" s="68"/>
      <c r="R24" s="69"/>
      <c r="S24" s="70"/>
      <c r="T24" s="71"/>
      <c r="U24" s="71"/>
      <c r="V24" s="78" t="s">
        <v>65</v>
      </c>
      <c r="W24" s="79" t="s">
        <v>71</v>
      </c>
      <c r="X24" s="80">
        <v>52226</v>
      </c>
    </row>
    <row r="25" spans="1:24" x14ac:dyDescent="0.25">
      <c r="A25" s="50"/>
      <c r="B25" s="51"/>
      <c r="C25" s="81" t="s">
        <v>69</v>
      </c>
      <c r="D25" s="50"/>
      <c r="E25" s="75"/>
      <c r="F25" s="54"/>
      <c r="G25" s="54"/>
      <c r="H25" s="76"/>
      <c r="I25" s="59"/>
      <c r="J25" s="52"/>
      <c r="K25" s="59"/>
      <c r="L25" s="52"/>
      <c r="M25" s="50"/>
      <c r="N25" s="50"/>
      <c r="O25" s="50"/>
      <c r="P25" s="59"/>
      <c r="Q25" s="68"/>
      <c r="R25" s="69"/>
      <c r="S25" s="70"/>
      <c r="T25" s="71"/>
      <c r="U25" s="71"/>
      <c r="V25" s="78" t="s">
        <v>65</v>
      </c>
      <c r="W25" s="79" t="s">
        <v>72</v>
      </c>
      <c r="X25" s="80">
        <v>52227</v>
      </c>
    </row>
    <row r="26" spans="1:24" x14ac:dyDescent="0.25">
      <c r="A26" s="50"/>
      <c r="B26" s="51"/>
      <c r="C26" s="81" t="s">
        <v>69</v>
      </c>
      <c r="D26" s="50"/>
      <c r="E26" s="75"/>
      <c r="F26" s="54"/>
      <c r="G26" s="54"/>
      <c r="H26" s="76"/>
      <c r="I26" s="59"/>
      <c r="J26" s="52"/>
      <c r="K26" s="59"/>
      <c r="L26" s="52"/>
      <c r="M26" s="50"/>
      <c r="N26" s="50"/>
      <c r="O26" s="50"/>
      <c r="P26" s="59"/>
      <c r="Q26" s="68"/>
      <c r="R26" s="69"/>
      <c r="S26" s="70"/>
      <c r="T26" s="71"/>
      <c r="U26" s="71"/>
      <c r="V26" s="78" t="s">
        <v>65</v>
      </c>
      <c r="W26" s="79" t="s">
        <v>73</v>
      </c>
      <c r="X26" s="80">
        <v>52228</v>
      </c>
    </row>
    <row r="27" spans="1:24" x14ac:dyDescent="0.25">
      <c r="A27" s="50"/>
      <c r="B27" s="51"/>
      <c r="C27" s="81" t="s">
        <v>69</v>
      </c>
      <c r="D27" s="50"/>
      <c r="E27" s="75"/>
      <c r="F27" s="54"/>
      <c r="G27" s="54"/>
      <c r="H27" s="76"/>
      <c r="I27" s="59"/>
      <c r="J27" s="52"/>
      <c r="K27" s="59"/>
      <c r="L27" s="52"/>
      <c r="M27" s="50"/>
      <c r="N27" s="50"/>
      <c r="O27" s="50"/>
      <c r="P27" s="59"/>
      <c r="Q27" s="68"/>
      <c r="R27" s="69"/>
      <c r="S27" s="70"/>
      <c r="T27" s="71"/>
      <c r="U27" s="71"/>
      <c r="V27" s="78" t="s">
        <v>65</v>
      </c>
      <c r="W27" s="79" t="s">
        <v>74</v>
      </c>
      <c r="X27" s="80">
        <v>60928</v>
      </c>
    </row>
    <row r="28" spans="1:24" x14ac:dyDescent="0.25">
      <c r="A28" s="50"/>
      <c r="B28" s="51"/>
      <c r="C28" s="81" t="s">
        <v>69</v>
      </c>
      <c r="D28" s="50"/>
      <c r="E28" s="75"/>
      <c r="F28" s="54"/>
      <c r="G28" s="54"/>
      <c r="H28" s="76"/>
      <c r="I28" s="59"/>
      <c r="J28" s="52"/>
      <c r="K28" s="59"/>
      <c r="L28" s="52"/>
      <c r="M28" s="50"/>
      <c r="N28" s="50"/>
      <c r="O28" s="50"/>
      <c r="P28" s="59"/>
      <c r="Q28" s="68"/>
      <c r="R28" s="69"/>
      <c r="S28" s="70"/>
      <c r="T28" s="71"/>
      <c r="U28" s="71"/>
      <c r="V28" s="78" t="s">
        <v>65</v>
      </c>
      <c r="W28" s="79" t="s">
        <v>75</v>
      </c>
      <c r="X28" s="80">
        <v>56576</v>
      </c>
    </row>
    <row r="29" spans="1:24" x14ac:dyDescent="0.25">
      <c r="A29" s="50">
        <v>10</v>
      </c>
      <c r="B29" s="51"/>
      <c r="C29" s="58" t="s">
        <v>76</v>
      </c>
      <c r="D29" s="50"/>
      <c r="E29" s="75" t="s">
        <v>38</v>
      </c>
      <c r="F29" s="50">
        <v>0</v>
      </c>
      <c r="G29" s="72">
        <v>65535</v>
      </c>
      <c r="H29" s="76"/>
      <c r="I29" s="67"/>
      <c r="J29" s="52"/>
      <c r="K29" s="59"/>
      <c r="L29" s="77" t="s">
        <v>77</v>
      </c>
      <c r="M29" s="50">
        <f t="shared" si="0"/>
        <v>27</v>
      </c>
      <c r="N29" s="50">
        <f t="shared" si="1"/>
        <v>5</v>
      </c>
      <c r="O29" s="50">
        <f t="shared" si="2"/>
        <v>13834</v>
      </c>
      <c r="P29" s="59" t="str">
        <f>IF(A29&lt;&gt;"","0x" &amp;DEC2HEX( O29,4),"")</f>
        <v>0x360A</v>
      </c>
      <c r="Q29" s="61" t="s">
        <v>78</v>
      </c>
      <c r="R29" s="69" t="s">
        <v>41</v>
      </c>
      <c r="S29" s="70"/>
      <c r="T29" s="71"/>
      <c r="U29" s="71"/>
      <c r="V29" s="78" t="s">
        <v>76</v>
      </c>
      <c r="W29" s="79" t="s">
        <v>79</v>
      </c>
      <c r="X29" s="80">
        <v>1</v>
      </c>
    </row>
    <row r="30" spans="1:24" x14ac:dyDescent="0.25">
      <c r="A30" s="50"/>
      <c r="B30" s="51"/>
      <c r="C30" s="81" t="s">
        <v>69</v>
      </c>
      <c r="D30" s="50"/>
      <c r="E30" s="59"/>
      <c r="F30" s="54"/>
      <c r="G30" s="54"/>
      <c r="H30" s="76"/>
      <c r="I30" s="59"/>
      <c r="J30" s="52"/>
      <c r="K30" s="59"/>
      <c r="L30" s="52"/>
      <c r="M30" s="50"/>
      <c r="N30" s="50"/>
      <c r="O30" s="50"/>
      <c r="P30" s="59"/>
      <c r="Q30" s="68"/>
      <c r="R30" s="69"/>
      <c r="S30" s="70"/>
      <c r="T30" s="71"/>
      <c r="U30" s="71"/>
      <c r="V30" s="78" t="s">
        <v>76</v>
      </c>
      <c r="W30" s="79" t="s">
        <v>80</v>
      </c>
      <c r="X30" s="80">
        <v>2</v>
      </c>
    </row>
    <row r="31" spans="1:24" x14ac:dyDescent="0.25">
      <c r="A31" s="50"/>
      <c r="B31" s="51"/>
      <c r="C31" s="81" t="s">
        <v>69</v>
      </c>
      <c r="D31" s="50"/>
      <c r="E31" s="59"/>
      <c r="F31" s="54"/>
      <c r="G31" s="54"/>
      <c r="H31" s="76"/>
      <c r="I31" s="59"/>
      <c r="J31" s="52"/>
      <c r="K31" s="59"/>
      <c r="L31" s="52"/>
      <c r="M31" s="50"/>
      <c r="N31" s="50"/>
      <c r="O31" s="50"/>
      <c r="P31" s="59"/>
      <c r="Q31" s="68"/>
      <c r="R31" s="69"/>
      <c r="S31" s="70"/>
      <c r="T31" s="71"/>
      <c r="U31" s="71"/>
      <c r="V31" s="78" t="s">
        <v>76</v>
      </c>
      <c r="W31" s="79" t="s">
        <v>81</v>
      </c>
      <c r="X31" s="80">
        <v>3</v>
      </c>
    </row>
    <row r="32" spans="1:24" x14ac:dyDescent="0.25">
      <c r="A32" s="50"/>
      <c r="B32" s="51"/>
      <c r="C32" s="81" t="s">
        <v>69</v>
      </c>
      <c r="D32" s="50"/>
      <c r="E32" s="59"/>
      <c r="F32" s="54"/>
      <c r="G32" s="54"/>
      <c r="H32" s="76"/>
      <c r="I32" s="59"/>
      <c r="J32" s="52"/>
      <c r="K32" s="59"/>
      <c r="L32" s="52"/>
      <c r="M32" s="50"/>
      <c r="N32" s="50"/>
      <c r="O32" s="50"/>
      <c r="P32" s="59"/>
      <c r="Q32" s="68"/>
      <c r="R32" s="69"/>
      <c r="S32" s="70"/>
      <c r="T32" s="71"/>
      <c r="U32" s="71"/>
      <c r="V32" s="78" t="s">
        <v>76</v>
      </c>
      <c r="W32" s="79" t="s">
        <v>82</v>
      </c>
      <c r="X32" s="80">
        <v>4</v>
      </c>
    </row>
    <row r="33" spans="1:27" x14ac:dyDescent="0.25">
      <c r="A33" s="50"/>
      <c r="B33" s="51"/>
      <c r="C33" s="81" t="s">
        <v>69</v>
      </c>
      <c r="D33" s="50"/>
      <c r="E33" s="59"/>
      <c r="F33" s="54"/>
      <c r="G33" s="54"/>
      <c r="H33" s="76"/>
      <c r="I33" s="59"/>
      <c r="J33" s="52"/>
      <c r="K33" s="59"/>
      <c r="L33" s="52"/>
      <c r="M33" s="50"/>
      <c r="N33" s="50"/>
      <c r="O33" s="50"/>
      <c r="P33" s="59"/>
      <c r="Q33" s="68"/>
      <c r="R33" s="69"/>
      <c r="S33" s="70"/>
      <c r="T33" s="71"/>
      <c r="U33" s="71"/>
      <c r="V33" s="78" t="s">
        <v>76</v>
      </c>
      <c r="W33" s="79" t="s">
        <v>83</v>
      </c>
      <c r="X33" s="80">
        <v>0</v>
      </c>
    </row>
    <row r="34" spans="1:27" x14ac:dyDescent="0.25">
      <c r="A34" s="50"/>
      <c r="B34" s="51"/>
      <c r="C34" s="81" t="s">
        <v>69</v>
      </c>
      <c r="D34" s="50"/>
      <c r="E34" s="59"/>
      <c r="F34" s="54"/>
      <c r="G34" s="54"/>
      <c r="H34" s="76"/>
      <c r="I34" s="59"/>
      <c r="J34" s="52"/>
      <c r="K34" s="59"/>
      <c r="L34" s="52"/>
      <c r="M34" s="50"/>
      <c r="N34" s="50"/>
      <c r="O34" s="50"/>
      <c r="P34" s="59"/>
      <c r="Q34" s="68"/>
      <c r="R34" s="69"/>
      <c r="S34" s="70"/>
      <c r="T34" s="71"/>
      <c r="U34" s="71"/>
      <c r="V34" s="78" t="s">
        <v>76</v>
      </c>
      <c r="W34" s="79" t="s">
        <v>84</v>
      </c>
      <c r="X34" s="80">
        <v>65280</v>
      </c>
    </row>
    <row r="35" spans="1:27" x14ac:dyDescent="0.25">
      <c r="A35" s="50"/>
      <c r="B35" s="51"/>
      <c r="C35" s="81" t="s">
        <v>69</v>
      </c>
      <c r="D35" s="50"/>
      <c r="E35" s="59"/>
      <c r="F35" s="54"/>
      <c r="G35" s="54"/>
      <c r="H35" s="76"/>
      <c r="I35" s="59"/>
      <c r="J35" s="52"/>
      <c r="K35" s="59"/>
      <c r="L35" s="52"/>
      <c r="M35" s="50"/>
      <c r="N35" s="50"/>
      <c r="O35" s="50"/>
      <c r="P35" s="59"/>
      <c r="Q35" s="68"/>
      <c r="R35" s="69"/>
      <c r="S35" s="70"/>
      <c r="T35" s="71"/>
      <c r="U35" s="71"/>
    </row>
    <row r="36" spans="1:27" x14ac:dyDescent="0.25">
      <c r="A36" s="50">
        <v>11</v>
      </c>
      <c r="B36" s="51"/>
      <c r="C36" s="58" t="s">
        <v>85</v>
      </c>
      <c r="D36" s="50"/>
      <c r="E36" s="59" t="s">
        <v>47</v>
      </c>
      <c r="F36" s="54">
        <v>0</v>
      </c>
      <c r="G36" s="54">
        <v>0</v>
      </c>
      <c r="H36" s="76"/>
      <c r="I36" s="67"/>
      <c r="J36" s="52"/>
      <c r="K36" s="59"/>
      <c r="L36" s="52" t="s">
        <v>86</v>
      </c>
      <c r="M36" s="50">
        <f>$D$5</f>
        <v>27</v>
      </c>
      <c r="N36" s="50">
        <f>$D$4</f>
        <v>5</v>
      </c>
      <c r="O36" s="50">
        <f>IF(A36&lt;&gt;"",M36*2^9+A36,"")</f>
        <v>13835</v>
      </c>
      <c r="P36" s="59" t="str">
        <f>IF(A36&lt;&gt;"","0x" &amp;DEC2HEX( O36,4),"")</f>
        <v>0x360B</v>
      </c>
      <c r="Q36" s="61" t="s">
        <v>87</v>
      </c>
      <c r="R36" s="82"/>
      <c r="S36" s="83"/>
      <c r="T36" s="83"/>
      <c r="U36" s="84"/>
      <c r="W36" s="52"/>
      <c r="Y36"/>
      <c r="Z36" s="52"/>
      <c r="AA36"/>
    </row>
    <row r="37" spans="1:27" x14ac:dyDescent="0.25">
      <c r="A37" s="50">
        <v>12</v>
      </c>
      <c r="B37" s="51"/>
      <c r="C37" s="58" t="s">
        <v>88</v>
      </c>
      <c r="D37" s="50"/>
      <c r="E37" s="59" t="s">
        <v>47</v>
      </c>
      <c r="F37" s="54">
        <v>0</v>
      </c>
      <c r="G37" s="54">
        <v>0</v>
      </c>
      <c r="H37" s="76"/>
      <c r="I37" s="67"/>
      <c r="J37" s="52"/>
      <c r="K37" s="59"/>
      <c r="L37" s="52" t="s">
        <v>86</v>
      </c>
      <c r="M37" s="50">
        <f>$D$5</f>
        <v>27</v>
      </c>
      <c r="N37" s="50">
        <f>$D$4</f>
        <v>5</v>
      </c>
      <c r="O37" s="50">
        <f>IF(A37&lt;&gt;"",M37*2^9+A37,"")</f>
        <v>13836</v>
      </c>
      <c r="P37" s="59" t="str">
        <f>IF(A37&lt;&gt;"","0x" &amp;DEC2HEX( O37,4),"")</f>
        <v>0x360C</v>
      </c>
      <c r="Q37" s="61" t="s">
        <v>87</v>
      </c>
      <c r="R37" s="82"/>
      <c r="S37" s="83"/>
      <c r="T37" s="83"/>
      <c r="U37" s="84"/>
      <c r="W37" s="52"/>
      <c r="Y37"/>
      <c r="Z37" s="52"/>
      <c r="AA37"/>
    </row>
    <row r="38" spans="1:27" x14ac:dyDescent="0.25">
      <c r="A38" s="50"/>
      <c r="B38" s="51"/>
      <c r="C38" s="58"/>
      <c r="D38" s="50"/>
      <c r="E38" s="59"/>
      <c r="F38" s="54"/>
      <c r="G38" s="54"/>
      <c r="H38" s="76"/>
      <c r="I38" s="72"/>
      <c r="J38" s="52"/>
      <c r="K38" s="59"/>
      <c r="L38" s="52"/>
      <c r="M38" s="50"/>
      <c r="N38" s="50"/>
      <c r="O38" s="50"/>
      <c r="P38" s="59"/>
      <c r="Q38" s="68"/>
      <c r="R38" s="69"/>
      <c r="S38" s="70"/>
      <c r="T38" s="71"/>
      <c r="U38" s="71"/>
    </row>
    <row r="39" spans="1:27" x14ac:dyDescent="0.25">
      <c r="A39" s="50"/>
      <c r="B39" s="51"/>
      <c r="C39" s="58"/>
      <c r="D39" s="50"/>
      <c r="E39" s="59"/>
      <c r="F39" s="54"/>
      <c r="G39" s="54"/>
      <c r="H39" s="76"/>
      <c r="I39" s="72"/>
      <c r="J39" s="52"/>
      <c r="K39" s="59"/>
      <c r="L39" s="52"/>
      <c r="M39" s="50"/>
      <c r="N39" s="50"/>
      <c r="O39" s="50"/>
      <c r="P39" s="59"/>
      <c r="Q39" s="68"/>
      <c r="R39" s="69"/>
      <c r="S39" s="70"/>
      <c r="T39" s="71"/>
      <c r="U39" s="71"/>
    </row>
    <row r="40" spans="1:27" x14ac:dyDescent="0.25">
      <c r="A40" s="50">
        <v>15</v>
      </c>
      <c r="B40" s="51"/>
      <c r="C40" s="58" t="s">
        <v>150</v>
      </c>
      <c r="D40" s="50"/>
      <c r="E40" s="59" t="s">
        <v>47</v>
      </c>
      <c r="F40" s="54">
        <v>0</v>
      </c>
      <c r="G40" s="54">
        <v>0</v>
      </c>
      <c r="H40" s="76"/>
      <c r="I40" s="85"/>
      <c r="J40" s="52" t="s">
        <v>90</v>
      </c>
      <c r="K40" s="59"/>
      <c r="L40" s="52" t="s">
        <v>154</v>
      </c>
      <c r="M40" s="50">
        <f t="shared" si="0"/>
        <v>27</v>
      </c>
      <c r="N40" s="50">
        <f t="shared" si="1"/>
        <v>5</v>
      </c>
      <c r="O40" s="50">
        <f t="shared" ref="O40:O43" si="4">IF(A40&lt;&gt;"",M40*2^9+A40,"")</f>
        <v>13839</v>
      </c>
      <c r="P40" s="59" t="str">
        <f t="shared" ref="P40:P51" si="5">IF(A40&lt;&gt;"","0x" &amp;DEC2HEX( O40,4),"")</f>
        <v>0x360F</v>
      </c>
      <c r="Q40" s="68"/>
      <c r="R40" s="69" t="s">
        <v>41</v>
      </c>
      <c r="S40" s="70"/>
      <c r="T40" s="71"/>
      <c r="U40" s="71"/>
    </row>
    <row r="41" spans="1:27" x14ac:dyDescent="0.25">
      <c r="A41" s="50">
        <v>16</v>
      </c>
      <c r="B41" s="51"/>
      <c r="C41" s="58" t="s">
        <v>151</v>
      </c>
      <c r="D41" s="50"/>
      <c r="E41" s="59" t="s">
        <v>47</v>
      </c>
      <c r="F41" s="54">
        <v>0</v>
      </c>
      <c r="G41" s="54">
        <v>0</v>
      </c>
      <c r="H41" s="76"/>
      <c r="I41" s="85"/>
      <c r="J41" s="52" t="s">
        <v>90</v>
      </c>
      <c r="K41" s="59"/>
      <c r="L41" s="52" t="s">
        <v>155</v>
      </c>
      <c r="M41" s="50">
        <f t="shared" si="0"/>
        <v>27</v>
      </c>
      <c r="N41" s="50">
        <f t="shared" si="1"/>
        <v>5</v>
      </c>
      <c r="O41" s="50">
        <f t="shared" si="4"/>
        <v>13840</v>
      </c>
      <c r="P41" s="59" t="str">
        <f t="shared" si="5"/>
        <v>0x3610</v>
      </c>
      <c r="Q41" s="68"/>
      <c r="R41" s="69" t="s">
        <v>41</v>
      </c>
      <c r="S41" s="70"/>
      <c r="T41" s="71"/>
      <c r="U41" s="71"/>
    </row>
    <row r="42" spans="1:27" x14ac:dyDescent="0.25">
      <c r="A42" s="50">
        <v>17</v>
      </c>
      <c r="B42" s="51"/>
      <c r="C42" s="58" t="s">
        <v>152</v>
      </c>
      <c r="D42" s="50"/>
      <c r="E42" s="59" t="s">
        <v>47</v>
      </c>
      <c r="F42" s="54">
        <v>0</v>
      </c>
      <c r="G42" s="54">
        <v>0</v>
      </c>
      <c r="H42" s="76"/>
      <c r="I42" s="85"/>
      <c r="J42" s="52" t="s">
        <v>90</v>
      </c>
      <c r="K42" s="59"/>
      <c r="L42" s="52" t="s">
        <v>156</v>
      </c>
      <c r="M42" s="50">
        <f t="shared" si="0"/>
        <v>27</v>
      </c>
      <c r="N42" s="50">
        <f t="shared" si="1"/>
        <v>5</v>
      </c>
      <c r="O42" s="50">
        <f t="shared" si="4"/>
        <v>13841</v>
      </c>
      <c r="P42" s="59" t="str">
        <f t="shared" si="5"/>
        <v>0x3611</v>
      </c>
      <c r="Q42" s="68"/>
      <c r="R42" s="69" t="s">
        <v>41</v>
      </c>
      <c r="S42" s="70"/>
      <c r="T42" s="71"/>
      <c r="U42" s="71"/>
    </row>
    <row r="43" spans="1:27" x14ac:dyDescent="0.25">
      <c r="A43" s="50">
        <v>18</v>
      </c>
      <c r="B43" s="51"/>
      <c r="C43" s="58" t="s">
        <v>153</v>
      </c>
      <c r="D43" s="50"/>
      <c r="E43" s="59" t="s">
        <v>47</v>
      </c>
      <c r="F43" s="54">
        <v>0</v>
      </c>
      <c r="G43" s="54">
        <v>0</v>
      </c>
      <c r="H43" s="76"/>
      <c r="I43" s="85"/>
      <c r="J43" s="52" t="s">
        <v>90</v>
      </c>
      <c r="K43" s="59"/>
      <c r="L43" s="52" t="s">
        <v>157</v>
      </c>
      <c r="M43" s="50">
        <f t="shared" si="0"/>
        <v>27</v>
      </c>
      <c r="N43" s="50">
        <f t="shared" si="1"/>
        <v>5</v>
      </c>
      <c r="O43" s="50">
        <f t="shared" si="4"/>
        <v>13842</v>
      </c>
      <c r="P43" s="59" t="str">
        <f t="shared" si="5"/>
        <v>0x3612</v>
      </c>
      <c r="Q43" s="68"/>
      <c r="R43" s="69" t="s">
        <v>41</v>
      </c>
      <c r="S43" s="70"/>
      <c r="T43" s="71"/>
      <c r="U43" s="71"/>
    </row>
    <row r="44" spans="1:27" x14ac:dyDescent="0.25">
      <c r="A44" s="50">
        <v>19</v>
      </c>
      <c r="B44" s="51"/>
      <c r="C44" s="58" t="s">
        <v>89</v>
      </c>
      <c r="D44" s="50"/>
      <c r="E44" s="59" t="s">
        <v>47</v>
      </c>
      <c r="F44" s="54">
        <v>0</v>
      </c>
      <c r="G44" s="54">
        <v>0</v>
      </c>
      <c r="H44" s="76"/>
      <c r="I44" s="85"/>
      <c r="J44" s="52" t="s">
        <v>90</v>
      </c>
      <c r="K44" s="59"/>
      <c r="L44" s="52" t="s">
        <v>91</v>
      </c>
      <c r="M44" s="50">
        <f t="shared" si="0"/>
        <v>27</v>
      </c>
      <c r="N44" s="50">
        <f t="shared" si="1"/>
        <v>5</v>
      </c>
      <c r="O44" s="50">
        <f t="shared" si="2"/>
        <v>13843</v>
      </c>
      <c r="P44" s="59" t="str">
        <f t="shared" si="5"/>
        <v>0x3613</v>
      </c>
      <c r="Q44" s="68"/>
      <c r="R44" s="69" t="s">
        <v>41</v>
      </c>
      <c r="S44" s="70"/>
      <c r="T44" s="71"/>
      <c r="U44" s="71"/>
    </row>
    <row r="45" spans="1:27" x14ac:dyDescent="0.25">
      <c r="A45" s="50">
        <v>20</v>
      </c>
      <c r="B45" s="51"/>
      <c r="C45" s="58" t="s">
        <v>92</v>
      </c>
      <c r="D45" s="50"/>
      <c r="E45" s="59" t="s">
        <v>47</v>
      </c>
      <c r="F45" s="54">
        <v>0</v>
      </c>
      <c r="G45" s="54">
        <v>0</v>
      </c>
      <c r="H45" s="76"/>
      <c r="I45" s="85"/>
      <c r="J45" s="52" t="s">
        <v>90</v>
      </c>
      <c r="K45" s="59"/>
      <c r="L45" s="52" t="s">
        <v>93</v>
      </c>
      <c r="M45" s="50">
        <f t="shared" si="0"/>
        <v>27</v>
      </c>
      <c r="N45" s="50">
        <f t="shared" si="1"/>
        <v>5</v>
      </c>
      <c r="O45" s="50">
        <f t="shared" si="2"/>
        <v>13844</v>
      </c>
      <c r="P45" s="59" t="str">
        <f t="shared" si="5"/>
        <v>0x3614</v>
      </c>
      <c r="Q45" s="68"/>
      <c r="R45" s="69" t="s">
        <v>41</v>
      </c>
      <c r="S45" s="70"/>
      <c r="T45" s="71"/>
      <c r="U45" s="71"/>
    </row>
    <row r="46" spans="1:27" x14ac:dyDescent="0.25">
      <c r="A46" s="50">
        <v>21</v>
      </c>
      <c r="B46" s="51"/>
      <c r="C46" s="58" t="s">
        <v>94</v>
      </c>
      <c r="D46" s="50"/>
      <c r="E46" s="59" t="s">
        <v>47</v>
      </c>
      <c r="F46" s="54">
        <v>0</v>
      </c>
      <c r="G46" s="54">
        <v>0</v>
      </c>
      <c r="H46" s="76"/>
      <c r="I46" s="85"/>
      <c r="J46" s="52" t="s">
        <v>90</v>
      </c>
      <c r="K46" s="59"/>
      <c r="L46" s="52" t="s">
        <v>95</v>
      </c>
      <c r="M46" s="50">
        <f t="shared" si="0"/>
        <v>27</v>
      </c>
      <c r="N46" s="50">
        <f t="shared" si="1"/>
        <v>5</v>
      </c>
      <c r="O46" s="50">
        <f t="shared" si="2"/>
        <v>13845</v>
      </c>
      <c r="P46" s="59" t="str">
        <f t="shared" si="5"/>
        <v>0x3615</v>
      </c>
      <c r="Q46" s="68"/>
      <c r="R46" s="69" t="s">
        <v>41</v>
      </c>
      <c r="S46" s="70"/>
      <c r="T46" s="71"/>
      <c r="U46" s="71"/>
    </row>
    <row r="47" spans="1:27" x14ac:dyDescent="0.25">
      <c r="A47" s="50">
        <v>22</v>
      </c>
      <c r="B47" s="51"/>
      <c r="C47" s="58" t="s">
        <v>96</v>
      </c>
      <c r="D47" s="50"/>
      <c r="E47" s="59" t="s">
        <v>47</v>
      </c>
      <c r="F47" s="54">
        <v>0</v>
      </c>
      <c r="G47" s="54">
        <v>0</v>
      </c>
      <c r="H47" s="76"/>
      <c r="I47" s="85"/>
      <c r="J47" s="52" t="s">
        <v>90</v>
      </c>
      <c r="K47" s="59"/>
      <c r="L47" s="52" t="s">
        <v>97</v>
      </c>
      <c r="M47" s="50">
        <f t="shared" si="0"/>
        <v>27</v>
      </c>
      <c r="N47" s="50">
        <f t="shared" si="1"/>
        <v>5</v>
      </c>
      <c r="O47" s="50">
        <f t="shared" si="2"/>
        <v>13846</v>
      </c>
      <c r="P47" s="59" t="str">
        <f t="shared" si="5"/>
        <v>0x3616</v>
      </c>
      <c r="Q47" s="68"/>
      <c r="R47" s="69" t="s">
        <v>41</v>
      </c>
      <c r="S47" s="70"/>
      <c r="T47" s="71"/>
      <c r="U47" s="71"/>
    </row>
    <row r="48" spans="1:27" x14ac:dyDescent="0.25">
      <c r="A48" s="50">
        <v>23</v>
      </c>
      <c r="B48" s="51"/>
      <c r="C48" s="58" t="s">
        <v>98</v>
      </c>
      <c r="D48" s="50"/>
      <c r="E48" s="59" t="s">
        <v>47</v>
      </c>
      <c r="F48" s="54">
        <v>0</v>
      </c>
      <c r="G48" s="54">
        <v>0</v>
      </c>
      <c r="H48" s="76"/>
      <c r="I48" s="85"/>
      <c r="J48" s="52" t="s">
        <v>99</v>
      </c>
      <c r="K48" s="59"/>
      <c r="L48" s="52" t="s">
        <v>100</v>
      </c>
      <c r="M48" s="50">
        <f t="shared" si="0"/>
        <v>27</v>
      </c>
      <c r="N48" s="50">
        <f t="shared" si="1"/>
        <v>5</v>
      </c>
      <c r="O48" s="50">
        <f t="shared" si="2"/>
        <v>13847</v>
      </c>
      <c r="P48" s="59" t="str">
        <f t="shared" si="5"/>
        <v>0x3617</v>
      </c>
      <c r="Q48" s="68"/>
      <c r="R48" s="69" t="s">
        <v>41</v>
      </c>
      <c r="S48" s="70"/>
      <c r="T48" s="71"/>
      <c r="U48" s="71"/>
    </row>
    <row r="49" spans="1:27" x14ac:dyDescent="0.25">
      <c r="A49" s="50">
        <v>24</v>
      </c>
      <c r="B49" s="51"/>
      <c r="C49" s="58" t="s">
        <v>101</v>
      </c>
      <c r="D49" s="50"/>
      <c r="E49" s="53" t="s">
        <v>38</v>
      </c>
      <c r="F49" s="50">
        <v>0</v>
      </c>
      <c r="G49" s="55">
        <v>3900</v>
      </c>
      <c r="H49" s="56"/>
      <c r="I49" s="85">
        <v>1</v>
      </c>
      <c r="J49" s="52" t="s">
        <v>39</v>
      </c>
      <c r="K49" s="59"/>
      <c r="L49" s="52" t="s">
        <v>102</v>
      </c>
      <c r="M49" s="50">
        <f t="shared" si="0"/>
        <v>27</v>
      </c>
      <c r="N49" s="50">
        <f t="shared" si="1"/>
        <v>5</v>
      </c>
      <c r="O49" s="50">
        <f t="shared" si="2"/>
        <v>13848</v>
      </c>
      <c r="P49" s="59" t="str">
        <f t="shared" si="5"/>
        <v>0x3618</v>
      </c>
      <c r="Q49" s="68"/>
      <c r="R49" s="69" t="s">
        <v>41</v>
      </c>
      <c r="S49" s="70"/>
      <c r="T49" s="71"/>
      <c r="U49" s="71"/>
    </row>
    <row r="50" spans="1:27" x14ac:dyDescent="0.25">
      <c r="A50" s="50">
        <v>25</v>
      </c>
      <c r="B50" s="51"/>
      <c r="C50" s="58" t="s">
        <v>103</v>
      </c>
      <c r="D50" s="50"/>
      <c r="E50" s="53" t="s">
        <v>38</v>
      </c>
      <c r="F50" s="50">
        <v>0</v>
      </c>
      <c r="G50" s="55">
        <v>3900</v>
      </c>
      <c r="H50" s="56"/>
      <c r="I50" s="85">
        <v>1</v>
      </c>
      <c r="J50" s="52" t="s">
        <v>39</v>
      </c>
      <c r="K50" s="59"/>
      <c r="L50" s="52" t="s">
        <v>104</v>
      </c>
      <c r="M50" s="50">
        <f t="shared" si="0"/>
        <v>27</v>
      </c>
      <c r="N50" s="50">
        <f t="shared" si="1"/>
        <v>5</v>
      </c>
      <c r="O50" s="50">
        <f t="shared" si="2"/>
        <v>13849</v>
      </c>
      <c r="P50" s="59" t="str">
        <f t="shared" si="5"/>
        <v>0x3619</v>
      </c>
      <c r="Q50" s="68"/>
      <c r="R50" s="69" t="s">
        <v>41</v>
      </c>
      <c r="S50" s="70"/>
      <c r="T50" s="71"/>
      <c r="U50" s="71"/>
    </row>
    <row r="51" spans="1:27" x14ac:dyDescent="0.25">
      <c r="A51" s="86">
        <v>26</v>
      </c>
      <c r="B51" s="51"/>
      <c r="C51" s="87" t="s">
        <v>105</v>
      </c>
      <c r="D51" s="86"/>
      <c r="E51" s="59" t="s">
        <v>47</v>
      </c>
      <c r="F51" s="88">
        <v>0</v>
      </c>
      <c r="G51" s="89">
        <v>3</v>
      </c>
      <c r="H51" s="90"/>
      <c r="I51" s="88"/>
      <c r="J51" s="91" t="s">
        <v>106</v>
      </c>
      <c r="K51" s="59"/>
      <c r="L51" s="52"/>
      <c r="M51" s="50">
        <f t="shared" si="0"/>
        <v>27</v>
      </c>
      <c r="N51" s="50">
        <f t="shared" si="1"/>
        <v>5</v>
      </c>
      <c r="O51" s="50">
        <f t="shared" si="2"/>
        <v>13850</v>
      </c>
      <c r="P51" s="59" t="str">
        <f t="shared" si="5"/>
        <v>0x361A</v>
      </c>
      <c r="Q51" s="68"/>
      <c r="R51" s="69" t="s">
        <v>41</v>
      </c>
      <c r="S51" s="70"/>
      <c r="T51" s="71"/>
      <c r="U51" s="71"/>
      <c r="V51" s="78" t="s">
        <v>105</v>
      </c>
      <c r="W51" s="79" t="s">
        <v>107</v>
      </c>
      <c r="X51" s="80">
        <v>0</v>
      </c>
      <c r="Y51" s="78" t="s">
        <v>105</v>
      </c>
      <c r="Z51" s="137" t="s">
        <v>160</v>
      </c>
      <c r="AA51" s="13">
        <v>0</v>
      </c>
    </row>
    <row r="52" spans="1:27" x14ac:dyDescent="0.25">
      <c r="A52" s="86"/>
      <c r="B52" s="51"/>
      <c r="C52" s="81" t="s">
        <v>69</v>
      </c>
      <c r="D52" s="86"/>
      <c r="E52" s="53"/>
      <c r="F52" s="86"/>
      <c r="G52" s="92"/>
      <c r="H52" s="90"/>
      <c r="I52" s="88"/>
      <c r="J52" s="91"/>
      <c r="K52" s="59"/>
      <c r="L52" s="52"/>
      <c r="M52" s="50"/>
      <c r="N52" s="50"/>
      <c r="O52" s="50"/>
      <c r="P52" s="59"/>
      <c r="Q52" s="68"/>
      <c r="R52" s="69"/>
      <c r="S52" s="70"/>
      <c r="T52" s="71"/>
      <c r="U52" s="71"/>
      <c r="V52" s="78" t="s">
        <v>105</v>
      </c>
      <c r="W52" s="79" t="s">
        <v>108</v>
      </c>
      <c r="X52" s="80">
        <v>1</v>
      </c>
      <c r="Y52" s="78" t="s">
        <v>105</v>
      </c>
      <c r="Z52" s="137" t="s">
        <v>159</v>
      </c>
      <c r="AA52" s="13">
        <v>1</v>
      </c>
    </row>
    <row r="53" spans="1:27" x14ac:dyDescent="0.25">
      <c r="A53" s="86"/>
      <c r="B53" s="51"/>
      <c r="C53" s="81" t="s">
        <v>69</v>
      </c>
      <c r="D53" s="86"/>
      <c r="E53" s="53"/>
      <c r="F53" s="86"/>
      <c r="G53" s="92"/>
      <c r="H53" s="90"/>
      <c r="I53" s="88"/>
      <c r="J53" s="91"/>
      <c r="K53" s="59"/>
      <c r="L53" s="52"/>
      <c r="M53" s="50"/>
      <c r="N53" s="50"/>
      <c r="O53" s="50"/>
      <c r="P53" s="59"/>
      <c r="Q53" s="68"/>
      <c r="R53" s="69"/>
      <c r="S53" s="70"/>
      <c r="T53" s="71"/>
      <c r="U53" s="71"/>
      <c r="V53" s="78" t="s">
        <v>105</v>
      </c>
      <c r="W53" s="79" t="s">
        <v>109</v>
      </c>
      <c r="X53" s="80">
        <v>2</v>
      </c>
    </row>
    <row r="54" spans="1:27" x14ac:dyDescent="0.25">
      <c r="A54" s="86"/>
      <c r="B54" s="51"/>
      <c r="C54" s="81" t="s">
        <v>69</v>
      </c>
      <c r="D54" s="86"/>
      <c r="E54" s="53"/>
      <c r="F54" s="86"/>
      <c r="G54" s="92"/>
      <c r="H54" s="90"/>
      <c r="I54" s="88"/>
      <c r="J54" s="91"/>
      <c r="K54" s="59"/>
      <c r="L54" s="52"/>
      <c r="M54" s="50"/>
      <c r="N54" s="50"/>
      <c r="O54" s="50"/>
      <c r="P54" s="59"/>
      <c r="Q54" s="68"/>
      <c r="R54" s="69"/>
      <c r="S54" s="70"/>
      <c r="T54" s="71"/>
      <c r="U54" s="71"/>
      <c r="V54" s="78" t="s">
        <v>105</v>
      </c>
      <c r="W54" s="79" t="s">
        <v>110</v>
      </c>
      <c r="X54" s="93">
        <v>3</v>
      </c>
    </row>
    <row r="55" spans="1:27" x14ac:dyDescent="0.25">
      <c r="A55" s="86"/>
      <c r="B55" s="51"/>
      <c r="C55" s="81" t="s">
        <v>69</v>
      </c>
      <c r="D55" s="86"/>
      <c r="E55" s="53"/>
      <c r="F55" s="86"/>
      <c r="G55" s="92"/>
      <c r="H55" s="90"/>
      <c r="I55" s="88"/>
      <c r="J55" s="91"/>
      <c r="K55" s="59"/>
      <c r="L55" s="52"/>
      <c r="M55" s="50"/>
      <c r="N55" s="50"/>
      <c r="O55" s="50"/>
      <c r="P55" s="59"/>
      <c r="Q55" s="68"/>
      <c r="R55" s="69"/>
      <c r="S55" s="70"/>
      <c r="T55" s="71"/>
      <c r="U55" s="71"/>
      <c r="V55" s="78" t="s">
        <v>105</v>
      </c>
      <c r="W55" s="79" t="s">
        <v>158</v>
      </c>
      <c r="X55" s="93">
        <v>4</v>
      </c>
    </row>
    <row r="56" spans="1:27" x14ac:dyDescent="0.25">
      <c r="A56" s="86">
        <v>27</v>
      </c>
      <c r="B56" s="51"/>
      <c r="C56" s="87" t="s">
        <v>111</v>
      </c>
      <c r="D56" s="86"/>
      <c r="E56" s="59" t="s">
        <v>47</v>
      </c>
      <c r="F56" s="54">
        <v>0</v>
      </c>
      <c r="G56" s="54">
        <v>0</v>
      </c>
      <c r="H56" s="76"/>
      <c r="I56" s="88"/>
      <c r="J56" s="91" t="s">
        <v>112</v>
      </c>
      <c r="K56" s="59"/>
      <c r="L56" s="52"/>
      <c r="M56" s="50">
        <f t="shared" si="0"/>
        <v>27</v>
      </c>
      <c r="N56" s="50">
        <f t="shared" si="1"/>
        <v>5</v>
      </c>
      <c r="O56" s="50">
        <f t="shared" si="2"/>
        <v>13851</v>
      </c>
      <c r="P56" s="59" t="str">
        <f t="shared" ref="P56:P83" si="6">IF(A56&lt;&gt;"","0x" &amp;DEC2HEX( O56,4),"")</f>
        <v>0x361B</v>
      </c>
      <c r="Q56" s="68"/>
      <c r="R56" s="69" t="s">
        <v>41</v>
      </c>
      <c r="S56" s="70"/>
      <c r="T56" s="71"/>
      <c r="U56" s="71"/>
    </row>
    <row r="57" spans="1:27" x14ac:dyDescent="0.25">
      <c r="A57" s="86">
        <v>28</v>
      </c>
      <c r="B57" s="51"/>
      <c r="C57" s="94" t="s">
        <v>113</v>
      </c>
      <c r="D57" s="86"/>
      <c r="E57" s="59" t="s">
        <v>47</v>
      </c>
      <c r="F57" s="54">
        <v>0</v>
      </c>
      <c r="G57" s="54">
        <v>0</v>
      </c>
      <c r="H57" s="76"/>
      <c r="I57" s="88"/>
      <c r="J57" s="91" t="s">
        <v>112</v>
      </c>
      <c r="K57" s="59"/>
      <c r="L57" s="52"/>
      <c r="M57" s="50">
        <f t="shared" si="0"/>
        <v>27</v>
      </c>
      <c r="N57" s="50">
        <f t="shared" si="1"/>
        <v>5</v>
      </c>
      <c r="O57" s="50">
        <f t="shared" si="2"/>
        <v>13852</v>
      </c>
      <c r="P57" s="59" t="str">
        <f t="shared" si="6"/>
        <v>0x361C</v>
      </c>
      <c r="Q57" s="61" t="s">
        <v>87</v>
      </c>
      <c r="R57" s="69" t="s">
        <v>41</v>
      </c>
      <c r="S57" s="70"/>
      <c r="T57" s="71"/>
      <c r="U57" s="71"/>
    </row>
    <row r="58" spans="1:27" x14ac:dyDescent="0.25">
      <c r="A58" s="86">
        <v>29</v>
      </c>
      <c r="B58" s="51"/>
      <c r="C58" s="87" t="s">
        <v>114</v>
      </c>
      <c r="D58" s="86"/>
      <c r="E58" s="59" t="s">
        <v>47</v>
      </c>
      <c r="F58" s="54">
        <v>0</v>
      </c>
      <c r="G58" s="54">
        <v>0</v>
      </c>
      <c r="H58" s="76"/>
      <c r="I58" s="88"/>
      <c r="J58" s="91" t="s">
        <v>112</v>
      </c>
      <c r="K58" s="59"/>
      <c r="L58" s="52"/>
      <c r="M58" s="50">
        <f t="shared" si="0"/>
        <v>27</v>
      </c>
      <c r="N58" s="50">
        <f t="shared" si="1"/>
        <v>5</v>
      </c>
      <c r="O58" s="50">
        <f t="shared" si="2"/>
        <v>13853</v>
      </c>
      <c r="P58" s="59" t="str">
        <f t="shared" si="6"/>
        <v>0x361D</v>
      </c>
      <c r="Q58" s="61" t="s">
        <v>87</v>
      </c>
      <c r="R58" s="69" t="s">
        <v>41</v>
      </c>
      <c r="S58" s="70"/>
      <c r="T58" s="71"/>
      <c r="U58" s="71"/>
    </row>
    <row r="59" spans="1:27" ht="12.6" customHeight="1" x14ac:dyDescent="0.25">
      <c r="A59" s="86">
        <v>30</v>
      </c>
      <c r="B59" s="51"/>
      <c r="C59" s="94" t="s">
        <v>115</v>
      </c>
      <c r="D59" s="86"/>
      <c r="E59" s="59" t="s">
        <v>47</v>
      </c>
      <c r="F59" s="54">
        <v>0</v>
      </c>
      <c r="G59" s="54">
        <v>0</v>
      </c>
      <c r="H59" s="76"/>
      <c r="I59" s="88"/>
      <c r="J59" s="91" t="s">
        <v>112</v>
      </c>
      <c r="K59" s="59"/>
      <c r="L59" s="52"/>
      <c r="M59" s="50">
        <f t="shared" si="0"/>
        <v>27</v>
      </c>
      <c r="N59" s="50">
        <f t="shared" si="1"/>
        <v>5</v>
      </c>
      <c r="O59" s="50">
        <f t="shared" si="2"/>
        <v>13854</v>
      </c>
      <c r="P59" s="59" t="str">
        <f t="shared" si="6"/>
        <v>0x361E</v>
      </c>
      <c r="Q59" s="68"/>
      <c r="R59" s="69" t="s">
        <v>41</v>
      </c>
      <c r="S59" s="70"/>
      <c r="T59" s="71"/>
      <c r="U59" s="71" t="s">
        <v>67</v>
      </c>
    </row>
    <row r="60" spans="1:27" x14ac:dyDescent="0.25">
      <c r="A60" s="86">
        <v>31</v>
      </c>
      <c r="B60" s="51"/>
      <c r="C60" s="94" t="s">
        <v>116</v>
      </c>
      <c r="D60" s="86"/>
      <c r="E60" s="53" t="s">
        <v>38</v>
      </c>
      <c r="F60" s="50">
        <v>1800</v>
      </c>
      <c r="G60" s="55">
        <v>3900</v>
      </c>
      <c r="H60" s="56"/>
      <c r="I60" s="88"/>
      <c r="J60" s="91" t="s">
        <v>39</v>
      </c>
      <c r="K60" s="59"/>
      <c r="L60" s="52"/>
      <c r="M60" s="50">
        <f t="shared" si="0"/>
        <v>27</v>
      </c>
      <c r="N60" s="50">
        <f t="shared" si="1"/>
        <v>5</v>
      </c>
      <c r="O60" s="50">
        <f t="shared" si="2"/>
        <v>13855</v>
      </c>
      <c r="P60" s="59" t="str">
        <f t="shared" si="6"/>
        <v>0x361F</v>
      </c>
      <c r="Q60" s="61" t="s">
        <v>54</v>
      </c>
      <c r="R60" s="69" t="s">
        <v>41</v>
      </c>
      <c r="S60" s="70"/>
      <c r="T60" s="71"/>
      <c r="U60" s="71" t="s">
        <v>67</v>
      </c>
    </row>
    <row r="61" spans="1:27" x14ac:dyDescent="0.25">
      <c r="A61" s="86">
        <v>32</v>
      </c>
      <c r="B61" s="51"/>
      <c r="C61" s="87" t="s">
        <v>117</v>
      </c>
      <c r="D61" s="86"/>
      <c r="E61" s="53" t="s">
        <v>38</v>
      </c>
      <c r="F61" s="50">
        <v>1800</v>
      </c>
      <c r="G61" s="55">
        <v>3900</v>
      </c>
      <c r="H61" s="56"/>
      <c r="I61" s="88"/>
      <c r="J61" s="91" t="s">
        <v>39</v>
      </c>
      <c r="K61" s="59"/>
      <c r="L61" s="52"/>
      <c r="M61" s="50">
        <f t="shared" si="0"/>
        <v>27</v>
      </c>
      <c r="N61" s="50">
        <f t="shared" si="1"/>
        <v>5</v>
      </c>
      <c r="O61" s="50">
        <f t="shared" si="2"/>
        <v>13856</v>
      </c>
      <c r="P61" s="59" t="str">
        <f t="shared" si="6"/>
        <v>0x3620</v>
      </c>
      <c r="Q61" s="61" t="s">
        <v>54</v>
      </c>
      <c r="R61" s="69" t="s">
        <v>41</v>
      </c>
      <c r="S61" s="70"/>
      <c r="T61" s="71"/>
      <c r="U61" s="71" t="s">
        <v>67</v>
      </c>
    </row>
    <row r="62" spans="1:27" x14ac:dyDescent="0.25">
      <c r="A62" s="86">
        <v>33</v>
      </c>
      <c r="B62" s="51"/>
      <c r="C62" s="94" t="s">
        <v>118</v>
      </c>
      <c r="D62" s="86"/>
      <c r="E62" s="53" t="s">
        <v>38</v>
      </c>
      <c r="F62" s="50">
        <v>1800</v>
      </c>
      <c r="G62" s="55">
        <v>3900</v>
      </c>
      <c r="H62" s="56"/>
      <c r="I62" s="88"/>
      <c r="J62" s="91" t="s">
        <v>39</v>
      </c>
      <c r="K62" s="59"/>
      <c r="L62" s="52"/>
      <c r="M62" s="50">
        <f t="shared" si="0"/>
        <v>27</v>
      </c>
      <c r="N62" s="50">
        <f t="shared" si="1"/>
        <v>5</v>
      </c>
      <c r="O62" s="50">
        <f t="shared" si="2"/>
        <v>13857</v>
      </c>
      <c r="P62" s="59" t="str">
        <f t="shared" si="6"/>
        <v>0x3621</v>
      </c>
      <c r="Q62" s="68"/>
      <c r="R62" s="69" t="s">
        <v>41</v>
      </c>
      <c r="S62" s="70"/>
      <c r="T62" s="71"/>
      <c r="U62" s="71" t="s">
        <v>67</v>
      </c>
    </row>
    <row r="63" spans="1:27" x14ac:dyDescent="0.25">
      <c r="A63" s="86">
        <v>34</v>
      </c>
      <c r="B63" s="51"/>
      <c r="C63" s="94" t="s">
        <v>119</v>
      </c>
      <c r="D63" s="86"/>
      <c r="E63" s="53" t="s">
        <v>38</v>
      </c>
      <c r="F63" s="50">
        <v>1800</v>
      </c>
      <c r="G63" s="55">
        <v>3900</v>
      </c>
      <c r="H63" s="56"/>
      <c r="I63" s="88"/>
      <c r="J63" s="91" t="s">
        <v>39</v>
      </c>
      <c r="K63" s="59"/>
      <c r="L63" s="52"/>
      <c r="M63" s="50">
        <f t="shared" si="0"/>
        <v>27</v>
      </c>
      <c r="N63" s="50">
        <f t="shared" si="1"/>
        <v>5</v>
      </c>
      <c r="O63" s="50">
        <f t="shared" si="2"/>
        <v>13858</v>
      </c>
      <c r="P63" s="59" t="str">
        <f t="shared" si="6"/>
        <v>0x3622</v>
      </c>
      <c r="Q63" s="68"/>
      <c r="R63" s="69" t="s">
        <v>41</v>
      </c>
      <c r="S63" s="70"/>
      <c r="T63" s="71"/>
      <c r="U63" s="71" t="s">
        <v>67</v>
      </c>
    </row>
    <row r="64" spans="1:27" x14ac:dyDescent="0.25">
      <c r="A64" s="50"/>
      <c r="B64" s="51"/>
      <c r="C64" s="52"/>
      <c r="D64" s="50"/>
      <c r="E64" s="59"/>
      <c r="F64" s="59"/>
      <c r="G64" s="72"/>
      <c r="H64" s="73"/>
      <c r="I64" s="59"/>
      <c r="J64" s="95"/>
      <c r="K64" s="59"/>
      <c r="L64" s="52"/>
      <c r="M64" s="50">
        <f t="shared" si="0"/>
        <v>27</v>
      </c>
      <c r="N64" s="50">
        <f t="shared" si="1"/>
        <v>5</v>
      </c>
      <c r="O64" s="50" t="str">
        <f>IF(A64&lt;&gt;"",M64*2^9+A64,"")</f>
        <v/>
      </c>
      <c r="P64" s="59" t="str">
        <f t="shared" si="6"/>
        <v/>
      </c>
      <c r="Q64" s="68"/>
      <c r="R64" s="69"/>
      <c r="S64" s="70"/>
      <c r="T64" s="71"/>
      <c r="U64" s="71"/>
    </row>
    <row r="65" spans="1:21" x14ac:dyDescent="0.25">
      <c r="A65" s="86">
        <v>40</v>
      </c>
      <c r="B65" s="51"/>
      <c r="C65" s="94" t="s">
        <v>120</v>
      </c>
      <c r="D65" s="86"/>
      <c r="E65" s="96" t="s">
        <v>47</v>
      </c>
      <c r="F65" s="54">
        <v>0</v>
      </c>
      <c r="G65" s="54">
        <v>0</v>
      </c>
      <c r="H65" s="97"/>
      <c r="I65" s="67"/>
      <c r="J65" s="58" t="s">
        <v>99</v>
      </c>
      <c r="K65" s="59"/>
      <c r="L65" s="58" t="s">
        <v>121</v>
      </c>
      <c r="M65" s="50">
        <f t="shared" si="0"/>
        <v>27</v>
      </c>
      <c r="N65" s="50">
        <f t="shared" si="1"/>
        <v>5</v>
      </c>
      <c r="O65" s="50">
        <f>IF(A65&lt;&gt;"",M65*2^9+A65,"")</f>
        <v>13864</v>
      </c>
      <c r="P65" s="59" t="str">
        <f t="shared" si="6"/>
        <v>0x3628</v>
      </c>
      <c r="Q65" s="68"/>
      <c r="R65" s="69"/>
      <c r="S65" s="70"/>
      <c r="T65" s="71"/>
      <c r="U65" s="71"/>
    </row>
    <row r="66" spans="1:21" x14ac:dyDescent="0.25">
      <c r="A66" s="86"/>
      <c r="B66" s="51"/>
      <c r="C66" s="94"/>
      <c r="D66" s="86"/>
      <c r="E66" s="96"/>
      <c r="F66" s="54"/>
      <c r="G66" s="54"/>
      <c r="H66" s="76"/>
      <c r="I66" s="67"/>
      <c r="J66" s="58"/>
      <c r="K66" s="59"/>
      <c r="L66" s="58"/>
      <c r="M66" s="50">
        <f t="shared" si="0"/>
        <v>27</v>
      </c>
      <c r="N66" s="50">
        <f t="shared" si="1"/>
        <v>5</v>
      </c>
      <c r="O66" s="50" t="str">
        <f t="shared" ref="O66:O83" si="7">IF(A66&lt;&gt;"",M66*2^9+A66,"")</f>
        <v/>
      </c>
      <c r="P66" s="59" t="str">
        <f t="shared" si="6"/>
        <v/>
      </c>
      <c r="Q66" s="68"/>
      <c r="R66" s="69"/>
      <c r="S66" s="70"/>
      <c r="T66" s="71"/>
      <c r="U66" s="71"/>
    </row>
    <row r="67" spans="1:21" x14ac:dyDescent="0.25">
      <c r="A67" s="86"/>
      <c r="B67" s="51"/>
      <c r="C67" s="94"/>
      <c r="D67" s="86"/>
      <c r="E67" s="96"/>
      <c r="F67" s="54"/>
      <c r="G67" s="54"/>
      <c r="H67" s="76"/>
      <c r="I67" s="67"/>
      <c r="J67" s="58"/>
      <c r="K67" s="59"/>
      <c r="L67" s="58"/>
      <c r="M67" s="50">
        <f t="shared" si="0"/>
        <v>27</v>
      </c>
      <c r="N67" s="50">
        <f t="shared" si="1"/>
        <v>5</v>
      </c>
      <c r="O67" s="50" t="str">
        <f t="shared" si="7"/>
        <v/>
      </c>
      <c r="P67" s="59" t="str">
        <f t="shared" si="6"/>
        <v/>
      </c>
      <c r="Q67" s="68"/>
      <c r="R67" s="69"/>
      <c r="S67" s="70"/>
      <c r="T67" s="71"/>
      <c r="U67" s="71"/>
    </row>
    <row r="68" spans="1:21" x14ac:dyDescent="0.25">
      <c r="A68" s="86">
        <v>50</v>
      </c>
      <c r="B68" s="51"/>
      <c r="C68" s="94" t="s">
        <v>122</v>
      </c>
      <c r="D68" s="86"/>
      <c r="E68" s="53" t="s">
        <v>38</v>
      </c>
      <c r="F68" s="54">
        <v>0</v>
      </c>
      <c r="G68" s="55">
        <v>2250</v>
      </c>
      <c r="H68" s="76"/>
      <c r="I68" s="67"/>
      <c r="J68" s="58" t="s">
        <v>39</v>
      </c>
      <c r="K68" s="59"/>
      <c r="L68" s="58"/>
      <c r="M68" s="50">
        <f t="shared" si="0"/>
        <v>27</v>
      </c>
      <c r="N68" s="50">
        <f t="shared" si="1"/>
        <v>5</v>
      </c>
      <c r="O68" s="50">
        <f t="shared" si="7"/>
        <v>13874</v>
      </c>
      <c r="P68" s="59" t="str">
        <f t="shared" si="6"/>
        <v>0x3632</v>
      </c>
      <c r="Q68" s="61" t="s">
        <v>54</v>
      </c>
      <c r="R68" s="69"/>
      <c r="S68" s="70"/>
      <c r="T68" s="71"/>
      <c r="U68" s="71"/>
    </row>
    <row r="69" spans="1:21" x14ac:dyDescent="0.25">
      <c r="A69" s="86">
        <v>51</v>
      </c>
      <c r="B69" s="51"/>
      <c r="C69" s="94" t="s">
        <v>123</v>
      </c>
      <c r="D69" s="86"/>
      <c r="E69" s="53" t="s">
        <v>38</v>
      </c>
      <c r="F69" s="54">
        <v>0</v>
      </c>
      <c r="G69" s="55">
        <v>2250</v>
      </c>
      <c r="H69" s="76"/>
      <c r="I69" s="67"/>
      <c r="J69" s="58" t="s">
        <v>39</v>
      </c>
      <c r="K69" s="59"/>
      <c r="L69" s="58"/>
      <c r="M69" s="50">
        <f t="shared" si="0"/>
        <v>27</v>
      </c>
      <c r="N69" s="50">
        <f t="shared" si="1"/>
        <v>5</v>
      </c>
      <c r="O69" s="50">
        <f t="shared" si="7"/>
        <v>13875</v>
      </c>
      <c r="P69" s="59" t="str">
        <f t="shared" si="6"/>
        <v>0x3633</v>
      </c>
      <c r="Q69" s="61" t="s">
        <v>54</v>
      </c>
      <c r="R69" s="69"/>
      <c r="S69" s="70"/>
      <c r="T69" s="71"/>
      <c r="U69" s="71"/>
    </row>
    <row r="70" spans="1:21" x14ac:dyDescent="0.25">
      <c r="A70" s="86">
        <v>52</v>
      </c>
      <c r="B70" s="51"/>
      <c r="C70" s="94" t="s">
        <v>124</v>
      </c>
      <c r="D70" s="86"/>
      <c r="E70" s="53" t="s">
        <v>38</v>
      </c>
      <c r="F70" s="54">
        <v>0</v>
      </c>
      <c r="G70" s="55">
        <v>2250</v>
      </c>
      <c r="H70" s="76"/>
      <c r="I70" s="67"/>
      <c r="J70" s="58" t="s">
        <v>39</v>
      </c>
      <c r="K70" s="59"/>
      <c r="L70" s="58"/>
      <c r="M70" s="50">
        <f t="shared" si="0"/>
        <v>27</v>
      </c>
      <c r="N70" s="50">
        <f t="shared" si="1"/>
        <v>5</v>
      </c>
      <c r="O70" s="50">
        <f t="shared" si="7"/>
        <v>13876</v>
      </c>
      <c r="P70" s="59" t="str">
        <f t="shared" si="6"/>
        <v>0x3634</v>
      </c>
      <c r="Q70" s="61" t="s">
        <v>54</v>
      </c>
      <c r="R70" s="69"/>
      <c r="S70" s="70"/>
      <c r="T70" s="71"/>
      <c r="U70" s="71"/>
    </row>
    <row r="71" spans="1:21" x14ac:dyDescent="0.25">
      <c r="A71" s="86">
        <v>53</v>
      </c>
      <c r="B71" s="51"/>
      <c r="C71" s="94" t="s">
        <v>125</v>
      </c>
      <c r="D71" s="86"/>
      <c r="E71" s="53" t="s">
        <v>38</v>
      </c>
      <c r="F71" s="54">
        <v>0</v>
      </c>
      <c r="G71" s="55">
        <v>2250</v>
      </c>
      <c r="H71" s="76"/>
      <c r="I71" s="67"/>
      <c r="J71" s="58" t="s">
        <v>39</v>
      </c>
      <c r="K71" s="59"/>
      <c r="L71" s="58"/>
      <c r="M71" s="50">
        <f t="shared" si="0"/>
        <v>27</v>
      </c>
      <c r="N71" s="50">
        <f t="shared" si="1"/>
        <v>5</v>
      </c>
      <c r="O71" s="50">
        <f t="shared" si="7"/>
        <v>13877</v>
      </c>
      <c r="P71" s="59" t="str">
        <f t="shared" si="6"/>
        <v>0x3635</v>
      </c>
      <c r="Q71" s="61" t="s">
        <v>54</v>
      </c>
      <c r="R71" s="69"/>
      <c r="S71" s="70"/>
      <c r="T71" s="71"/>
      <c r="U71" s="71"/>
    </row>
    <row r="72" spans="1:21" x14ac:dyDescent="0.25">
      <c r="A72" s="86"/>
      <c r="B72" s="51"/>
      <c r="C72" s="94"/>
      <c r="D72" s="86"/>
      <c r="E72" s="96"/>
      <c r="F72" s="54"/>
      <c r="G72" s="54"/>
      <c r="H72" s="76"/>
      <c r="I72" s="67"/>
      <c r="J72" s="58"/>
      <c r="K72" s="59"/>
      <c r="L72" s="58"/>
      <c r="M72" s="50">
        <f t="shared" si="0"/>
        <v>27</v>
      </c>
      <c r="N72" s="50">
        <f t="shared" si="1"/>
        <v>5</v>
      </c>
      <c r="O72" s="50" t="str">
        <f t="shared" si="7"/>
        <v/>
      </c>
      <c r="P72" s="59" t="str">
        <f t="shared" si="6"/>
        <v/>
      </c>
      <c r="Q72" s="68"/>
      <c r="R72" s="69"/>
      <c r="S72" s="70"/>
      <c r="T72" s="71"/>
      <c r="U72" s="71"/>
    </row>
    <row r="73" spans="1:21" x14ac:dyDescent="0.25">
      <c r="A73" s="86">
        <v>54</v>
      </c>
      <c r="B73" s="51"/>
      <c r="C73" s="94" t="s">
        <v>126</v>
      </c>
      <c r="D73" s="86"/>
      <c r="E73" s="96" t="s">
        <v>47</v>
      </c>
      <c r="F73" s="50">
        <v>1800</v>
      </c>
      <c r="G73" s="55">
        <v>3900</v>
      </c>
      <c r="H73" s="56"/>
      <c r="I73" s="88"/>
      <c r="J73" s="91" t="s">
        <v>39</v>
      </c>
      <c r="K73" s="59"/>
      <c r="L73" s="52"/>
      <c r="M73" s="50">
        <f t="shared" si="0"/>
        <v>27</v>
      </c>
      <c r="N73" s="50">
        <f t="shared" si="1"/>
        <v>5</v>
      </c>
      <c r="O73" s="50">
        <f t="shared" si="7"/>
        <v>13878</v>
      </c>
      <c r="P73" s="59" t="str">
        <f t="shared" si="6"/>
        <v>0x3636</v>
      </c>
      <c r="Q73" s="61" t="s">
        <v>87</v>
      </c>
      <c r="R73" s="69"/>
      <c r="S73" s="70"/>
      <c r="T73" s="71"/>
      <c r="U73" s="71"/>
    </row>
    <row r="74" spans="1:21" x14ac:dyDescent="0.25">
      <c r="A74" s="86">
        <v>55</v>
      </c>
      <c r="B74" s="51"/>
      <c r="C74" s="94" t="s">
        <v>127</v>
      </c>
      <c r="D74" s="86"/>
      <c r="E74" s="96" t="s">
        <v>47</v>
      </c>
      <c r="F74" s="50">
        <v>1800</v>
      </c>
      <c r="G74" s="55">
        <v>3900</v>
      </c>
      <c r="H74" s="56"/>
      <c r="I74" s="88"/>
      <c r="J74" s="91" t="s">
        <v>39</v>
      </c>
      <c r="K74" s="59"/>
      <c r="L74" s="52"/>
      <c r="M74" s="50">
        <f t="shared" si="0"/>
        <v>27</v>
      </c>
      <c r="N74" s="50">
        <f t="shared" si="1"/>
        <v>5</v>
      </c>
      <c r="O74" s="50">
        <f t="shared" si="7"/>
        <v>13879</v>
      </c>
      <c r="P74" s="59" t="str">
        <f t="shared" si="6"/>
        <v>0x3637</v>
      </c>
      <c r="Q74" s="61" t="s">
        <v>87</v>
      </c>
      <c r="R74" s="69"/>
      <c r="S74" s="70"/>
      <c r="T74" s="71"/>
      <c r="U74" s="71"/>
    </row>
    <row r="75" spans="1:21" x14ac:dyDescent="0.25">
      <c r="A75" s="86"/>
      <c r="B75" s="51"/>
      <c r="C75" s="94"/>
      <c r="D75" s="86"/>
      <c r="E75" s="96"/>
      <c r="F75" s="54"/>
      <c r="G75" s="54"/>
      <c r="H75" s="76"/>
      <c r="I75" s="67"/>
      <c r="J75" s="58"/>
      <c r="K75" s="59"/>
      <c r="L75" s="58"/>
      <c r="M75" s="50">
        <f t="shared" si="0"/>
        <v>27</v>
      </c>
      <c r="N75" s="50">
        <f t="shared" si="1"/>
        <v>5</v>
      </c>
      <c r="O75" s="50" t="str">
        <f t="shared" si="7"/>
        <v/>
      </c>
      <c r="P75" s="59" t="str">
        <f t="shared" si="6"/>
        <v/>
      </c>
      <c r="Q75" s="68"/>
      <c r="R75" s="69"/>
      <c r="S75" s="70"/>
      <c r="T75" s="71"/>
      <c r="U75" s="71"/>
    </row>
    <row r="76" spans="1:21" x14ac:dyDescent="0.25">
      <c r="A76" s="86">
        <v>56</v>
      </c>
      <c r="B76" s="51"/>
      <c r="C76" s="94" t="s">
        <v>142</v>
      </c>
      <c r="D76" s="86"/>
      <c r="E76" s="53" t="s">
        <v>38</v>
      </c>
      <c r="F76" s="50">
        <v>0</v>
      </c>
      <c r="G76" s="55">
        <v>3900</v>
      </c>
      <c r="H76" s="56"/>
      <c r="I76" s="88">
        <v>1</v>
      </c>
      <c r="J76" s="91" t="s">
        <v>39</v>
      </c>
      <c r="K76" s="59"/>
      <c r="L76" s="52" t="s">
        <v>143</v>
      </c>
      <c r="M76" s="50">
        <f t="shared" si="0"/>
        <v>27</v>
      </c>
      <c r="N76" s="50">
        <f t="shared" si="1"/>
        <v>5</v>
      </c>
      <c r="O76" s="50">
        <f t="shared" si="7"/>
        <v>13880</v>
      </c>
      <c r="P76" s="59" t="str">
        <f t="shared" si="6"/>
        <v>0x3638</v>
      </c>
      <c r="Q76" s="61"/>
      <c r="R76" s="69"/>
      <c r="S76" s="70"/>
      <c r="T76" s="71"/>
      <c r="U76" s="71"/>
    </row>
    <row r="77" spans="1:21" x14ac:dyDescent="0.25">
      <c r="A77" s="86">
        <v>57</v>
      </c>
      <c r="B77" s="51"/>
      <c r="C77" s="94" t="s">
        <v>144</v>
      </c>
      <c r="D77" s="86"/>
      <c r="E77" s="53" t="s">
        <v>38</v>
      </c>
      <c r="F77" s="50">
        <v>0</v>
      </c>
      <c r="G77" s="55">
        <v>3900</v>
      </c>
      <c r="H77" s="56"/>
      <c r="I77" s="88">
        <v>1</v>
      </c>
      <c r="J77" s="91" t="s">
        <v>39</v>
      </c>
      <c r="K77" s="59"/>
      <c r="L77" s="52" t="s">
        <v>147</v>
      </c>
      <c r="M77" s="50">
        <f t="shared" si="0"/>
        <v>27</v>
      </c>
      <c r="N77" s="50">
        <f t="shared" si="1"/>
        <v>5</v>
      </c>
      <c r="O77" s="50">
        <f t="shared" si="7"/>
        <v>13881</v>
      </c>
      <c r="P77" s="59" t="str">
        <f t="shared" si="6"/>
        <v>0x3639</v>
      </c>
      <c r="Q77" s="61"/>
      <c r="R77" s="69"/>
      <c r="S77" s="70"/>
      <c r="T77" s="71"/>
      <c r="U77" s="71"/>
    </row>
    <row r="78" spans="1:21" x14ac:dyDescent="0.25">
      <c r="A78" s="86">
        <v>58</v>
      </c>
      <c r="B78" s="51"/>
      <c r="C78" s="94" t="s">
        <v>145</v>
      </c>
      <c r="D78" s="86"/>
      <c r="E78" s="53" t="s">
        <v>38</v>
      </c>
      <c r="F78" s="50">
        <v>0</v>
      </c>
      <c r="G78" s="55">
        <v>3900</v>
      </c>
      <c r="H78" s="56"/>
      <c r="I78" s="88">
        <v>1</v>
      </c>
      <c r="J78" s="91" t="s">
        <v>39</v>
      </c>
      <c r="K78" s="59"/>
      <c r="L78" s="52" t="s">
        <v>148</v>
      </c>
      <c r="M78" s="50">
        <f t="shared" si="0"/>
        <v>27</v>
      </c>
      <c r="N78" s="50">
        <f t="shared" si="1"/>
        <v>5</v>
      </c>
      <c r="O78" s="50">
        <f t="shared" si="7"/>
        <v>13882</v>
      </c>
      <c r="P78" s="59" t="str">
        <f t="shared" si="6"/>
        <v>0x363A</v>
      </c>
      <c r="Q78" s="61"/>
      <c r="R78" s="69"/>
      <c r="S78" s="70"/>
      <c r="T78" s="71"/>
      <c r="U78" s="71"/>
    </row>
    <row r="79" spans="1:21" x14ac:dyDescent="0.25">
      <c r="A79" s="86">
        <v>59</v>
      </c>
      <c r="B79" s="51"/>
      <c r="C79" s="94" t="s">
        <v>146</v>
      </c>
      <c r="D79" s="86"/>
      <c r="E79" s="53" t="s">
        <v>38</v>
      </c>
      <c r="F79" s="50">
        <v>0</v>
      </c>
      <c r="G79" s="55">
        <v>3900</v>
      </c>
      <c r="H79" s="56"/>
      <c r="I79" s="88">
        <v>1</v>
      </c>
      <c r="J79" s="91" t="s">
        <v>39</v>
      </c>
      <c r="K79" s="59"/>
      <c r="L79" s="52" t="s">
        <v>149</v>
      </c>
      <c r="M79" s="50">
        <f t="shared" si="0"/>
        <v>27</v>
      </c>
      <c r="N79" s="50">
        <f t="shared" si="1"/>
        <v>5</v>
      </c>
      <c r="O79" s="50">
        <f t="shared" si="7"/>
        <v>13883</v>
      </c>
      <c r="P79" s="59" t="str">
        <f t="shared" si="6"/>
        <v>0x363B</v>
      </c>
      <c r="Q79" s="61"/>
      <c r="R79" s="69"/>
      <c r="S79" s="70"/>
      <c r="T79" s="71"/>
      <c r="U79" s="71"/>
    </row>
    <row r="80" spans="1:21" x14ac:dyDescent="0.25">
      <c r="A80" s="86">
        <v>60</v>
      </c>
      <c r="B80" s="51"/>
      <c r="C80" s="94" t="s">
        <v>161</v>
      </c>
      <c r="D80" s="86"/>
      <c r="E80" s="53" t="s">
        <v>38</v>
      </c>
      <c r="F80" s="50">
        <v>0</v>
      </c>
      <c r="G80" s="55">
        <v>80</v>
      </c>
      <c r="H80" s="56"/>
      <c r="I80" s="88">
        <v>0.1</v>
      </c>
      <c r="J80" s="91" t="s">
        <v>39</v>
      </c>
      <c r="K80" s="59"/>
      <c r="L80" s="52" t="s">
        <v>165</v>
      </c>
      <c r="M80" s="50">
        <f t="shared" si="0"/>
        <v>27</v>
      </c>
      <c r="N80" s="50">
        <f t="shared" si="1"/>
        <v>5</v>
      </c>
      <c r="O80" s="50">
        <f t="shared" si="7"/>
        <v>13884</v>
      </c>
      <c r="P80" s="59" t="str">
        <f t="shared" si="6"/>
        <v>0x363C</v>
      </c>
      <c r="Q80" s="61"/>
      <c r="R80" s="69"/>
      <c r="S80" s="70"/>
      <c r="T80" s="71"/>
      <c r="U80" s="71"/>
    </row>
    <row r="81" spans="1:23" x14ac:dyDescent="0.25">
      <c r="A81" s="86">
        <v>61</v>
      </c>
      <c r="B81" s="51"/>
      <c r="C81" s="94" t="s">
        <v>162</v>
      </c>
      <c r="D81" s="86"/>
      <c r="E81" s="53" t="s">
        <v>38</v>
      </c>
      <c r="F81" s="50">
        <v>0</v>
      </c>
      <c r="G81" s="55">
        <v>80</v>
      </c>
      <c r="H81" s="56"/>
      <c r="I81" s="88">
        <v>0.1</v>
      </c>
      <c r="J81" s="91" t="s">
        <v>39</v>
      </c>
      <c r="K81" s="59"/>
      <c r="L81" s="52" t="s">
        <v>165</v>
      </c>
      <c r="M81" s="50">
        <f t="shared" si="0"/>
        <v>27</v>
      </c>
      <c r="N81" s="50">
        <f t="shared" si="1"/>
        <v>5</v>
      </c>
      <c r="O81" s="50">
        <f t="shared" si="7"/>
        <v>13885</v>
      </c>
      <c r="P81" s="59" t="str">
        <f t="shared" si="6"/>
        <v>0x363D</v>
      </c>
      <c r="Q81" s="61"/>
      <c r="R81" s="69"/>
      <c r="S81" s="70"/>
      <c r="T81" s="71"/>
      <c r="U81" s="71"/>
    </row>
    <row r="82" spans="1:23" x14ac:dyDescent="0.25">
      <c r="A82" s="86">
        <v>62</v>
      </c>
      <c r="B82" s="51"/>
      <c r="C82" s="94" t="s">
        <v>163</v>
      </c>
      <c r="D82" s="86"/>
      <c r="E82" s="53" t="s">
        <v>38</v>
      </c>
      <c r="F82" s="50">
        <v>0</v>
      </c>
      <c r="G82" s="55">
        <v>80</v>
      </c>
      <c r="H82" s="56"/>
      <c r="I82" s="88">
        <v>0.1</v>
      </c>
      <c r="J82" s="91" t="s">
        <v>39</v>
      </c>
      <c r="K82" s="59"/>
      <c r="L82" s="52" t="s">
        <v>165</v>
      </c>
      <c r="M82" s="50">
        <f t="shared" si="0"/>
        <v>27</v>
      </c>
      <c r="N82" s="50">
        <f t="shared" si="1"/>
        <v>5</v>
      </c>
      <c r="O82" s="50">
        <f t="shared" si="7"/>
        <v>13886</v>
      </c>
      <c r="P82" s="59" t="str">
        <f t="shared" si="6"/>
        <v>0x363E</v>
      </c>
      <c r="Q82" s="61"/>
      <c r="R82" s="69"/>
      <c r="S82" s="70"/>
      <c r="T82" s="71"/>
      <c r="U82" s="71"/>
    </row>
    <row r="83" spans="1:23" x14ac:dyDescent="0.25">
      <c r="A83" s="86">
        <v>63</v>
      </c>
      <c r="B83" s="51"/>
      <c r="C83" s="94" t="s">
        <v>164</v>
      </c>
      <c r="D83" s="86"/>
      <c r="E83" s="53" t="s">
        <v>38</v>
      </c>
      <c r="F83" s="50">
        <v>0</v>
      </c>
      <c r="G83" s="55">
        <v>80</v>
      </c>
      <c r="H83" s="56"/>
      <c r="I83" s="88">
        <v>0.1</v>
      </c>
      <c r="J83" s="91" t="s">
        <v>39</v>
      </c>
      <c r="K83" s="59"/>
      <c r="L83" s="52" t="s">
        <v>165</v>
      </c>
      <c r="M83" s="50">
        <f t="shared" si="0"/>
        <v>27</v>
      </c>
      <c r="N83" s="50">
        <f t="shared" si="1"/>
        <v>5</v>
      </c>
      <c r="O83" s="50">
        <f t="shared" si="7"/>
        <v>13887</v>
      </c>
      <c r="P83" s="59" t="str">
        <f t="shared" si="6"/>
        <v>0x363F</v>
      </c>
      <c r="Q83" s="61"/>
      <c r="R83" s="69"/>
      <c r="S83" s="70"/>
      <c r="T83" s="71"/>
      <c r="U83" s="71"/>
    </row>
    <row r="84" spans="1:23" x14ac:dyDescent="0.25">
      <c r="A84" s="86"/>
      <c r="B84" s="51"/>
      <c r="C84" s="94"/>
      <c r="D84" s="86"/>
      <c r="E84" s="96"/>
      <c r="F84" s="54"/>
      <c r="G84" s="54"/>
      <c r="H84" s="76"/>
      <c r="I84" s="67"/>
      <c r="J84" s="58"/>
      <c r="K84" s="59"/>
      <c r="L84" s="58"/>
      <c r="M84" s="50">
        <f t="shared" si="0"/>
        <v>27</v>
      </c>
      <c r="N84" s="50">
        <f t="shared" si="1"/>
        <v>5</v>
      </c>
      <c r="O84" s="50"/>
      <c r="P84" s="59"/>
      <c r="Q84" s="68"/>
      <c r="R84" s="69"/>
      <c r="S84" s="70"/>
      <c r="T84" s="71"/>
      <c r="U84" s="71"/>
    </row>
    <row r="85" spans="1:23" x14ac:dyDescent="0.25">
      <c r="A85" s="50">
        <v>494</v>
      </c>
      <c r="B85" s="51"/>
      <c r="C85" s="52" t="s">
        <v>128</v>
      </c>
      <c r="D85" s="98" t="s">
        <v>129</v>
      </c>
      <c r="E85" s="99" t="s">
        <v>47</v>
      </c>
      <c r="F85" s="98">
        <v>0</v>
      </c>
      <c r="G85" s="100">
        <v>255</v>
      </c>
      <c r="H85" s="101"/>
      <c r="I85" s="99"/>
      <c r="J85" s="77"/>
      <c r="K85" s="102" t="s">
        <v>130</v>
      </c>
      <c r="L85" s="103" t="s">
        <v>131</v>
      </c>
      <c r="M85" s="50">
        <f t="shared" si="0"/>
        <v>27</v>
      </c>
      <c r="N85" s="50">
        <f t="shared" si="1"/>
        <v>5</v>
      </c>
      <c r="O85" s="50">
        <f>IF(A85&lt;&gt;"",M85*2^9+A85,"")</f>
        <v>14318</v>
      </c>
      <c r="P85" s="59" t="str">
        <f>IF(A85&lt;&gt;"","0x" &amp;DEC2HEX( O85,4),"")</f>
        <v>0x37EE</v>
      </c>
      <c r="Q85" s="68" t="s">
        <v>87</v>
      </c>
      <c r="R85" s="69"/>
      <c r="S85" s="70"/>
      <c r="T85" s="71"/>
      <c r="U85" s="71"/>
    </row>
    <row r="86" spans="1:23" x14ac:dyDescent="0.25">
      <c r="A86" s="50"/>
      <c r="B86" s="104"/>
      <c r="C86" s="52"/>
      <c r="D86" s="50"/>
      <c r="E86" s="59"/>
      <c r="F86" s="59"/>
      <c r="G86" s="72"/>
      <c r="H86" s="73"/>
      <c r="I86" s="59"/>
      <c r="J86" s="52"/>
      <c r="K86" s="59"/>
      <c r="L86" s="52"/>
      <c r="M86" s="50">
        <f t="shared" si="0"/>
        <v>27</v>
      </c>
      <c r="N86" s="50">
        <f t="shared" si="1"/>
        <v>5</v>
      </c>
      <c r="O86" s="50" t="str">
        <f>IF(A86&lt;&gt;"",M86*2^9+A86,"")</f>
        <v/>
      </c>
      <c r="P86" s="59" t="str">
        <f>IF(A86&lt;&gt;"","0x" &amp;DEC2HEX( O86,4),"")</f>
        <v/>
      </c>
      <c r="Q86" s="68"/>
      <c r="R86" s="69"/>
      <c r="S86" s="70"/>
      <c r="T86" s="71"/>
      <c r="U86" s="71"/>
      <c r="V86" s="105"/>
    </row>
    <row r="87" spans="1:23" x14ac:dyDescent="0.25">
      <c r="A87" s="106">
        <v>511</v>
      </c>
      <c r="B87" s="107"/>
      <c r="C87" s="108" t="s">
        <v>132</v>
      </c>
      <c r="D87" s="109" t="s">
        <v>133</v>
      </c>
      <c r="E87" s="110" t="s">
        <v>38</v>
      </c>
      <c r="F87" s="111">
        <v>0</v>
      </c>
      <c r="G87" s="111">
        <v>65535</v>
      </c>
      <c r="H87" s="112"/>
      <c r="I87" s="111">
        <v>1</v>
      </c>
      <c r="J87" s="109" t="s">
        <v>134</v>
      </c>
      <c r="K87" s="113" t="s">
        <v>135</v>
      </c>
      <c r="L87" s="108" t="s">
        <v>136</v>
      </c>
      <c r="M87" s="114">
        <f t="shared" si="0"/>
        <v>27</v>
      </c>
      <c r="N87" s="114">
        <f t="shared" si="1"/>
        <v>5</v>
      </c>
      <c r="O87" s="114">
        <f xml:space="preserve"> (M87*512+A87)</f>
        <v>14335</v>
      </c>
      <c r="P87" s="106" t="str">
        <f>IF(A87&lt;&gt;"","0x" &amp;DEC2HEX( O87,4),"")</f>
        <v>0x37FF</v>
      </c>
      <c r="Q87" s="115"/>
      <c r="R87" s="106" t="s">
        <v>41</v>
      </c>
      <c r="S87" s="116"/>
      <c r="T87" s="117"/>
      <c r="U87" s="117"/>
      <c r="V87" s="118"/>
      <c r="W87" s="119"/>
    </row>
    <row r="88" spans="1:23" x14ac:dyDescent="0.25">
      <c r="A88" s="120" t="s">
        <v>137</v>
      </c>
      <c r="B88" s="104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Q88" s="59"/>
      <c r="R88" s="37"/>
      <c r="S88" s="71"/>
      <c r="T88" s="71"/>
      <c r="U88" s="71"/>
    </row>
    <row r="89" spans="1:23" x14ac:dyDescent="0.25">
      <c r="A89" s="121"/>
      <c r="B89" s="104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Q89" s="59"/>
      <c r="R89" s="37"/>
      <c r="S89" s="71"/>
      <c r="T89" s="71"/>
      <c r="U89" s="71"/>
    </row>
    <row r="90" spans="1:23" x14ac:dyDescent="0.25">
      <c r="A90" s="122" t="s">
        <v>138</v>
      </c>
      <c r="B90" s="104"/>
      <c r="C90" s="121"/>
      <c r="D90" s="121"/>
      <c r="E90" s="121"/>
      <c r="F90" s="121"/>
      <c r="G90" s="122"/>
      <c r="H90" s="122"/>
      <c r="I90" s="121"/>
      <c r="J90" s="120"/>
      <c r="K90" s="121"/>
      <c r="L90" s="121"/>
      <c r="Q90" s="59"/>
      <c r="R90" s="37"/>
      <c r="S90" s="71"/>
      <c r="T90" s="71"/>
      <c r="U90" s="71"/>
    </row>
    <row r="91" spans="1:23" x14ac:dyDescent="0.25">
      <c r="A91" s="123"/>
      <c r="B91" s="104"/>
      <c r="C91" s="124" t="s">
        <v>139</v>
      </c>
      <c r="D91" s="121"/>
      <c r="E91" s="121"/>
      <c r="F91" s="121"/>
      <c r="G91" s="121"/>
      <c r="H91" s="121"/>
      <c r="I91" s="121"/>
      <c r="J91" s="125"/>
      <c r="K91" s="121"/>
      <c r="L91" s="121"/>
      <c r="Q91" s="59"/>
      <c r="R91" s="37"/>
      <c r="S91" s="71"/>
      <c r="T91" s="71"/>
      <c r="U91" s="71"/>
    </row>
    <row r="92" spans="1:23" x14ac:dyDescent="0.25">
      <c r="A92" s="121"/>
      <c r="B92" s="104"/>
      <c r="C92" s="124" t="s">
        <v>140</v>
      </c>
      <c r="D92" s="121"/>
      <c r="E92" s="121"/>
      <c r="F92" s="121"/>
      <c r="G92" s="121"/>
      <c r="H92" s="121"/>
      <c r="I92" s="121"/>
      <c r="J92" s="125"/>
      <c r="K92" s="121"/>
      <c r="L92" s="121"/>
      <c r="Q92" s="59"/>
      <c r="R92" s="37"/>
      <c r="S92" s="71"/>
      <c r="T92" s="71"/>
      <c r="U92" s="71"/>
    </row>
    <row r="93" spans="1:23" x14ac:dyDescent="0.25">
      <c r="A93" s="121"/>
      <c r="B93" s="104"/>
      <c r="C93" s="121" t="s">
        <v>141</v>
      </c>
      <c r="D93" s="121"/>
      <c r="E93" s="121"/>
      <c r="F93" s="121"/>
      <c r="G93" s="121"/>
      <c r="H93" s="121"/>
      <c r="I93" s="121"/>
      <c r="J93" s="125"/>
      <c r="K93" s="121"/>
      <c r="L93" s="121"/>
      <c r="Q93" s="59"/>
      <c r="R93" s="37"/>
      <c r="S93" s="71"/>
      <c r="T93" s="71"/>
      <c r="U93" s="71"/>
    </row>
    <row r="94" spans="1:23" x14ac:dyDescent="0.25">
      <c r="B94" s="104"/>
      <c r="J94" s="127"/>
      <c r="Q94" s="59"/>
      <c r="R94" s="37"/>
      <c r="S94" s="71"/>
      <c r="T94" s="71"/>
      <c r="U94" s="71"/>
    </row>
    <row r="95" spans="1:23" x14ac:dyDescent="0.25">
      <c r="B95" s="104"/>
      <c r="D95"/>
      <c r="E95"/>
      <c r="Q95" s="59"/>
      <c r="R95" s="37"/>
      <c r="S95" s="71"/>
      <c r="T95" s="71"/>
      <c r="U95" s="71"/>
    </row>
    <row r="96" spans="1:23" x14ac:dyDescent="0.25">
      <c r="B96" s="104"/>
      <c r="Q96" s="59"/>
      <c r="R96" s="37"/>
      <c r="S96" s="37"/>
      <c r="T96" s="37"/>
      <c r="U96" s="37"/>
    </row>
    <row r="97" spans="1:21" x14ac:dyDescent="0.25">
      <c r="A97" s="128"/>
      <c r="B97" s="104"/>
      <c r="Q97" s="59"/>
      <c r="R97" s="129"/>
      <c r="S97" s="129"/>
      <c r="T97" s="129"/>
      <c r="U97" s="129"/>
    </row>
    <row r="98" spans="1:21" x14ac:dyDescent="0.25">
      <c r="B98" s="104"/>
      <c r="Q98" s="59"/>
      <c r="R98" s="37"/>
      <c r="S98" s="37"/>
      <c r="T98" s="37"/>
      <c r="U98" s="37"/>
    </row>
    <row r="99" spans="1:21" x14ac:dyDescent="0.25">
      <c r="A99" s="128"/>
      <c r="B99" s="104"/>
      <c r="Q99" s="59"/>
      <c r="R99" s="37"/>
      <c r="S99" s="37"/>
      <c r="T99" s="37"/>
      <c r="U99" s="37"/>
    </row>
    <row r="100" spans="1:21" x14ac:dyDescent="0.25">
      <c r="B100" s="104"/>
      <c r="Q100" s="59"/>
      <c r="R100" s="37"/>
      <c r="S100" s="37"/>
      <c r="T100" s="37"/>
      <c r="U100" s="37"/>
    </row>
    <row r="101" spans="1:21" x14ac:dyDescent="0.25">
      <c r="B101" s="104"/>
      <c r="Q101" s="59"/>
      <c r="R101" s="37"/>
      <c r="S101" s="37"/>
      <c r="T101" s="37"/>
      <c r="U101" s="37"/>
    </row>
    <row r="102" spans="1:21" x14ac:dyDescent="0.25">
      <c r="B102" s="104"/>
      <c r="Q102" s="59"/>
      <c r="R102" s="37"/>
      <c r="S102" s="37"/>
      <c r="T102" s="37"/>
      <c r="U102" s="37"/>
    </row>
    <row r="103" spans="1:21" x14ac:dyDescent="0.25">
      <c r="B103" s="104"/>
      <c r="Q103" s="59"/>
      <c r="R103" s="37"/>
      <c r="S103" s="37"/>
      <c r="T103" s="37"/>
      <c r="U103" s="37"/>
    </row>
    <row r="104" spans="1:21" x14ac:dyDescent="0.25">
      <c r="B104" s="104"/>
      <c r="Q104" s="59"/>
      <c r="R104" s="37"/>
      <c r="S104" s="37"/>
      <c r="T104" s="37"/>
      <c r="U104" s="37"/>
    </row>
    <row r="105" spans="1:21" x14ac:dyDescent="0.25">
      <c r="B105" s="104"/>
      <c r="Q105" s="59"/>
      <c r="R105" s="37"/>
      <c r="S105" s="37"/>
      <c r="T105" s="37"/>
      <c r="U105" s="37"/>
    </row>
    <row r="106" spans="1:21" x14ac:dyDescent="0.25">
      <c r="B106" s="104"/>
      <c r="Q106" s="59"/>
      <c r="R106" s="37"/>
      <c r="S106" s="37"/>
      <c r="T106" s="37"/>
      <c r="U106" s="37"/>
    </row>
    <row r="107" spans="1:21" x14ac:dyDescent="0.25">
      <c r="B107" s="104"/>
      <c r="Q107" s="59"/>
      <c r="R107" s="37"/>
      <c r="S107" s="37"/>
      <c r="T107" s="37"/>
      <c r="U107" s="37"/>
    </row>
    <row r="108" spans="1:21" x14ac:dyDescent="0.25">
      <c r="B108" s="104"/>
      <c r="Q108" s="59"/>
      <c r="R108" s="37"/>
      <c r="S108" s="37"/>
      <c r="T108" s="37"/>
      <c r="U108" s="37"/>
    </row>
    <row r="109" spans="1:21" x14ac:dyDescent="0.25">
      <c r="B109" s="104"/>
      <c r="Q109" s="59"/>
      <c r="R109" s="37"/>
      <c r="S109" s="37"/>
      <c r="T109" s="37"/>
      <c r="U109" s="37"/>
    </row>
    <row r="110" spans="1:21" x14ac:dyDescent="0.25">
      <c r="B110" s="104"/>
      <c r="Q110" s="59"/>
      <c r="R110" s="37"/>
      <c r="S110" s="37"/>
      <c r="T110" s="37"/>
      <c r="U110" s="37"/>
    </row>
    <row r="111" spans="1:21" x14ac:dyDescent="0.25">
      <c r="B111" s="104"/>
      <c r="Q111" s="59"/>
      <c r="R111" s="37"/>
      <c r="S111" s="37"/>
      <c r="T111" s="37"/>
      <c r="U111" s="37"/>
    </row>
    <row r="112" spans="1:21" x14ac:dyDescent="0.25">
      <c r="B112" s="104"/>
      <c r="Q112" s="59"/>
      <c r="R112" s="37"/>
      <c r="S112" s="37"/>
      <c r="T112" s="37"/>
      <c r="U112" s="37"/>
    </row>
    <row r="113" spans="1:21" x14ac:dyDescent="0.25">
      <c r="B113" s="104"/>
      <c r="Q113" s="59"/>
      <c r="R113" s="37"/>
      <c r="S113" s="37"/>
      <c r="T113" s="37"/>
      <c r="U113" s="37"/>
    </row>
    <row r="114" spans="1:21" x14ac:dyDescent="0.25">
      <c r="B114" s="104"/>
      <c r="Q114" s="59"/>
      <c r="R114" s="37"/>
      <c r="S114" s="37"/>
      <c r="T114" s="37"/>
      <c r="U114" s="37"/>
    </row>
    <row r="115" spans="1:21" x14ac:dyDescent="0.25">
      <c r="A115" s="128"/>
      <c r="B115" s="104"/>
      <c r="Q115" s="59"/>
      <c r="R115" s="37"/>
      <c r="S115" s="37"/>
      <c r="T115" s="37"/>
      <c r="U115" s="37"/>
    </row>
    <row r="116" spans="1:21" x14ac:dyDescent="0.25">
      <c r="B116" s="104"/>
      <c r="C116" s="127"/>
      <c r="D116" s="127"/>
      <c r="Q116" s="59"/>
      <c r="R116" s="37"/>
      <c r="S116" s="37"/>
      <c r="T116" s="37"/>
      <c r="U116" s="37"/>
    </row>
    <row r="117" spans="1:21" x14ac:dyDescent="0.25">
      <c r="B117" s="104"/>
      <c r="C117" s="127"/>
      <c r="D117" s="127"/>
      <c r="Q117" s="59"/>
      <c r="R117" s="37"/>
      <c r="S117" s="37"/>
      <c r="T117" s="37"/>
      <c r="U117" s="37"/>
    </row>
    <row r="118" spans="1:21" x14ac:dyDescent="0.25">
      <c r="B118" s="104"/>
      <c r="C118" s="127"/>
      <c r="D118" s="127"/>
      <c r="Q118" s="59"/>
      <c r="R118" s="37"/>
      <c r="S118" s="37"/>
      <c r="T118" s="37"/>
      <c r="U118" s="37"/>
    </row>
    <row r="119" spans="1:21" x14ac:dyDescent="0.25">
      <c r="B119" s="104"/>
      <c r="C119" s="127"/>
      <c r="D119" s="127"/>
      <c r="Q119" s="59"/>
      <c r="R119" s="37"/>
      <c r="S119" s="37"/>
      <c r="T119" s="37"/>
      <c r="U119" s="37"/>
    </row>
    <row r="120" spans="1:21" x14ac:dyDescent="0.25">
      <c r="B120" s="104"/>
      <c r="C120" s="127"/>
      <c r="D120" s="127"/>
      <c r="Q120" s="59"/>
      <c r="R120" s="37"/>
      <c r="S120" s="37"/>
      <c r="T120" s="37"/>
      <c r="U120" s="37"/>
    </row>
    <row r="121" spans="1:21" x14ac:dyDescent="0.25">
      <c r="B121" s="104"/>
      <c r="C121" s="127"/>
      <c r="D121" s="127"/>
      <c r="Q121" s="59"/>
      <c r="R121" s="37"/>
      <c r="S121" s="37"/>
      <c r="T121" s="37"/>
      <c r="U121" s="37"/>
    </row>
    <row r="122" spans="1:21" x14ac:dyDescent="0.25">
      <c r="B122" s="104"/>
      <c r="Q122" s="59"/>
      <c r="R122" s="37"/>
      <c r="S122" s="37"/>
      <c r="T122" s="37"/>
      <c r="U122" s="37"/>
    </row>
    <row r="123" spans="1:21" x14ac:dyDescent="0.25">
      <c r="B123" s="104"/>
      <c r="Q123" s="59"/>
      <c r="R123" s="37"/>
      <c r="S123" s="37"/>
      <c r="T123" s="37"/>
      <c r="U123" s="37"/>
    </row>
    <row r="124" spans="1:21" x14ac:dyDescent="0.25">
      <c r="A124" s="128"/>
      <c r="B124" s="104"/>
      <c r="Q124" s="59"/>
      <c r="R124" s="37"/>
      <c r="S124" s="37"/>
      <c r="T124" s="37"/>
      <c r="U124" s="37"/>
    </row>
    <row r="125" spans="1:21" x14ac:dyDescent="0.25">
      <c r="B125" s="104"/>
      <c r="D125" s="127"/>
      <c r="Q125" s="59"/>
      <c r="R125" s="37"/>
      <c r="S125" s="37"/>
      <c r="T125" s="37"/>
      <c r="U125" s="37"/>
    </row>
    <row r="126" spans="1:21" x14ac:dyDescent="0.25">
      <c r="B126" s="104"/>
      <c r="D126" s="127"/>
      <c r="Q126" s="59"/>
      <c r="R126" s="37"/>
      <c r="S126" s="37"/>
      <c r="T126" s="37"/>
      <c r="U126" s="37"/>
    </row>
    <row r="127" spans="1:21" x14ac:dyDescent="0.25">
      <c r="B127" s="104"/>
      <c r="D127" s="127"/>
      <c r="Q127" s="59"/>
      <c r="R127" s="37"/>
      <c r="S127" s="37"/>
      <c r="T127" s="37"/>
      <c r="U127" s="37"/>
    </row>
    <row r="128" spans="1:21" x14ac:dyDescent="0.25">
      <c r="B128" s="104"/>
      <c r="Q128" s="59"/>
      <c r="R128" s="37"/>
      <c r="S128" s="37"/>
      <c r="T128" s="37"/>
      <c r="U128" s="37"/>
    </row>
    <row r="129" spans="2:21" x14ac:dyDescent="0.25">
      <c r="B129" s="104"/>
      <c r="Q129" s="59"/>
      <c r="R129" s="37"/>
      <c r="S129" s="37"/>
      <c r="T129" s="37"/>
      <c r="U129" s="37"/>
    </row>
    <row r="130" spans="2:21" x14ac:dyDescent="0.25">
      <c r="B130" s="104"/>
      <c r="Q130" s="59"/>
      <c r="R130" s="37"/>
      <c r="S130" s="37"/>
      <c r="T130" s="37"/>
      <c r="U130" s="37"/>
    </row>
    <row r="131" spans="2:21" x14ac:dyDescent="0.25">
      <c r="B131" s="104"/>
      <c r="Q131" s="59"/>
      <c r="R131" s="37"/>
      <c r="S131" s="37"/>
      <c r="T131" s="37"/>
      <c r="U131" s="37"/>
    </row>
    <row r="132" spans="2:21" x14ac:dyDescent="0.25">
      <c r="B132" s="104"/>
      <c r="Q132" s="59"/>
      <c r="R132" s="37"/>
      <c r="S132" s="37"/>
      <c r="T132" s="37"/>
      <c r="U132" s="37"/>
    </row>
    <row r="133" spans="2:21" x14ac:dyDescent="0.25">
      <c r="B133" s="104"/>
      <c r="Q133" s="59"/>
      <c r="R133" s="37"/>
      <c r="S133" s="37"/>
      <c r="T133" s="37"/>
      <c r="U133" s="37"/>
    </row>
    <row r="134" spans="2:21" x14ac:dyDescent="0.25">
      <c r="B134" s="104"/>
      <c r="Q134" s="59"/>
      <c r="R134" s="37"/>
      <c r="S134" s="37"/>
      <c r="T134" s="37"/>
      <c r="U134" s="37"/>
    </row>
    <row r="135" spans="2:21" x14ac:dyDescent="0.25">
      <c r="B135" s="104"/>
      <c r="Q135" s="59"/>
      <c r="R135" s="37"/>
      <c r="S135" s="37"/>
      <c r="T135" s="37"/>
      <c r="U135" s="37"/>
    </row>
    <row r="136" spans="2:21" x14ac:dyDescent="0.25">
      <c r="B136" s="104"/>
      <c r="Q136" s="59"/>
      <c r="R136" s="37"/>
      <c r="S136" s="37"/>
      <c r="T136" s="37"/>
      <c r="U136" s="37"/>
    </row>
    <row r="137" spans="2:21" x14ac:dyDescent="0.25">
      <c r="B137" s="104"/>
      <c r="Q137" s="59"/>
      <c r="R137" s="37"/>
      <c r="S137" s="37"/>
      <c r="T137" s="37"/>
      <c r="U137" s="37"/>
    </row>
    <row r="138" spans="2:21" x14ac:dyDescent="0.25">
      <c r="B138" s="104"/>
      <c r="Q138" s="59"/>
      <c r="R138" s="37"/>
      <c r="S138" s="37"/>
      <c r="T138" s="37"/>
      <c r="U138" s="37"/>
    </row>
    <row r="139" spans="2:21" x14ac:dyDescent="0.25">
      <c r="B139" s="104"/>
      <c r="Q139" s="59"/>
      <c r="R139" s="37"/>
      <c r="S139" s="37"/>
      <c r="T139" s="37"/>
      <c r="U139" s="37"/>
    </row>
    <row r="140" spans="2:21" x14ac:dyDescent="0.25">
      <c r="B140" s="104"/>
      <c r="Q140" s="59"/>
      <c r="R140" s="37"/>
      <c r="S140" s="37"/>
      <c r="T140" s="37"/>
      <c r="U140" s="37"/>
    </row>
    <row r="141" spans="2:21" x14ac:dyDescent="0.25">
      <c r="B141" s="104"/>
      <c r="Q141" s="59"/>
      <c r="R141" s="37"/>
      <c r="S141" s="37"/>
      <c r="T141" s="37"/>
      <c r="U141" s="37"/>
    </row>
    <row r="142" spans="2:21" x14ac:dyDescent="0.25">
      <c r="B142" s="104"/>
      <c r="Q142" s="59"/>
      <c r="R142" s="37"/>
      <c r="S142" s="37"/>
      <c r="T142" s="37"/>
      <c r="U142" s="37"/>
    </row>
    <row r="143" spans="2:21" x14ac:dyDescent="0.25">
      <c r="B143" s="104"/>
      <c r="Q143" s="59"/>
      <c r="R143" s="37"/>
      <c r="S143" s="37"/>
      <c r="T143" s="37"/>
      <c r="U143" s="37"/>
    </row>
    <row r="144" spans="2:21" x14ac:dyDescent="0.25">
      <c r="B144" s="104"/>
      <c r="Q144" s="59"/>
      <c r="R144" s="37"/>
      <c r="S144" s="37"/>
      <c r="T144" s="37"/>
      <c r="U144" s="37"/>
    </row>
    <row r="145" spans="2:21" x14ac:dyDescent="0.25">
      <c r="B145" s="104"/>
      <c r="Q145" s="59"/>
      <c r="R145" s="37"/>
      <c r="S145" s="37"/>
      <c r="T145" s="37"/>
      <c r="U145" s="37"/>
    </row>
    <row r="146" spans="2:21" x14ac:dyDescent="0.25">
      <c r="B146" s="104"/>
      <c r="Q146" s="59"/>
      <c r="R146" s="37"/>
      <c r="S146" s="37"/>
      <c r="T146" s="37"/>
      <c r="U146" s="37"/>
    </row>
    <row r="147" spans="2:21" x14ac:dyDescent="0.25">
      <c r="B147" s="104"/>
      <c r="Q147" s="59"/>
      <c r="R147" s="37"/>
      <c r="S147" s="37"/>
      <c r="T147" s="37"/>
      <c r="U147" s="37"/>
    </row>
    <row r="148" spans="2:21" x14ac:dyDescent="0.25">
      <c r="B148" s="104"/>
      <c r="Q148" s="59"/>
      <c r="R148" s="37"/>
      <c r="S148" s="37"/>
      <c r="T148" s="37"/>
      <c r="U148" s="37"/>
    </row>
    <row r="149" spans="2:21" x14ac:dyDescent="0.25">
      <c r="B149" s="104"/>
      <c r="Q149" s="59"/>
      <c r="R149" s="37"/>
      <c r="S149" s="37"/>
      <c r="T149" s="37"/>
      <c r="U149" s="37"/>
    </row>
    <row r="150" spans="2:21" x14ac:dyDescent="0.25">
      <c r="B150" s="104"/>
      <c r="Q150" s="59"/>
      <c r="R150" s="37"/>
      <c r="S150" s="37"/>
      <c r="T150" s="37"/>
      <c r="U150" s="37"/>
    </row>
    <row r="151" spans="2:21" x14ac:dyDescent="0.25">
      <c r="B151" s="104"/>
      <c r="Q151" s="59"/>
      <c r="R151" s="37"/>
      <c r="S151" s="37"/>
      <c r="T151" s="37"/>
      <c r="U151" s="37"/>
    </row>
    <row r="152" spans="2:21" x14ac:dyDescent="0.25">
      <c r="B152" s="104"/>
      <c r="Q152" s="59"/>
      <c r="R152" s="37"/>
      <c r="S152" s="37"/>
      <c r="T152" s="37"/>
      <c r="U152" s="37"/>
    </row>
    <row r="153" spans="2:21" x14ac:dyDescent="0.25">
      <c r="B153" s="104"/>
      <c r="Q153" s="59"/>
      <c r="R153" s="37"/>
      <c r="S153" s="37"/>
      <c r="T153" s="37"/>
      <c r="U153" s="37"/>
    </row>
    <row r="154" spans="2:21" x14ac:dyDescent="0.25">
      <c r="B154" s="104"/>
      <c r="Q154" s="59"/>
      <c r="R154" s="37"/>
      <c r="S154" s="37"/>
      <c r="T154" s="37"/>
      <c r="U154" s="37"/>
    </row>
    <row r="155" spans="2:21" x14ac:dyDescent="0.25">
      <c r="B155" s="104"/>
      <c r="Q155" s="59"/>
      <c r="R155" s="37"/>
      <c r="S155" s="37"/>
      <c r="T155" s="37"/>
      <c r="U155" s="37"/>
    </row>
    <row r="156" spans="2:21" x14ac:dyDescent="0.25">
      <c r="B156" s="104"/>
      <c r="Q156" s="59"/>
      <c r="R156" s="37"/>
      <c r="S156" s="37"/>
      <c r="T156" s="37"/>
      <c r="U156" s="37"/>
    </row>
    <row r="157" spans="2:21" x14ac:dyDescent="0.25">
      <c r="B157" s="104"/>
      <c r="Q157" s="59"/>
      <c r="R157" s="37"/>
      <c r="S157" s="37"/>
      <c r="T157" s="37"/>
      <c r="U157" s="37"/>
    </row>
    <row r="158" spans="2:21" x14ac:dyDescent="0.25">
      <c r="B158" s="104"/>
      <c r="Q158" s="59"/>
      <c r="R158" s="37"/>
      <c r="S158" s="37"/>
      <c r="T158" s="37"/>
      <c r="U158" s="37"/>
    </row>
    <row r="159" spans="2:21" x14ac:dyDescent="0.25">
      <c r="B159" s="104"/>
      <c r="Q159" s="59"/>
      <c r="R159" s="37"/>
      <c r="S159" s="37"/>
      <c r="T159" s="37"/>
      <c r="U159" s="37"/>
    </row>
    <row r="160" spans="2:21" x14ac:dyDescent="0.25">
      <c r="B160" s="104"/>
      <c r="Q160" s="59"/>
      <c r="R160" s="37"/>
      <c r="S160" s="37"/>
      <c r="T160" s="37"/>
      <c r="U160" s="37"/>
    </row>
    <row r="161" spans="2:21" x14ac:dyDescent="0.25">
      <c r="B161" s="104"/>
      <c r="Q161" s="59"/>
      <c r="R161" s="37"/>
      <c r="S161" s="37"/>
      <c r="T161" s="37"/>
      <c r="U161" s="37"/>
    </row>
    <row r="162" spans="2:21" x14ac:dyDescent="0.25">
      <c r="B162" s="104"/>
      <c r="Q162" s="59"/>
      <c r="R162" s="37"/>
      <c r="S162" s="37"/>
      <c r="T162" s="37"/>
      <c r="U162" s="37"/>
    </row>
    <row r="163" spans="2:21" x14ac:dyDescent="0.25">
      <c r="B163" s="104"/>
      <c r="Q163" s="59"/>
      <c r="R163" s="37"/>
      <c r="S163" s="37"/>
      <c r="T163" s="37"/>
      <c r="U163" s="37"/>
    </row>
    <row r="164" spans="2:21" x14ac:dyDescent="0.25">
      <c r="B164" s="104"/>
      <c r="Q164" s="59"/>
      <c r="R164" s="37"/>
      <c r="S164" s="37"/>
      <c r="T164" s="37"/>
      <c r="U164" s="37"/>
    </row>
    <row r="165" spans="2:21" x14ac:dyDescent="0.25">
      <c r="B165" s="104"/>
      <c r="Q165" s="59"/>
      <c r="R165" s="37"/>
      <c r="S165" s="37"/>
      <c r="T165" s="37"/>
      <c r="U165" s="37"/>
    </row>
    <row r="166" spans="2:21" x14ac:dyDescent="0.25">
      <c r="B166" s="104"/>
      <c r="Q166" s="59"/>
      <c r="R166" s="37"/>
      <c r="S166" s="37"/>
      <c r="T166" s="37"/>
      <c r="U166" s="37"/>
    </row>
    <row r="167" spans="2:21" x14ac:dyDescent="0.25">
      <c r="B167" s="104"/>
      <c r="Q167" s="59"/>
      <c r="R167" s="37"/>
      <c r="S167" s="37"/>
      <c r="T167" s="37"/>
      <c r="U167" s="37"/>
    </row>
    <row r="168" spans="2:21" x14ac:dyDescent="0.25">
      <c r="B168" s="104"/>
      <c r="Q168" s="59"/>
      <c r="R168" s="37"/>
      <c r="S168" s="37"/>
      <c r="T168" s="37"/>
      <c r="U168" s="37"/>
    </row>
    <row r="169" spans="2:21" x14ac:dyDescent="0.25">
      <c r="B169" s="104"/>
      <c r="Q169" s="59"/>
      <c r="R169" s="37"/>
      <c r="S169" s="37"/>
      <c r="T169" s="37"/>
      <c r="U169" s="37"/>
    </row>
    <row r="170" spans="2:21" x14ac:dyDescent="0.25">
      <c r="B170" s="104"/>
      <c r="Q170" s="59"/>
      <c r="R170" s="37"/>
      <c r="S170" s="37"/>
      <c r="T170" s="37"/>
      <c r="U170" s="37"/>
    </row>
    <row r="171" spans="2:21" x14ac:dyDescent="0.25">
      <c r="B171" s="104"/>
      <c r="Q171" s="59"/>
      <c r="R171" s="37"/>
      <c r="S171" s="37"/>
      <c r="T171" s="37"/>
      <c r="U171" s="37"/>
    </row>
    <row r="172" spans="2:21" x14ac:dyDescent="0.25">
      <c r="B172" s="104"/>
      <c r="Q172" s="59"/>
      <c r="R172" s="37"/>
      <c r="S172" s="37"/>
      <c r="T172" s="37"/>
      <c r="U172" s="37"/>
    </row>
    <row r="173" spans="2:21" x14ac:dyDescent="0.25">
      <c r="B173" s="104"/>
      <c r="Q173" s="59"/>
      <c r="R173" s="37"/>
      <c r="S173" s="37"/>
      <c r="T173" s="37"/>
      <c r="U173" s="37"/>
    </row>
    <row r="174" spans="2:21" x14ac:dyDescent="0.25">
      <c r="B174" s="104"/>
      <c r="Q174" s="59"/>
      <c r="R174" s="37"/>
      <c r="S174" s="37"/>
      <c r="T174" s="37"/>
      <c r="U174" s="37"/>
    </row>
    <row r="175" spans="2:21" x14ac:dyDescent="0.25">
      <c r="B175" s="104"/>
      <c r="Q175" s="59"/>
      <c r="R175" s="37"/>
      <c r="S175" s="37"/>
      <c r="T175" s="37"/>
      <c r="U175" s="37"/>
    </row>
    <row r="176" spans="2:21" x14ac:dyDescent="0.25">
      <c r="B176" s="104"/>
      <c r="Q176" s="59"/>
      <c r="R176" s="37"/>
      <c r="S176" s="37"/>
      <c r="T176" s="37"/>
      <c r="U176" s="37"/>
    </row>
    <row r="177" spans="2:21" x14ac:dyDescent="0.25">
      <c r="B177" s="104"/>
      <c r="Q177" s="59"/>
      <c r="R177" s="37"/>
      <c r="S177" s="37"/>
      <c r="T177" s="37"/>
      <c r="U177" s="37"/>
    </row>
    <row r="178" spans="2:21" x14ac:dyDescent="0.25">
      <c r="B178" s="104"/>
      <c r="Q178" s="59"/>
      <c r="R178" s="37"/>
      <c r="S178" s="37"/>
      <c r="T178" s="37"/>
      <c r="U178" s="37"/>
    </row>
    <row r="179" spans="2:21" x14ac:dyDescent="0.25">
      <c r="B179" s="104"/>
      <c r="Q179" s="59"/>
      <c r="R179" s="37"/>
      <c r="S179" s="37"/>
      <c r="T179" s="37"/>
      <c r="U179" s="37"/>
    </row>
    <row r="180" spans="2:21" x14ac:dyDescent="0.25">
      <c r="B180" s="104"/>
      <c r="Q180" s="59"/>
      <c r="R180" s="37"/>
      <c r="S180" s="37"/>
      <c r="T180" s="37"/>
      <c r="U180" s="37"/>
    </row>
    <row r="181" spans="2:21" x14ac:dyDescent="0.25">
      <c r="B181" s="104"/>
      <c r="Q181" s="59"/>
      <c r="R181" s="37"/>
      <c r="S181" s="37"/>
      <c r="T181" s="37"/>
      <c r="U181" s="37"/>
    </row>
    <row r="182" spans="2:21" x14ac:dyDescent="0.25">
      <c r="B182" s="104"/>
      <c r="Q182" s="59"/>
      <c r="R182" s="37"/>
      <c r="S182" s="37"/>
      <c r="T182" s="37"/>
      <c r="U182" s="37"/>
    </row>
    <row r="183" spans="2:21" x14ac:dyDescent="0.25">
      <c r="B183" s="104"/>
      <c r="Q183" s="59"/>
      <c r="R183" s="37"/>
      <c r="S183" s="37"/>
      <c r="T183" s="37"/>
      <c r="U183" s="37"/>
    </row>
    <row r="184" spans="2:21" x14ac:dyDescent="0.25">
      <c r="B184" s="104"/>
      <c r="Q184" s="59"/>
      <c r="R184" s="37"/>
      <c r="S184" s="37"/>
      <c r="T184" s="37"/>
      <c r="U184" s="37"/>
    </row>
    <row r="185" spans="2:21" x14ac:dyDescent="0.25">
      <c r="B185" s="104"/>
      <c r="Q185" s="59"/>
      <c r="R185" s="37"/>
      <c r="S185" s="37"/>
      <c r="T185" s="37"/>
      <c r="U185" s="37"/>
    </row>
    <row r="186" spans="2:21" x14ac:dyDescent="0.25">
      <c r="B186" s="104"/>
      <c r="Q186" s="59"/>
      <c r="R186" s="37"/>
      <c r="S186" s="37"/>
      <c r="T186" s="37"/>
      <c r="U186" s="37"/>
    </row>
    <row r="187" spans="2:21" x14ac:dyDescent="0.25">
      <c r="B187" s="130"/>
      <c r="Q187" s="59"/>
      <c r="R187" s="37"/>
      <c r="S187" s="37"/>
      <c r="T187" s="37"/>
      <c r="U187" s="37"/>
    </row>
    <row r="188" spans="2:21" x14ac:dyDescent="0.25">
      <c r="B188" s="130"/>
      <c r="Q188" s="59"/>
      <c r="R188" s="37"/>
      <c r="S188" s="37"/>
      <c r="T188" s="37"/>
      <c r="U188" s="37"/>
    </row>
    <row r="189" spans="2:21" x14ac:dyDescent="0.25">
      <c r="B189" s="104"/>
      <c r="Q189" s="59"/>
      <c r="R189" s="37"/>
      <c r="S189" s="37"/>
      <c r="T189" s="37"/>
      <c r="U189" s="37"/>
    </row>
    <row r="190" spans="2:21" x14ac:dyDescent="0.25">
      <c r="B190" s="104"/>
      <c r="Q190" s="59"/>
      <c r="R190" s="37"/>
      <c r="S190" s="37"/>
      <c r="T190" s="37"/>
      <c r="U190" s="37"/>
    </row>
    <row r="191" spans="2:21" x14ac:dyDescent="0.25">
      <c r="B191" s="104"/>
      <c r="Q191" s="59"/>
      <c r="R191" s="37"/>
      <c r="S191" s="37"/>
      <c r="T191" s="37"/>
      <c r="U191" s="37"/>
    </row>
    <row r="192" spans="2:21" x14ac:dyDescent="0.25">
      <c r="B192" s="104"/>
      <c r="Q192" s="59"/>
      <c r="R192" s="37"/>
      <c r="S192" s="37"/>
      <c r="T192" s="37"/>
      <c r="U192" s="37"/>
    </row>
    <row r="193" spans="2:21" x14ac:dyDescent="0.25">
      <c r="B193" s="104"/>
      <c r="Q193" s="59"/>
      <c r="R193" s="37"/>
      <c r="S193" s="37"/>
      <c r="T193" s="37"/>
      <c r="U193" s="37"/>
    </row>
    <row r="194" spans="2:21" x14ac:dyDescent="0.25">
      <c r="B194" s="104"/>
      <c r="Q194" s="59"/>
      <c r="R194" s="37"/>
      <c r="S194" s="37"/>
      <c r="T194" s="37"/>
      <c r="U194" s="37"/>
    </row>
    <row r="195" spans="2:21" x14ac:dyDescent="0.25">
      <c r="B195" s="104"/>
      <c r="Q195" s="59"/>
      <c r="R195" s="37"/>
      <c r="S195" s="37"/>
      <c r="T195" s="37"/>
      <c r="U195" s="37"/>
    </row>
    <row r="196" spans="2:21" x14ac:dyDescent="0.25">
      <c r="B196" s="104"/>
      <c r="Q196" s="59"/>
      <c r="R196" s="37"/>
      <c r="S196" s="37"/>
      <c r="T196" s="37"/>
      <c r="U196" s="37"/>
    </row>
    <row r="197" spans="2:21" x14ac:dyDescent="0.25">
      <c r="B197" s="104"/>
      <c r="Q197" s="59"/>
      <c r="R197" s="37"/>
      <c r="S197" s="37"/>
      <c r="T197" s="37"/>
      <c r="U197" s="37"/>
    </row>
    <row r="198" spans="2:21" x14ac:dyDescent="0.25">
      <c r="B198" s="104"/>
      <c r="Q198" s="59"/>
      <c r="R198" s="37"/>
      <c r="S198" s="37"/>
      <c r="T198" s="37"/>
      <c r="U198" s="37"/>
    </row>
    <row r="199" spans="2:21" x14ac:dyDescent="0.25">
      <c r="B199" s="104"/>
      <c r="Q199" s="59"/>
      <c r="R199" s="37"/>
      <c r="S199" s="37"/>
      <c r="T199" s="37"/>
      <c r="U199" s="37"/>
    </row>
    <row r="200" spans="2:21" x14ac:dyDescent="0.25">
      <c r="B200" s="104"/>
      <c r="Q200" s="59"/>
      <c r="R200" s="37"/>
      <c r="S200" s="37"/>
      <c r="T200" s="37"/>
      <c r="U200" s="37"/>
    </row>
    <row r="201" spans="2:21" x14ac:dyDescent="0.25">
      <c r="B201" s="104"/>
      <c r="Q201" s="59"/>
      <c r="R201" s="37"/>
      <c r="S201" s="37"/>
      <c r="T201" s="37"/>
      <c r="U201" s="37"/>
    </row>
    <row r="202" spans="2:21" x14ac:dyDescent="0.25">
      <c r="B202" s="104"/>
      <c r="Q202" s="59"/>
      <c r="R202" s="37"/>
      <c r="S202" s="37"/>
      <c r="T202" s="37"/>
      <c r="U202" s="37"/>
    </row>
    <row r="203" spans="2:21" x14ac:dyDescent="0.25">
      <c r="B203" s="104"/>
      <c r="Q203" s="59"/>
      <c r="R203" s="37"/>
      <c r="S203" s="37"/>
      <c r="T203" s="37"/>
      <c r="U203" s="37"/>
    </row>
    <row r="204" spans="2:21" x14ac:dyDescent="0.25">
      <c r="B204" s="104"/>
      <c r="Q204" s="59"/>
      <c r="R204" s="37"/>
      <c r="S204" s="37"/>
      <c r="T204" s="37"/>
      <c r="U204" s="37"/>
    </row>
    <row r="205" spans="2:21" x14ac:dyDescent="0.25">
      <c r="B205" s="104"/>
      <c r="Q205" s="59"/>
      <c r="R205" s="37"/>
      <c r="S205" s="37"/>
      <c r="T205" s="37"/>
      <c r="U205" s="37"/>
    </row>
    <row r="206" spans="2:21" x14ac:dyDescent="0.25">
      <c r="B206" s="104"/>
      <c r="Q206" s="59"/>
      <c r="R206" s="37"/>
      <c r="S206" s="37"/>
      <c r="T206" s="37"/>
      <c r="U206" s="37"/>
    </row>
    <row r="207" spans="2:21" x14ac:dyDescent="0.25">
      <c r="B207" s="104"/>
      <c r="Q207" s="59"/>
      <c r="R207" s="37"/>
      <c r="S207" s="37"/>
      <c r="T207" s="37"/>
      <c r="U207" s="37"/>
    </row>
    <row r="208" spans="2:21" x14ac:dyDescent="0.25">
      <c r="B208" s="104"/>
      <c r="Q208" s="59"/>
      <c r="R208" s="37"/>
      <c r="S208" s="37"/>
      <c r="T208" s="37"/>
      <c r="U208" s="37"/>
    </row>
    <row r="209" spans="2:21" x14ac:dyDescent="0.25">
      <c r="B209" s="104"/>
      <c r="Q209" s="59"/>
      <c r="R209" s="37"/>
      <c r="S209" s="37"/>
      <c r="T209" s="37"/>
      <c r="U209" s="37"/>
    </row>
    <row r="210" spans="2:21" x14ac:dyDescent="0.25">
      <c r="B210" s="104"/>
      <c r="Q210" s="59"/>
      <c r="R210" s="37"/>
      <c r="S210" s="37"/>
      <c r="T210" s="37"/>
      <c r="U210" s="37"/>
    </row>
    <row r="211" spans="2:21" x14ac:dyDescent="0.25">
      <c r="B211" s="104"/>
      <c r="Q211" s="59"/>
      <c r="R211" s="37"/>
      <c r="S211" s="37"/>
      <c r="T211" s="37"/>
      <c r="U211" s="37"/>
    </row>
    <row r="212" spans="2:21" x14ac:dyDescent="0.25">
      <c r="B212" s="104"/>
      <c r="Q212" s="59"/>
      <c r="R212" s="37"/>
      <c r="S212" s="37"/>
      <c r="T212" s="37"/>
      <c r="U212" s="37"/>
    </row>
    <row r="213" spans="2:21" x14ac:dyDescent="0.25">
      <c r="B213" s="104"/>
      <c r="Q213" s="59"/>
      <c r="R213" s="37"/>
      <c r="S213" s="37"/>
      <c r="T213" s="37"/>
      <c r="U213" s="37"/>
    </row>
    <row r="214" spans="2:21" x14ac:dyDescent="0.25">
      <c r="B214" s="104"/>
      <c r="Q214" s="59"/>
      <c r="R214" s="37"/>
      <c r="S214" s="37"/>
      <c r="T214" s="37"/>
      <c r="U214" s="37"/>
    </row>
    <row r="215" spans="2:21" x14ac:dyDescent="0.25">
      <c r="B215" s="104"/>
      <c r="Q215" s="59"/>
      <c r="R215" s="37"/>
      <c r="S215" s="37"/>
      <c r="T215" s="37"/>
      <c r="U215" s="37"/>
    </row>
    <row r="216" spans="2:21" x14ac:dyDescent="0.25">
      <c r="B216" s="104"/>
      <c r="Q216" s="59"/>
      <c r="R216" s="37"/>
      <c r="S216" s="37"/>
      <c r="T216" s="37"/>
      <c r="U216" s="37"/>
    </row>
    <row r="217" spans="2:21" x14ac:dyDescent="0.25">
      <c r="B217" s="104"/>
      <c r="Q217" s="59"/>
      <c r="R217" s="37"/>
      <c r="S217" s="37"/>
      <c r="T217" s="37"/>
      <c r="U217" s="37"/>
    </row>
    <row r="218" spans="2:21" x14ac:dyDescent="0.25">
      <c r="B218" s="104"/>
      <c r="Q218" s="59"/>
      <c r="R218" s="37"/>
      <c r="S218" s="37"/>
      <c r="T218" s="37"/>
      <c r="U218" s="37"/>
    </row>
    <row r="219" spans="2:21" x14ac:dyDescent="0.25">
      <c r="B219" s="104"/>
      <c r="Q219" s="59"/>
      <c r="R219" s="37"/>
      <c r="S219" s="37"/>
      <c r="T219" s="37"/>
      <c r="U219" s="37"/>
    </row>
    <row r="220" spans="2:21" x14ac:dyDescent="0.25">
      <c r="B220" s="104"/>
      <c r="Q220" s="59"/>
      <c r="R220" s="37"/>
      <c r="S220" s="37"/>
      <c r="T220" s="37"/>
      <c r="U220" s="37"/>
    </row>
    <row r="221" spans="2:21" x14ac:dyDescent="0.25">
      <c r="B221" s="104"/>
      <c r="Q221" s="59"/>
      <c r="R221" s="37"/>
      <c r="S221" s="37"/>
      <c r="T221" s="37"/>
      <c r="U221" s="37"/>
    </row>
    <row r="222" spans="2:21" x14ac:dyDescent="0.25">
      <c r="B222" s="104"/>
      <c r="Q222" s="59"/>
      <c r="R222" s="37"/>
      <c r="S222" s="37"/>
      <c r="T222" s="37"/>
      <c r="U222" s="37"/>
    </row>
    <row r="223" spans="2:21" x14ac:dyDescent="0.25">
      <c r="B223" s="104"/>
      <c r="Q223" s="59"/>
      <c r="R223" s="37"/>
      <c r="S223" s="37"/>
      <c r="T223" s="37"/>
      <c r="U223" s="37"/>
    </row>
    <row r="224" spans="2:21" x14ac:dyDescent="0.25">
      <c r="B224" s="104"/>
      <c r="Q224" s="59"/>
      <c r="R224" s="37"/>
      <c r="S224" s="37"/>
      <c r="T224" s="37"/>
      <c r="U224" s="37"/>
    </row>
    <row r="225" spans="2:21" x14ac:dyDescent="0.25">
      <c r="B225" s="104"/>
      <c r="Q225" s="59"/>
      <c r="R225" s="37"/>
      <c r="S225" s="37"/>
      <c r="T225" s="37"/>
      <c r="U225" s="37"/>
    </row>
    <row r="226" spans="2:21" x14ac:dyDescent="0.25">
      <c r="Q226" s="59"/>
      <c r="R226" s="37"/>
      <c r="S226" s="37"/>
      <c r="T226" s="37"/>
      <c r="U226" s="37"/>
    </row>
    <row r="227" spans="2:21" x14ac:dyDescent="0.25">
      <c r="B227" s="132"/>
      <c r="Q227" s="59"/>
      <c r="R227" s="37"/>
      <c r="S227" s="37"/>
      <c r="T227" s="37"/>
      <c r="U227" s="37"/>
    </row>
    <row r="228" spans="2:21" x14ac:dyDescent="0.25">
      <c r="B228" s="132"/>
      <c r="Q228" s="59"/>
      <c r="R228" s="37"/>
      <c r="S228" s="37"/>
      <c r="T228" s="37"/>
      <c r="U228" s="37"/>
    </row>
    <row r="229" spans="2:21" x14ac:dyDescent="0.25">
      <c r="B229" s="132"/>
      <c r="Q229" s="59"/>
      <c r="R229" s="37"/>
      <c r="S229" s="37"/>
      <c r="T229" s="37"/>
      <c r="U229" s="37"/>
    </row>
    <row r="230" spans="2:21" x14ac:dyDescent="0.25">
      <c r="B230" s="132"/>
      <c r="Q230" s="59"/>
      <c r="R230" s="37"/>
      <c r="S230" s="37"/>
      <c r="T230" s="37"/>
      <c r="U230" s="37"/>
    </row>
    <row r="231" spans="2:21" x14ac:dyDescent="0.25">
      <c r="B231" s="132"/>
      <c r="Q231" s="59"/>
      <c r="R231" s="37"/>
      <c r="S231" s="37"/>
      <c r="T231" s="37"/>
      <c r="U231" s="37"/>
    </row>
    <row r="232" spans="2:21" x14ac:dyDescent="0.25">
      <c r="B232" s="132"/>
      <c r="Q232" s="59"/>
      <c r="R232" s="37"/>
      <c r="S232" s="37"/>
      <c r="T232" s="37"/>
      <c r="U232" s="37"/>
    </row>
    <row r="233" spans="2:21" x14ac:dyDescent="0.25">
      <c r="B233" s="132"/>
      <c r="Q233" s="59"/>
      <c r="R233" s="37"/>
      <c r="S233" s="37"/>
      <c r="T233" s="37"/>
      <c r="U233" s="37"/>
    </row>
    <row r="234" spans="2:21" x14ac:dyDescent="0.25">
      <c r="B234" s="132"/>
      <c r="Q234" s="59"/>
      <c r="R234" s="37"/>
      <c r="S234" s="37"/>
      <c r="T234" s="37"/>
      <c r="U234" s="37"/>
    </row>
    <row r="235" spans="2:21" x14ac:dyDescent="0.25">
      <c r="B235" s="132"/>
      <c r="Q235" s="59"/>
      <c r="R235" s="37"/>
      <c r="S235" s="37"/>
      <c r="T235" s="37"/>
      <c r="U235" s="37"/>
    </row>
    <row r="236" spans="2:21" x14ac:dyDescent="0.25">
      <c r="B236" s="132"/>
      <c r="Q236" s="59"/>
      <c r="R236" s="37"/>
      <c r="S236" s="37"/>
      <c r="T236" s="37"/>
      <c r="U236" s="37"/>
    </row>
    <row r="237" spans="2:21" x14ac:dyDescent="0.25">
      <c r="B237" s="132"/>
      <c r="Q237" s="59"/>
      <c r="R237" s="37"/>
      <c r="S237" s="37"/>
      <c r="T237" s="37"/>
      <c r="U237" s="37"/>
    </row>
    <row r="238" spans="2:21" x14ac:dyDescent="0.25">
      <c r="B238" s="132"/>
      <c r="Q238" s="59"/>
      <c r="R238" s="37"/>
      <c r="S238" s="37"/>
      <c r="T238" s="37"/>
      <c r="U238" s="37"/>
    </row>
    <row r="239" spans="2:21" x14ac:dyDescent="0.25">
      <c r="B239" s="132"/>
      <c r="Q239" s="59"/>
      <c r="R239" s="37"/>
      <c r="S239" s="37"/>
      <c r="T239" s="37"/>
      <c r="U239" s="37"/>
    </row>
    <row r="240" spans="2:21" x14ac:dyDescent="0.25">
      <c r="B240" s="132"/>
      <c r="Q240" s="59"/>
      <c r="R240" s="37"/>
      <c r="S240" s="37"/>
      <c r="T240" s="37"/>
      <c r="U240" s="37"/>
    </row>
    <row r="241" spans="2:21" x14ac:dyDescent="0.25">
      <c r="B241" s="132"/>
      <c r="Q241" s="59"/>
      <c r="R241" s="37"/>
      <c r="S241" s="37"/>
      <c r="T241" s="37"/>
      <c r="U241" s="37"/>
    </row>
    <row r="242" spans="2:21" x14ac:dyDescent="0.25">
      <c r="B242" s="132"/>
      <c r="Q242" s="59"/>
      <c r="R242" s="37"/>
      <c r="S242" s="37"/>
      <c r="T242" s="37"/>
      <c r="U242" s="37"/>
    </row>
    <row r="243" spans="2:21" x14ac:dyDescent="0.25">
      <c r="B243" s="132"/>
      <c r="Q243" s="59"/>
      <c r="R243" s="37"/>
      <c r="S243" s="37"/>
      <c r="T243" s="37"/>
      <c r="U243" s="37"/>
    </row>
    <row r="244" spans="2:21" x14ac:dyDescent="0.25">
      <c r="B244" s="132"/>
      <c r="Q244" s="59"/>
      <c r="R244" s="37"/>
      <c r="S244" s="37"/>
      <c r="T244" s="37"/>
      <c r="U244" s="37"/>
    </row>
    <row r="245" spans="2:21" x14ac:dyDescent="0.25">
      <c r="B245" s="132"/>
      <c r="Q245" s="59"/>
      <c r="R245" s="37"/>
      <c r="S245" s="37"/>
      <c r="T245" s="37"/>
      <c r="U245" s="37"/>
    </row>
    <row r="246" spans="2:21" x14ac:dyDescent="0.25">
      <c r="B246" s="132"/>
      <c r="Q246" s="59"/>
      <c r="R246" s="37"/>
      <c r="S246" s="37"/>
      <c r="T246" s="37"/>
      <c r="U246" s="37"/>
    </row>
    <row r="247" spans="2:21" x14ac:dyDescent="0.25">
      <c r="B247" s="132"/>
      <c r="Q247" s="59"/>
      <c r="R247" s="37"/>
      <c r="S247" s="37"/>
      <c r="T247" s="37"/>
      <c r="U247" s="37"/>
    </row>
    <row r="248" spans="2:21" x14ac:dyDescent="0.25">
      <c r="B248" s="132"/>
      <c r="Q248" s="59"/>
      <c r="R248" s="37"/>
      <c r="S248" s="37"/>
      <c r="T248" s="37"/>
      <c r="U248" s="37"/>
    </row>
    <row r="249" spans="2:21" x14ac:dyDescent="0.25">
      <c r="B249" s="132"/>
      <c r="Q249" s="59"/>
      <c r="R249" s="37"/>
      <c r="S249" s="37"/>
      <c r="T249" s="37"/>
      <c r="U249" s="37"/>
    </row>
    <row r="250" spans="2:21" x14ac:dyDescent="0.25">
      <c r="B250" s="132"/>
      <c r="Q250" s="59"/>
      <c r="R250" s="37"/>
      <c r="S250" s="37"/>
      <c r="T250" s="37"/>
      <c r="U250" s="37"/>
    </row>
    <row r="251" spans="2:21" x14ac:dyDescent="0.25">
      <c r="B251" s="132"/>
      <c r="Q251" s="59"/>
      <c r="R251" s="37"/>
      <c r="S251" s="37"/>
      <c r="T251" s="37"/>
      <c r="U251" s="37"/>
    </row>
    <row r="252" spans="2:21" x14ac:dyDescent="0.25">
      <c r="B252" s="132"/>
      <c r="Q252" s="59"/>
      <c r="R252" s="37"/>
      <c r="S252" s="37"/>
      <c r="T252" s="37"/>
      <c r="U252" s="37"/>
    </row>
    <row r="253" spans="2:21" x14ac:dyDescent="0.25">
      <c r="B253" s="132"/>
      <c r="Q253" s="59"/>
      <c r="R253" s="37"/>
      <c r="S253" s="37"/>
      <c r="T253" s="37"/>
      <c r="U253" s="37"/>
    </row>
    <row r="254" spans="2:21" x14ac:dyDescent="0.25">
      <c r="B254" s="132"/>
      <c r="Q254" s="59"/>
      <c r="R254" s="37"/>
      <c r="S254" s="37"/>
      <c r="T254" s="37"/>
      <c r="U254" s="37"/>
    </row>
    <row r="255" spans="2:21" x14ac:dyDescent="0.25">
      <c r="B255" s="132"/>
      <c r="Q255" s="59"/>
      <c r="R255" s="37"/>
      <c r="S255" s="37"/>
      <c r="T255" s="37"/>
      <c r="U255" s="37"/>
    </row>
    <row r="256" spans="2:21" x14ac:dyDescent="0.25">
      <c r="B256" s="132"/>
      <c r="Q256" s="59"/>
      <c r="R256" s="37"/>
      <c r="S256" s="37"/>
      <c r="T256" s="37"/>
      <c r="U256" s="37"/>
    </row>
    <row r="257" spans="2:21" x14ac:dyDescent="0.25">
      <c r="B257" s="132"/>
      <c r="Q257" s="59"/>
      <c r="R257" s="37"/>
      <c r="S257" s="37"/>
      <c r="T257" s="37"/>
      <c r="U257" s="37"/>
    </row>
    <row r="258" spans="2:21" x14ac:dyDescent="0.25">
      <c r="B258" s="132"/>
      <c r="Q258" s="59"/>
      <c r="R258" s="37"/>
      <c r="S258" s="37"/>
      <c r="T258" s="37"/>
      <c r="U258" s="37"/>
    </row>
    <row r="259" spans="2:21" x14ac:dyDescent="0.25">
      <c r="Q259" s="59"/>
      <c r="R259" s="37"/>
      <c r="S259" s="37"/>
      <c r="T259" s="37"/>
      <c r="U259" s="37"/>
    </row>
    <row r="260" spans="2:21" x14ac:dyDescent="0.25">
      <c r="B260" s="132"/>
      <c r="Q260" s="59"/>
      <c r="R260" s="37"/>
      <c r="S260" s="37"/>
      <c r="T260" s="37"/>
      <c r="U260" s="37"/>
    </row>
    <row r="261" spans="2:21" x14ac:dyDescent="0.25">
      <c r="B261" s="132"/>
      <c r="Q261" s="59"/>
      <c r="R261" s="37"/>
      <c r="S261" s="37"/>
      <c r="T261" s="37"/>
      <c r="U261" s="37"/>
    </row>
    <row r="262" spans="2:21" x14ac:dyDescent="0.25">
      <c r="B262" s="132"/>
      <c r="Q262" s="59"/>
      <c r="R262" s="37"/>
      <c r="S262" s="37"/>
      <c r="T262" s="37"/>
      <c r="U262" s="37"/>
    </row>
    <row r="263" spans="2:21" x14ac:dyDescent="0.25">
      <c r="B263" s="132"/>
      <c r="Q263" s="59"/>
      <c r="R263" s="37"/>
      <c r="S263" s="37"/>
      <c r="T263" s="37"/>
      <c r="U263" s="37"/>
    </row>
    <row r="264" spans="2:21" x14ac:dyDescent="0.25">
      <c r="B264" s="132"/>
      <c r="Q264" s="59"/>
      <c r="R264" s="37"/>
      <c r="S264" s="37"/>
      <c r="T264" s="37"/>
      <c r="U264" s="37"/>
    </row>
    <row r="265" spans="2:21" x14ac:dyDescent="0.25">
      <c r="B265" s="132"/>
      <c r="Q265" s="59"/>
      <c r="R265" s="37"/>
      <c r="S265" s="37"/>
      <c r="T265" s="37"/>
      <c r="U265" s="37"/>
    </row>
    <row r="266" spans="2:21" x14ac:dyDescent="0.25">
      <c r="B266" s="132"/>
      <c r="Q266" s="59"/>
      <c r="R266" s="37"/>
      <c r="S266" s="37"/>
      <c r="T266" s="37"/>
      <c r="U266" s="37"/>
    </row>
    <row r="267" spans="2:21" x14ac:dyDescent="0.25">
      <c r="B267" s="132"/>
      <c r="Q267" s="59"/>
      <c r="R267" s="37"/>
      <c r="S267" s="37"/>
      <c r="T267" s="37"/>
      <c r="U267" s="37"/>
    </row>
    <row r="268" spans="2:21" x14ac:dyDescent="0.25">
      <c r="B268" s="132"/>
      <c r="Q268" s="59"/>
      <c r="R268" s="37"/>
      <c r="S268" s="37"/>
      <c r="T268" s="37"/>
      <c r="U268" s="37"/>
    </row>
    <row r="269" spans="2:21" x14ac:dyDescent="0.25">
      <c r="B269" s="132"/>
      <c r="Q269" s="59"/>
      <c r="R269" s="37"/>
      <c r="S269" s="37"/>
      <c r="T269" s="37"/>
      <c r="U269" s="37"/>
    </row>
    <row r="270" spans="2:21" x14ac:dyDescent="0.25">
      <c r="B270" s="132"/>
      <c r="Q270" s="59"/>
      <c r="R270" s="37"/>
      <c r="S270" s="37"/>
      <c r="T270" s="37"/>
      <c r="U270" s="37"/>
    </row>
    <row r="271" spans="2:21" x14ac:dyDescent="0.25">
      <c r="B271" s="132"/>
      <c r="Q271" s="59"/>
      <c r="R271" s="37"/>
      <c r="S271" s="37"/>
      <c r="T271" s="37"/>
      <c r="U271" s="37"/>
    </row>
    <row r="272" spans="2:21" x14ac:dyDescent="0.25">
      <c r="B272" s="132"/>
      <c r="Q272" s="59"/>
      <c r="R272" s="37"/>
      <c r="S272" s="37"/>
      <c r="T272" s="37"/>
      <c r="U272" s="37"/>
    </row>
    <row r="273" spans="2:21" x14ac:dyDescent="0.25">
      <c r="B273" s="132"/>
      <c r="Q273" s="59"/>
      <c r="R273" s="37"/>
      <c r="S273" s="37"/>
      <c r="T273" s="37"/>
      <c r="U273" s="37"/>
    </row>
    <row r="274" spans="2:21" x14ac:dyDescent="0.25">
      <c r="B274" s="132"/>
      <c r="Q274" s="59"/>
      <c r="R274" s="37"/>
      <c r="S274" s="37"/>
      <c r="T274" s="37"/>
      <c r="U274" s="37"/>
    </row>
    <row r="275" spans="2:21" x14ac:dyDescent="0.25">
      <c r="B275" s="132"/>
      <c r="Q275" s="59"/>
      <c r="R275" s="37"/>
      <c r="S275" s="37"/>
      <c r="T275" s="37"/>
      <c r="U275" s="37"/>
    </row>
    <row r="276" spans="2:21" x14ac:dyDescent="0.25">
      <c r="B276" s="132"/>
      <c r="Q276" s="59"/>
      <c r="R276" s="37"/>
      <c r="S276" s="37"/>
      <c r="T276" s="37"/>
      <c r="U276" s="37"/>
    </row>
    <row r="277" spans="2:21" x14ac:dyDescent="0.25">
      <c r="B277" s="132"/>
      <c r="Q277" s="59"/>
      <c r="R277" s="37"/>
      <c r="S277" s="37"/>
      <c r="T277" s="37"/>
      <c r="U277" s="37"/>
    </row>
    <row r="278" spans="2:21" x14ac:dyDescent="0.25">
      <c r="B278" s="132"/>
      <c r="Q278" s="59"/>
      <c r="R278" s="37"/>
      <c r="S278" s="37"/>
      <c r="T278" s="37"/>
      <c r="U278" s="37"/>
    </row>
    <row r="279" spans="2:21" x14ac:dyDescent="0.25">
      <c r="Q279" s="59"/>
      <c r="R279" s="37"/>
      <c r="S279" s="37"/>
      <c r="T279" s="37"/>
      <c r="U279" s="37"/>
    </row>
    <row r="280" spans="2:21" x14ac:dyDescent="0.25">
      <c r="Q280" s="59"/>
      <c r="R280" s="37"/>
      <c r="S280" s="37"/>
      <c r="T280" s="37"/>
      <c r="U280" s="37"/>
    </row>
    <row r="281" spans="2:21" x14ac:dyDescent="0.25">
      <c r="B281" s="132"/>
      <c r="Q281" s="59"/>
      <c r="R281" s="37"/>
      <c r="S281" s="37"/>
      <c r="T281" s="37"/>
      <c r="U281" s="37"/>
    </row>
    <row r="282" spans="2:21" x14ac:dyDescent="0.25">
      <c r="B282" s="132"/>
      <c r="Q282" s="59"/>
      <c r="R282" s="37"/>
      <c r="S282" s="37"/>
      <c r="T282" s="37"/>
      <c r="U282" s="37"/>
    </row>
    <row r="283" spans="2:21" x14ac:dyDescent="0.25">
      <c r="B283" s="132"/>
      <c r="Q283" s="59"/>
      <c r="R283" s="37"/>
      <c r="S283" s="37"/>
      <c r="T283" s="37"/>
      <c r="U283" s="37"/>
    </row>
    <row r="284" spans="2:21" x14ac:dyDescent="0.25">
      <c r="B284" s="132"/>
      <c r="Q284" s="59"/>
      <c r="R284" s="37"/>
      <c r="S284" s="37"/>
      <c r="T284" s="37"/>
      <c r="U284" s="37"/>
    </row>
    <row r="285" spans="2:21" x14ac:dyDescent="0.25">
      <c r="B285" s="132"/>
      <c r="Q285" s="59"/>
      <c r="R285" s="37"/>
      <c r="S285" s="37"/>
      <c r="T285" s="37"/>
      <c r="U285" s="37"/>
    </row>
    <row r="286" spans="2:21" x14ac:dyDescent="0.25">
      <c r="B286" s="132"/>
      <c r="Q286" s="59"/>
      <c r="R286" s="37"/>
      <c r="S286" s="37"/>
      <c r="T286" s="37"/>
      <c r="U286" s="37"/>
    </row>
    <row r="287" spans="2:21" x14ac:dyDescent="0.25">
      <c r="B287" s="132"/>
      <c r="Q287" s="59"/>
      <c r="R287" s="37"/>
      <c r="S287" s="37"/>
      <c r="T287" s="37"/>
      <c r="U287" s="37"/>
    </row>
    <row r="288" spans="2:21" x14ac:dyDescent="0.25">
      <c r="Q288" s="59"/>
      <c r="R288" s="37"/>
      <c r="S288" s="37"/>
      <c r="T288" s="37"/>
      <c r="U288" s="37"/>
    </row>
    <row r="289" spans="2:21" x14ac:dyDescent="0.25">
      <c r="Q289" s="59"/>
      <c r="R289" s="37"/>
      <c r="S289" s="37"/>
      <c r="T289" s="37"/>
      <c r="U289" s="37"/>
    </row>
    <row r="290" spans="2:21" x14ac:dyDescent="0.25">
      <c r="B290" s="132"/>
      <c r="Q290" s="59"/>
      <c r="R290" s="37"/>
      <c r="S290" s="37"/>
      <c r="T290" s="37"/>
      <c r="U290" s="37"/>
    </row>
    <row r="291" spans="2:21" x14ac:dyDescent="0.25">
      <c r="B291" s="132"/>
      <c r="Q291" s="59"/>
      <c r="R291" s="37"/>
      <c r="S291" s="37"/>
      <c r="T291" s="37"/>
      <c r="U291" s="37"/>
    </row>
    <row r="292" spans="2:21" x14ac:dyDescent="0.25">
      <c r="B292" s="132"/>
      <c r="Q292" s="59"/>
      <c r="R292" s="37"/>
      <c r="S292" s="37"/>
      <c r="T292" s="37"/>
      <c r="U292" s="37"/>
    </row>
    <row r="293" spans="2:21" x14ac:dyDescent="0.25">
      <c r="B293" s="132"/>
      <c r="Q293" s="59"/>
      <c r="R293" s="37"/>
      <c r="S293" s="37"/>
      <c r="T293" s="37"/>
      <c r="U293" s="37"/>
    </row>
    <row r="294" spans="2:21" x14ac:dyDescent="0.25">
      <c r="B294" s="132"/>
      <c r="Q294" s="59"/>
      <c r="R294" s="37"/>
      <c r="S294" s="37"/>
      <c r="T294" s="37"/>
      <c r="U294" s="37"/>
    </row>
    <row r="295" spans="2:21" x14ac:dyDescent="0.25">
      <c r="B295" s="132"/>
      <c r="Q295" s="59"/>
      <c r="R295" s="37"/>
      <c r="S295" s="37"/>
      <c r="T295" s="37"/>
      <c r="U295" s="37"/>
    </row>
    <row r="296" spans="2:21" x14ac:dyDescent="0.25">
      <c r="B296" s="132"/>
      <c r="Q296" s="59"/>
      <c r="R296" s="37"/>
      <c r="S296" s="37"/>
      <c r="T296" s="37"/>
      <c r="U296" s="37"/>
    </row>
    <row r="297" spans="2:21" x14ac:dyDescent="0.25">
      <c r="B297" s="132"/>
      <c r="Q297" s="59"/>
    </row>
    <row r="298" spans="2:21" x14ac:dyDescent="0.25">
      <c r="B298" s="132"/>
      <c r="Q298" s="59"/>
    </row>
    <row r="299" spans="2:21" x14ac:dyDescent="0.25">
      <c r="B299" s="132"/>
      <c r="Q299" s="59"/>
    </row>
    <row r="300" spans="2:21" x14ac:dyDescent="0.25">
      <c r="B300" s="132"/>
      <c r="Q300" s="59"/>
    </row>
    <row r="301" spans="2:21" x14ac:dyDescent="0.25">
      <c r="Q301" s="59"/>
    </row>
    <row r="302" spans="2:21" x14ac:dyDescent="0.25">
      <c r="Q302" s="59"/>
    </row>
    <row r="303" spans="2:21" x14ac:dyDescent="0.25">
      <c r="B303" s="132"/>
      <c r="Q303" s="59"/>
    </row>
    <row r="304" spans="2:21" x14ac:dyDescent="0.25">
      <c r="B304" s="132"/>
    </row>
    <row r="305" spans="2:2" x14ac:dyDescent="0.25">
      <c r="B305" s="132"/>
    </row>
    <row r="306" spans="2:2" x14ac:dyDescent="0.25">
      <c r="B306" s="132"/>
    </row>
    <row r="307" spans="2:2" x14ac:dyDescent="0.25">
      <c r="B307" s="132"/>
    </row>
    <row r="308" spans="2:2" x14ac:dyDescent="0.25">
      <c r="B308" s="132"/>
    </row>
    <row r="309" spans="2:2" x14ac:dyDescent="0.25">
      <c r="B309" s="132"/>
    </row>
    <row r="312" spans="2:2" x14ac:dyDescent="0.25">
      <c r="B312" s="132"/>
    </row>
    <row r="313" spans="2:2" x14ac:dyDescent="0.25">
      <c r="B313" s="132"/>
    </row>
    <row r="314" spans="2:2" x14ac:dyDescent="0.25">
      <c r="B314" s="132"/>
    </row>
    <row r="315" spans="2:2" x14ac:dyDescent="0.25">
      <c r="B315" s="132"/>
    </row>
    <row r="316" spans="2:2" x14ac:dyDescent="0.25">
      <c r="B316" s="132"/>
    </row>
    <row r="317" spans="2:2" x14ac:dyDescent="0.25">
      <c r="B317" s="132"/>
    </row>
    <row r="318" spans="2:2" x14ac:dyDescent="0.25">
      <c r="B318" s="132"/>
    </row>
    <row r="319" spans="2:2" x14ac:dyDescent="0.25">
      <c r="B319" s="130"/>
    </row>
    <row r="320" spans="2:2" x14ac:dyDescent="0.25">
      <c r="B320" s="130"/>
    </row>
    <row r="321" spans="2:2" x14ac:dyDescent="0.25">
      <c r="B321" s="130"/>
    </row>
    <row r="322" spans="2:2" x14ac:dyDescent="0.25">
      <c r="B322" s="130"/>
    </row>
    <row r="323" spans="2:2" x14ac:dyDescent="0.25">
      <c r="B323" s="130"/>
    </row>
    <row r="324" spans="2:2" x14ac:dyDescent="0.25">
      <c r="B324" s="130"/>
    </row>
    <row r="325" spans="2:2" x14ac:dyDescent="0.25">
      <c r="B325" s="130"/>
    </row>
    <row r="326" spans="2:2" x14ac:dyDescent="0.25">
      <c r="B326" s="130"/>
    </row>
    <row r="327" spans="2:2" x14ac:dyDescent="0.25">
      <c r="B327" s="130"/>
    </row>
    <row r="328" spans="2:2" x14ac:dyDescent="0.25">
      <c r="B328" s="130"/>
    </row>
    <row r="329" spans="2:2" x14ac:dyDescent="0.25">
      <c r="B329" s="130"/>
    </row>
    <row r="330" spans="2:2" x14ac:dyDescent="0.25">
      <c r="B330" s="130"/>
    </row>
    <row r="331" spans="2:2" x14ac:dyDescent="0.25">
      <c r="B331" s="133"/>
    </row>
    <row r="332" spans="2:2" ht="13.8" thickBot="1" x14ac:dyDescent="0.3">
      <c r="B332" s="133"/>
    </row>
    <row r="333" spans="2:2" ht="13.8" thickBot="1" x14ac:dyDescent="0.3">
      <c r="B333" s="134"/>
    </row>
    <row r="336" spans="2:2" x14ac:dyDescent="0.25">
      <c r="B336" s="135"/>
    </row>
    <row r="337" spans="2:2" x14ac:dyDescent="0.25">
      <c r="B337" s="136"/>
    </row>
    <row r="343" spans="2:2" x14ac:dyDescent="0.25">
      <c r="B343" s="135"/>
    </row>
    <row r="345" spans="2:2" x14ac:dyDescent="0.25">
      <c r="B345" s="135"/>
    </row>
    <row r="361" spans="2:2" x14ac:dyDescent="0.25">
      <c r="B361" s="135"/>
    </row>
    <row r="370" spans="2:2" x14ac:dyDescent="0.25">
      <c r="B370" s="135"/>
    </row>
  </sheetData>
  <mergeCells count="10">
    <mergeCell ref="O8:P8"/>
    <mergeCell ref="Q8:Q9"/>
    <mergeCell ref="A1:M1"/>
    <mergeCell ref="A8:A9"/>
    <mergeCell ref="C8:C9"/>
    <mergeCell ref="D8:D9"/>
    <mergeCell ref="F8:G8"/>
    <mergeCell ref="K8:K9"/>
    <mergeCell ref="L8:L9"/>
    <mergeCell ref="M8:N8"/>
  </mergeCells>
  <pageMargins left="0.75" right="0.75" top="1" bottom="1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btnGenerate">
          <controlPr defaultSize="0" autoLine="0" r:id="rId5">
            <anchor moveWithCells="1" sizeWithCells="1">
              <from>
                <xdr:col>5</xdr:col>
                <xdr:colOff>45720</xdr:colOff>
                <xdr:row>2</xdr:row>
                <xdr:rowOff>99060</xdr:rowOff>
              </from>
              <to>
                <xdr:col>7</xdr:col>
                <xdr:colOff>548640</xdr:colOff>
                <xdr:row>4</xdr:row>
                <xdr:rowOff>7620</xdr:rowOff>
              </to>
            </anchor>
          </controlPr>
        </control>
      </mc:Choice>
      <mc:Fallback>
        <control shapeId="2049" r:id="rId4" name="btnGener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6"/>
  <dimension ref="A1:AA370"/>
  <sheetViews>
    <sheetView tabSelected="1" zoomScale="85" workbookViewId="0">
      <pane xSplit="3" ySplit="10" topLeftCell="D59" activePane="bottomRight" state="frozen"/>
      <selection pane="topRight" activeCell="C1" sqref="C1"/>
      <selection pane="bottomLeft" activeCell="A11" sqref="A11"/>
      <selection pane="bottomRight" activeCell="A75" sqref="A75:XFD75"/>
    </sheetView>
  </sheetViews>
  <sheetFormatPr defaultColWidth="11.44140625" defaultRowHeight="13.2" x14ac:dyDescent="0.25"/>
  <cols>
    <col min="1" max="1" width="8.33203125" style="126" customWidth="1"/>
    <col min="2" max="2" width="8.33203125" style="131" customWidth="1"/>
    <col min="3" max="3" width="35.21875" bestFit="1" customWidth="1"/>
    <col min="4" max="8" width="9.44140625" style="126" customWidth="1"/>
    <col min="9" max="9" width="9.44140625" style="127" customWidth="1"/>
    <col min="10" max="10" width="13.6640625" bestFit="1" customWidth="1"/>
    <col min="11" max="11" width="9.88671875" bestFit="1" customWidth="1"/>
    <col min="12" max="12" width="40.5546875" bestFit="1" customWidth="1"/>
    <col min="13" max="13" width="12" customWidth="1"/>
    <col min="14" max="16" width="11.44140625" customWidth="1"/>
    <col min="17" max="17" width="16.109375" customWidth="1"/>
    <col min="18" max="18" width="12.44140625" bestFit="1" customWidth="1"/>
    <col min="19" max="21" width="12.44140625" customWidth="1"/>
    <col min="22" max="22" width="31.44140625" style="11" customWidth="1"/>
    <col min="23" max="23" width="28.88671875" style="12" customWidth="1"/>
    <col min="24" max="24" width="11.44140625" style="13" customWidth="1"/>
    <col min="25" max="26" width="11.44140625" style="12" customWidth="1"/>
    <col min="27" max="27" width="11.44140625" style="13" customWidth="1"/>
  </cols>
  <sheetData>
    <row r="1" spans="1:27" ht="17.399999999999999" x14ac:dyDescent="0.3">
      <c r="A1" s="140" t="s">
        <v>0</v>
      </c>
      <c r="B1" s="140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V1" s="1"/>
      <c r="W1" s="2"/>
      <c r="X1" s="3"/>
      <c r="Y1" s="2"/>
      <c r="Z1" s="2"/>
      <c r="AA1" s="3"/>
    </row>
    <row r="3" spans="1:27" ht="17.399999999999999" x14ac:dyDescent="0.3">
      <c r="A3" s="4"/>
      <c r="B3" s="5"/>
      <c r="C3" s="6" t="s">
        <v>1</v>
      </c>
      <c r="D3" s="7" t="s">
        <v>2</v>
      </c>
      <c r="E3" s="4"/>
      <c r="F3" s="4"/>
      <c r="G3" s="8"/>
      <c r="H3" s="8"/>
      <c r="I3" s="4"/>
      <c r="J3" s="9"/>
      <c r="K3" s="9"/>
      <c r="L3" s="9"/>
      <c r="M3" s="10"/>
    </row>
    <row r="4" spans="1:27" ht="17.399999999999999" x14ac:dyDescent="0.3">
      <c r="A4" s="4"/>
      <c r="B4" s="5"/>
      <c r="C4" s="7" t="s">
        <v>3</v>
      </c>
      <c r="D4" s="7">
        <v>5</v>
      </c>
      <c r="E4" s="14"/>
      <c r="F4" s="14"/>
      <c r="G4" s="15"/>
      <c r="H4" s="15"/>
      <c r="I4" s="14"/>
      <c r="J4" s="9"/>
      <c r="K4" s="9"/>
      <c r="L4" s="9"/>
      <c r="M4" s="10"/>
    </row>
    <row r="5" spans="1:27" ht="17.399999999999999" x14ac:dyDescent="0.3">
      <c r="A5" s="4"/>
      <c r="B5" s="5"/>
      <c r="C5" s="7" t="s">
        <v>4</v>
      </c>
      <c r="D5" s="7">
        <v>27</v>
      </c>
      <c r="E5" s="4"/>
      <c r="F5" s="4"/>
      <c r="G5" s="8"/>
      <c r="H5" s="8"/>
      <c r="I5" s="4"/>
      <c r="J5" s="9"/>
      <c r="K5" s="9"/>
      <c r="L5" s="9"/>
      <c r="M5" s="10"/>
    </row>
    <row r="6" spans="1:27" x14ac:dyDescent="0.25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7</v>
      </c>
      <c r="H6" s="17">
        <v>8</v>
      </c>
      <c r="I6" s="16">
        <v>9</v>
      </c>
      <c r="J6" s="17">
        <v>10</v>
      </c>
      <c r="K6" s="16">
        <v>11</v>
      </c>
      <c r="L6" s="17">
        <v>12</v>
      </c>
      <c r="M6" s="16">
        <v>13</v>
      </c>
      <c r="N6" s="17">
        <v>14</v>
      </c>
      <c r="O6" s="16">
        <v>15</v>
      </c>
      <c r="P6" s="17">
        <v>16</v>
      </c>
      <c r="Q6" s="16">
        <v>17</v>
      </c>
      <c r="R6" s="17">
        <v>18</v>
      </c>
      <c r="S6" s="16">
        <v>19</v>
      </c>
      <c r="T6" s="17">
        <v>20</v>
      </c>
      <c r="U6" s="16">
        <v>21</v>
      </c>
      <c r="V6" s="18">
        <v>22</v>
      </c>
      <c r="W6" s="19">
        <v>23</v>
      </c>
      <c r="X6" s="20">
        <v>24</v>
      </c>
      <c r="Y6" s="16">
        <v>25</v>
      </c>
      <c r="Z6" s="17">
        <v>26</v>
      </c>
      <c r="AA6" s="16">
        <v>27</v>
      </c>
    </row>
    <row r="7" spans="1:27" x14ac:dyDescent="0.25">
      <c r="A7" s="10"/>
      <c r="B7" s="21"/>
      <c r="C7" s="10"/>
      <c r="D7" s="15"/>
      <c r="E7" s="15"/>
      <c r="F7" s="15"/>
      <c r="G7" s="15"/>
      <c r="H7" s="15"/>
      <c r="I7" s="10"/>
      <c r="J7" s="10"/>
      <c r="K7" s="10"/>
      <c r="L7" s="10"/>
      <c r="M7" s="10"/>
    </row>
    <row r="8" spans="1:27" s="12" customFormat="1" ht="26.4" customHeight="1" x14ac:dyDescent="0.25">
      <c r="A8" s="142" t="s">
        <v>5</v>
      </c>
      <c r="B8" s="22" t="s">
        <v>6</v>
      </c>
      <c r="C8" s="143" t="s">
        <v>7</v>
      </c>
      <c r="D8" s="142" t="s">
        <v>8</v>
      </c>
      <c r="E8" s="23" t="s">
        <v>6</v>
      </c>
      <c r="F8" s="139" t="s">
        <v>9</v>
      </c>
      <c r="G8" s="139"/>
      <c r="H8" s="23" t="s">
        <v>10</v>
      </c>
      <c r="I8" s="23" t="s">
        <v>11</v>
      </c>
      <c r="J8" s="23" t="s">
        <v>12</v>
      </c>
      <c r="K8" s="142" t="s">
        <v>13</v>
      </c>
      <c r="L8" s="145" t="s">
        <v>14</v>
      </c>
      <c r="M8" s="139" t="s">
        <v>15</v>
      </c>
      <c r="N8" s="139"/>
      <c r="O8" s="139" t="s">
        <v>16</v>
      </c>
      <c r="P8" s="139"/>
      <c r="Q8" s="139" t="s">
        <v>17</v>
      </c>
      <c r="R8" s="23" t="s">
        <v>18</v>
      </c>
      <c r="S8" s="24" t="s">
        <v>19</v>
      </c>
      <c r="T8" s="24" t="s">
        <v>20</v>
      </c>
      <c r="U8" s="24" t="s">
        <v>21</v>
      </c>
      <c r="V8" s="25" t="s">
        <v>22</v>
      </c>
      <c r="W8" s="26" t="s">
        <v>23</v>
      </c>
      <c r="X8" s="27" t="s">
        <v>24</v>
      </c>
      <c r="Y8" s="28" t="s">
        <v>25</v>
      </c>
      <c r="Z8" s="28" t="s">
        <v>26</v>
      </c>
      <c r="AA8" s="29" t="s">
        <v>27</v>
      </c>
    </row>
    <row r="9" spans="1:27" s="12" customFormat="1" x14ac:dyDescent="0.25">
      <c r="A9" s="139"/>
      <c r="B9" s="30" t="s">
        <v>28</v>
      </c>
      <c r="C9" s="144"/>
      <c r="D9" s="139"/>
      <c r="E9" s="31" t="s">
        <v>29</v>
      </c>
      <c r="F9" s="31" t="s">
        <v>30</v>
      </c>
      <c r="G9" s="31" t="s">
        <v>31</v>
      </c>
      <c r="H9" s="31"/>
      <c r="I9" s="32" t="s">
        <v>32</v>
      </c>
      <c r="J9" s="31"/>
      <c r="K9" s="139"/>
      <c r="L9" s="145"/>
      <c r="M9" s="31" t="s">
        <v>33</v>
      </c>
      <c r="N9" s="31" t="s">
        <v>34</v>
      </c>
      <c r="O9" s="31" t="s">
        <v>35</v>
      </c>
      <c r="P9" s="31" t="s">
        <v>36</v>
      </c>
      <c r="Q9" s="139"/>
      <c r="R9" s="23"/>
      <c r="S9" s="23"/>
      <c r="T9" s="23"/>
      <c r="U9" s="23"/>
      <c r="V9" s="33"/>
      <c r="W9" s="34"/>
      <c r="X9" s="35"/>
      <c r="Y9" s="36"/>
      <c r="Z9" s="37"/>
      <c r="AA9" s="38"/>
    </row>
    <row r="10" spans="1:27" s="39" customFormat="1" ht="13.8" thickBot="1" x14ac:dyDescent="0.3">
      <c r="B10" s="40"/>
      <c r="D10" s="41"/>
      <c r="E10" s="41"/>
      <c r="F10" s="42"/>
      <c r="G10" s="42"/>
      <c r="H10" s="42"/>
      <c r="I10" s="41"/>
      <c r="J10" s="43"/>
      <c r="K10" s="44"/>
      <c r="L10" s="44"/>
      <c r="V10" s="45"/>
      <c r="W10" s="46"/>
      <c r="X10" s="47"/>
      <c r="Y10" s="48"/>
      <c r="Z10" s="41"/>
      <c r="AA10" s="49"/>
    </row>
    <row r="11" spans="1:27" s="12" customFormat="1" ht="13.8" thickTop="1" x14ac:dyDescent="0.25">
      <c r="A11" s="50">
        <v>0</v>
      </c>
      <c r="B11" s="51"/>
      <c r="C11" s="52" t="s">
        <v>37</v>
      </c>
      <c r="D11" s="50"/>
      <c r="E11" s="53" t="s">
        <v>38</v>
      </c>
      <c r="F11" s="54">
        <v>0</v>
      </c>
      <c r="G11" s="55">
        <v>32767</v>
      </c>
      <c r="H11" s="56"/>
      <c r="I11" s="57">
        <v>1</v>
      </c>
      <c r="J11" s="58" t="s">
        <v>39</v>
      </c>
      <c r="K11" s="59"/>
      <c r="L11" s="58" t="s">
        <v>40</v>
      </c>
      <c r="M11" s="60">
        <f t="shared" ref="M11:M87" si="0">$D$5</f>
        <v>27</v>
      </c>
      <c r="N11" s="60">
        <f t="shared" ref="N11:N87" si="1">$D$4</f>
        <v>5</v>
      </c>
      <c r="O11" s="60">
        <f t="shared" ref="O11:O65" si="2">IF(A11&lt;&gt;"",M11*2^9+A11,"")</f>
        <v>13824</v>
      </c>
      <c r="P11" s="60" t="str">
        <f t="shared" ref="P11:P22" si="3">IF(A11&lt;&gt;"","0x" &amp;DEC2HEX( O11,4),"")</f>
        <v>0x3600</v>
      </c>
      <c r="Q11" s="61"/>
      <c r="R11" s="62" t="s">
        <v>41</v>
      </c>
      <c r="S11" s="63"/>
      <c r="T11" s="64"/>
      <c r="U11" s="64"/>
      <c r="V11" s="65"/>
      <c r="W11" s="66"/>
      <c r="X11" s="13"/>
      <c r="AA11" s="13"/>
    </row>
    <row r="12" spans="1:27" x14ac:dyDescent="0.25">
      <c r="A12" s="50">
        <v>1</v>
      </c>
      <c r="B12" s="51"/>
      <c r="C12" s="52" t="s">
        <v>42</v>
      </c>
      <c r="D12" s="50"/>
      <c r="E12" s="53" t="s">
        <v>38</v>
      </c>
      <c r="F12" s="50">
        <v>1800</v>
      </c>
      <c r="G12" s="55">
        <v>3900</v>
      </c>
      <c r="H12" s="56"/>
      <c r="I12" s="67">
        <v>1</v>
      </c>
      <c r="J12" s="58" t="s">
        <v>39</v>
      </c>
      <c r="K12" s="59"/>
      <c r="L12" s="52" t="s">
        <v>43</v>
      </c>
      <c r="M12" s="50">
        <f t="shared" si="0"/>
        <v>27</v>
      </c>
      <c r="N12" s="50">
        <f t="shared" si="1"/>
        <v>5</v>
      </c>
      <c r="O12" s="50">
        <f t="shared" si="2"/>
        <v>13825</v>
      </c>
      <c r="P12" s="59" t="str">
        <f t="shared" si="3"/>
        <v>0x3601</v>
      </c>
      <c r="Q12" s="68"/>
      <c r="R12" s="69" t="s">
        <v>41</v>
      </c>
      <c r="S12" s="70"/>
      <c r="T12" s="71"/>
      <c r="U12" s="71"/>
    </row>
    <row r="13" spans="1:27" x14ac:dyDescent="0.25">
      <c r="A13" s="50">
        <v>2</v>
      </c>
      <c r="B13" s="51"/>
      <c r="C13" s="52" t="s">
        <v>44</v>
      </c>
      <c r="D13" s="50"/>
      <c r="E13" s="53" t="s">
        <v>38</v>
      </c>
      <c r="F13" s="50">
        <v>0</v>
      </c>
      <c r="G13" s="55">
        <v>32767</v>
      </c>
      <c r="H13" s="56"/>
      <c r="I13" s="67">
        <v>1</v>
      </c>
      <c r="J13" s="58" t="s">
        <v>39</v>
      </c>
      <c r="K13" s="59"/>
      <c r="L13" s="58" t="s">
        <v>45</v>
      </c>
      <c r="M13" s="50">
        <f t="shared" si="0"/>
        <v>27</v>
      </c>
      <c r="N13" s="50">
        <f t="shared" si="1"/>
        <v>5</v>
      </c>
      <c r="O13" s="50">
        <f t="shared" si="2"/>
        <v>13826</v>
      </c>
      <c r="P13" s="59" t="str">
        <f t="shared" si="3"/>
        <v>0x3602</v>
      </c>
      <c r="Q13" s="68"/>
      <c r="R13" s="69" t="s">
        <v>41</v>
      </c>
      <c r="S13" s="70"/>
      <c r="T13" s="71"/>
      <c r="U13" s="71"/>
    </row>
    <row r="14" spans="1:27" x14ac:dyDescent="0.25">
      <c r="A14" s="50">
        <v>3</v>
      </c>
      <c r="B14" s="51"/>
      <c r="C14" s="52" t="s">
        <v>46</v>
      </c>
      <c r="D14" s="50"/>
      <c r="E14" s="50" t="s">
        <v>47</v>
      </c>
      <c r="F14" s="54">
        <v>0</v>
      </c>
      <c r="G14" s="55">
        <v>0</v>
      </c>
      <c r="H14" s="56"/>
      <c r="I14" s="67"/>
      <c r="J14" s="58" t="s">
        <v>48</v>
      </c>
      <c r="K14" s="59"/>
      <c r="L14" s="58" t="s">
        <v>49</v>
      </c>
      <c r="M14" s="50">
        <f t="shared" si="0"/>
        <v>27</v>
      </c>
      <c r="N14" s="50">
        <f t="shared" si="1"/>
        <v>5</v>
      </c>
      <c r="O14" s="50">
        <f t="shared" si="2"/>
        <v>13827</v>
      </c>
      <c r="P14" s="59" t="str">
        <f t="shared" si="3"/>
        <v>0x3603</v>
      </c>
      <c r="Q14" s="68"/>
      <c r="R14" s="69" t="s">
        <v>41</v>
      </c>
      <c r="S14" s="70"/>
      <c r="T14" s="71"/>
      <c r="U14" s="71"/>
    </row>
    <row r="15" spans="1:27" x14ac:dyDescent="0.25">
      <c r="A15" s="50">
        <v>4</v>
      </c>
      <c r="B15" s="51"/>
      <c r="C15" s="52" t="s">
        <v>50</v>
      </c>
      <c r="D15" s="50"/>
      <c r="E15" s="53" t="s">
        <v>38</v>
      </c>
      <c r="F15" s="50">
        <v>0</v>
      </c>
      <c r="G15" s="55">
        <v>32767</v>
      </c>
      <c r="H15" s="56"/>
      <c r="I15" s="67">
        <v>1</v>
      </c>
      <c r="J15" s="58" t="s">
        <v>39</v>
      </c>
      <c r="K15" s="59"/>
      <c r="L15" s="58" t="s">
        <v>51</v>
      </c>
      <c r="M15" s="50">
        <f t="shared" si="0"/>
        <v>27</v>
      </c>
      <c r="N15" s="50">
        <f t="shared" si="1"/>
        <v>5</v>
      </c>
      <c r="O15" s="50">
        <f t="shared" si="2"/>
        <v>13828</v>
      </c>
      <c r="P15" s="59" t="str">
        <f t="shared" si="3"/>
        <v>0x3604</v>
      </c>
      <c r="Q15" s="68"/>
      <c r="R15" s="69" t="s">
        <v>41</v>
      </c>
      <c r="S15" s="70"/>
      <c r="T15" s="71"/>
      <c r="U15" s="71"/>
    </row>
    <row r="16" spans="1:27" x14ac:dyDescent="0.25">
      <c r="A16" s="50">
        <v>5</v>
      </c>
      <c r="B16" s="51"/>
      <c r="C16" s="52" t="s">
        <v>52</v>
      </c>
      <c r="D16" s="50"/>
      <c r="E16" s="53" t="s">
        <v>38</v>
      </c>
      <c r="F16" s="50">
        <v>1800</v>
      </c>
      <c r="G16" s="55">
        <v>3900</v>
      </c>
      <c r="H16" s="56"/>
      <c r="I16" s="67">
        <v>1</v>
      </c>
      <c r="J16" s="58" t="s">
        <v>39</v>
      </c>
      <c r="K16" s="59"/>
      <c r="L16" s="58" t="s">
        <v>53</v>
      </c>
      <c r="M16" s="50">
        <f t="shared" si="0"/>
        <v>27</v>
      </c>
      <c r="N16" s="50">
        <f t="shared" si="1"/>
        <v>5</v>
      </c>
      <c r="O16" s="50">
        <f t="shared" si="2"/>
        <v>13829</v>
      </c>
      <c r="P16" s="59" t="str">
        <f t="shared" si="3"/>
        <v>0x3605</v>
      </c>
      <c r="Q16" s="61" t="s">
        <v>54</v>
      </c>
      <c r="R16" s="69" t="s">
        <v>41</v>
      </c>
      <c r="S16" s="70"/>
      <c r="T16" s="71"/>
      <c r="U16" s="71"/>
    </row>
    <row r="17" spans="1:24" x14ac:dyDescent="0.25">
      <c r="A17" s="50">
        <v>6</v>
      </c>
      <c r="B17" s="51"/>
      <c r="C17" s="52" t="s">
        <v>55</v>
      </c>
      <c r="D17" s="50"/>
      <c r="E17" s="53" t="s">
        <v>38</v>
      </c>
      <c r="F17" s="50">
        <v>0</v>
      </c>
      <c r="G17" s="55">
        <v>32767</v>
      </c>
      <c r="H17" s="56"/>
      <c r="I17" s="67">
        <v>1</v>
      </c>
      <c r="J17" s="52" t="s">
        <v>39</v>
      </c>
      <c r="K17" s="59"/>
      <c r="L17" s="58" t="s">
        <v>56</v>
      </c>
      <c r="M17" s="50">
        <f t="shared" si="0"/>
        <v>27</v>
      </c>
      <c r="N17" s="50">
        <f t="shared" si="1"/>
        <v>5</v>
      </c>
      <c r="O17" s="50">
        <f t="shared" si="2"/>
        <v>13830</v>
      </c>
      <c r="P17" s="59" t="str">
        <f t="shared" si="3"/>
        <v>0x3606</v>
      </c>
      <c r="Q17" s="68"/>
      <c r="R17" s="69" t="s">
        <v>41</v>
      </c>
      <c r="S17" s="70"/>
      <c r="T17" s="71"/>
      <c r="U17" s="71"/>
    </row>
    <row r="18" spans="1:24" x14ac:dyDescent="0.25">
      <c r="A18" s="50">
        <v>7</v>
      </c>
      <c r="B18" s="51"/>
      <c r="C18" s="58" t="s">
        <v>57</v>
      </c>
      <c r="D18" s="50"/>
      <c r="E18" s="53" t="s">
        <v>38</v>
      </c>
      <c r="F18" s="50">
        <v>1800</v>
      </c>
      <c r="G18" s="55">
        <v>3900</v>
      </c>
      <c r="H18" s="56"/>
      <c r="I18" s="67">
        <v>1</v>
      </c>
      <c r="J18" s="52" t="s">
        <v>39</v>
      </c>
      <c r="K18" s="59"/>
      <c r="L18" s="58" t="s">
        <v>58</v>
      </c>
      <c r="M18" s="50">
        <f t="shared" si="0"/>
        <v>27</v>
      </c>
      <c r="N18" s="50">
        <f t="shared" si="1"/>
        <v>5</v>
      </c>
      <c r="O18" s="50">
        <f t="shared" si="2"/>
        <v>13831</v>
      </c>
      <c r="P18" s="59" t="str">
        <f t="shared" si="3"/>
        <v>0x3607</v>
      </c>
      <c r="Q18" s="61" t="s">
        <v>54</v>
      </c>
      <c r="R18" s="69" t="s">
        <v>41</v>
      </c>
      <c r="S18" s="70"/>
      <c r="T18" s="71"/>
      <c r="U18" s="71"/>
    </row>
    <row r="19" spans="1:24" x14ac:dyDescent="0.25">
      <c r="A19" s="50">
        <v>8</v>
      </c>
      <c r="B19" s="51"/>
      <c r="C19" s="58" t="s">
        <v>59</v>
      </c>
      <c r="D19" s="50"/>
      <c r="E19" s="59" t="s">
        <v>47</v>
      </c>
      <c r="F19" s="50">
        <v>0</v>
      </c>
      <c r="G19" s="72">
        <v>65535</v>
      </c>
      <c r="H19" s="73"/>
      <c r="I19" s="67"/>
      <c r="J19" s="52" t="s">
        <v>60</v>
      </c>
      <c r="K19" s="59"/>
      <c r="L19" s="52" t="s">
        <v>61</v>
      </c>
      <c r="M19" s="50">
        <f t="shared" si="0"/>
        <v>27</v>
      </c>
      <c r="N19" s="50">
        <f t="shared" si="1"/>
        <v>5</v>
      </c>
      <c r="O19" s="50">
        <f t="shared" si="2"/>
        <v>13832</v>
      </c>
      <c r="P19" s="59" t="str">
        <f t="shared" si="3"/>
        <v>0x3608</v>
      </c>
      <c r="Q19" s="68"/>
      <c r="R19" s="69"/>
      <c r="S19" s="70"/>
      <c r="T19" s="71"/>
      <c r="U19" s="71"/>
    </row>
    <row r="20" spans="1:24" x14ac:dyDescent="0.25">
      <c r="A20" s="50"/>
      <c r="B20" s="51"/>
      <c r="C20" s="58"/>
      <c r="D20" s="50"/>
      <c r="E20" s="59"/>
      <c r="F20" s="50"/>
      <c r="G20" s="74"/>
      <c r="H20" s="73"/>
      <c r="I20" s="67"/>
      <c r="J20" s="52" t="s">
        <v>62</v>
      </c>
      <c r="K20" s="59"/>
      <c r="L20" s="52" t="s">
        <v>63</v>
      </c>
      <c r="M20" s="50">
        <f t="shared" si="0"/>
        <v>27</v>
      </c>
      <c r="N20" s="50">
        <f t="shared" si="1"/>
        <v>5</v>
      </c>
      <c r="O20" s="50" t="str">
        <f t="shared" si="2"/>
        <v/>
      </c>
      <c r="P20" s="59" t="str">
        <f t="shared" si="3"/>
        <v/>
      </c>
      <c r="Q20" s="68"/>
      <c r="R20" s="69"/>
      <c r="S20" s="70"/>
      <c r="T20" s="71"/>
      <c r="U20" s="71"/>
    </row>
    <row r="21" spans="1:24" x14ac:dyDescent="0.25">
      <c r="A21" s="50"/>
      <c r="B21" s="51"/>
      <c r="C21" s="58"/>
      <c r="D21" s="50"/>
      <c r="E21" s="59"/>
      <c r="F21" s="50"/>
      <c r="G21" s="74"/>
      <c r="H21" s="73"/>
      <c r="I21" s="67"/>
      <c r="J21" s="52" t="s">
        <v>62</v>
      </c>
      <c r="K21" s="59"/>
      <c r="L21" s="52" t="s">
        <v>64</v>
      </c>
      <c r="M21" s="50">
        <f t="shared" si="0"/>
        <v>27</v>
      </c>
      <c r="N21" s="50">
        <f t="shared" si="1"/>
        <v>5</v>
      </c>
      <c r="O21" s="50" t="str">
        <f t="shared" si="2"/>
        <v/>
      </c>
      <c r="P21" s="59" t="str">
        <f t="shared" si="3"/>
        <v/>
      </c>
      <c r="Q21" s="68"/>
      <c r="R21" s="69"/>
      <c r="S21" s="70"/>
      <c r="T21" s="71"/>
      <c r="U21" s="71"/>
    </row>
    <row r="22" spans="1:24" x14ac:dyDescent="0.25">
      <c r="A22" s="50">
        <v>9</v>
      </c>
      <c r="B22" s="51"/>
      <c r="C22" s="58" t="s">
        <v>65</v>
      </c>
      <c r="D22" s="50"/>
      <c r="E22" s="75" t="s">
        <v>38</v>
      </c>
      <c r="F22" s="50">
        <v>0</v>
      </c>
      <c r="G22" s="72">
        <v>65535</v>
      </c>
      <c r="H22" s="76"/>
      <c r="I22" s="59"/>
      <c r="J22" s="52"/>
      <c r="K22" s="59"/>
      <c r="L22" s="77" t="s">
        <v>66</v>
      </c>
      <c r="M22" s="50">
        <f t="shared" si="0"/>
        <v>27</v>
      </c>
      <c r="N22" s="50">
        <f t="shared" si="1"/>
        <v>5</v>
      </c>
      <c r="O22" s="50">
        <f t="shared" si="2"/>
        <v>13833</v>
      </c>
      <c r="P22" s="59" t="str">
        <f t="shared" si="3"/>
        <v>0x3609</v>
      </c>
      <c r="Q22" s="61" t="s">
        <v>54</v>
      </c>
      <c r="R22" s="69" t="s">
        <v>41</v>
      </c>
      <c r="S22" s="70"/>
      <c r="T22" s="71"/>
      <c r="U22" s="71" t="s">
        <v>67</v>
      </c>
      <c r="V22" s="78" t="s">
        <v>65</v>
      </c>
      <c r="W22" s="79" t="s">
        <v>68</v>
      </c>
      <c r="X22" s="80">
        <v>52224</v>
      </c>
    </row>
    <row r="23" spans="1:24" x14ac:dyDescent="0.25">
      <c r="A23" s="50"/>
      <c r="B23" s="51"/>
      <c r="C23" s="81" t="s">
        <v>69</v>
      </c>
      <c r="D23" s="50"/>
      <c r="E23" s="75"/>
      <c r="F23" s="54"/>
      <c r="G23" s="54"/>
      <c r="H23" s="76"/>
      <c r="I23" s="59"/>
      <c r="J23" s="52"/>
      <c r="K23" s="59"/>
      <c r="L23" s="52"/>
      <c r="M23" s="50"/>
      <c r="N23" s="50"/>
      <c r="O23" s="50"/>
      <c r="P23" s="59"/>
      <c r="Q23" s="68"/>
      <c r="R23" s="69"/>
      <c r="S23" s="70"/>
      <c r="T23" s="71"/>
      <c r="U23" s="71"/>
      <c r="V23" s="78" t="s">
        <v>65</v>
      </c>
      <c r="W23" s="79" t="s">
        <v>70</v>
      </c>
      <c r="X23" s="80">
        <v>52225</v>
      </c>
    </row>
    <row r="24" spans="1:24" x14ac:dyDescent="0.25">
      <c r="A24" s="50"/>
      <c r="B24" s="51"/>
      <c r="C24" s="81" t="s">
        <v>69</v>
      </c>
      <c r="D24" s="50"/>
      <c r="E24" s="75"/>
      <c r="F24" s="54"/>
      <c r="G24" s="54"/>
      <c r="H24" s="76"/>
      <c r="I24" s="59"/>
      <c r="J24" s="52"/>
      <c r="K24" s="59"/>
      <c r="L24" s="52"/>
      <c r="M24" s="50"/>
      <c r="N24" s="50"/>
      <c r="O24" s="50"/>
      <c r="P24" s="59"/>
      <c r="Q24" s="68"/>
      <c r="R24" s="69"/>
      <c r="S24" s="70"/>
      <c r="T24" s="71"/>
      <c r="U24" s="71"/>
      <c r="V24" s="78" t="s">
        <v>65</v>
      </c>
      <c r="W24" s="79" t="s">
        <v>71</v>
      </c>
      <c r="X24" s="80">
        <v>52226</v>
      </c>
    </row>
    <row r="25" spans="1:24" x14ac:dyDescent="0.25">
      <c r="A25" s="50"/>
      <c r="B25" s="51"/>
      <c r="C25" s="81" t="s">
        <v>69</v>
      </c>
      <c r="D25" s="50"/>
      <c r="E25" s="75"/>
      <c r="F25" s="54"/>
      <c r="G25" s="54"/>
      <c r="H25" s="76"/>
      <c r="I25" s="59"/>
      <c r="J25" s="52"/>
      <c r="K25" s="59"/>
      <c r="L25" s="52"/>
      <c r="M25" s="50"/>
      <c r="N25" s="50"/>
      <c r="O25" s="50"/>
      <c r="P25" s="59"/>
      <c r="Q25" s="68"/>
      <c r="R25" s="69"/>
      <c r="S25" s="70"/>
      <c r="T25" s="71"/>
      <c r="U25" s="71"/>
      <c r="V25" s="78" t="s">
        <v>65</v>
      </c>
      <c r="W25" s="79" t="s">
        <v>72</v>
      </c>
      <c r="X25" s="80">
        <v>52227</v>
      </c>
    </row>
    <row r="26" spans="1:24" x14ac:dyDescent="0.25">
      <c r="A26" s="50"/>
      <c r="B26" s="51"/>
      <c r="C26" s="81" t="s">
        <v>69</v>
      </c>
      <c r="D26" s="50"/>
      <c r="E26" s="75"/>
      <c r="F26" s="54"/>
      <c r="G26" s="54"/>
      <c r="H26" s="76"/>
      <c r="I26" s="59"/>
      <c r="J26" s="52"/>
      <c r="K26" s="59"/>
      <c r="L26" s="52"/>
      <c r="M26" s="50"/>
      <c r="N26" s="50"/>
      <c r="O26" s="50"/>
      <c r="P26" s="59"/>
      <c r="Q26" s="68"/>
      <c r="R26" s="69"/>
      <c r="S26" s="70"/>
      <c r="T26" s="71"/>
      <c r="U26" s="71"/>
      <c r="V26" s="78" t="s">
        <v>65</v>
      </c>
      <c r="W26" s="79" t="s">
        <v>73</v>
      </c>
      <c r="X26" s="80">
        <v>52228</v>
      </c>
    </row>
    <row r="27" spans="1:24" x14ac:dyDescent="0.25">
      <c r="A27" s="50"/>
      <c r="B27" s="51"/>
      <c r="C27" s="81" t="s">
        <v>69</v>
      </c>
      <c r="D27" s="50"/>
      <c r="E27" s="75"/>
      <c r="F27" s="54"/>
      <c r="G27" s="54"/>
      <c r="H27" s="76"/>
      <c r="I27" s="59"/>
      <c r="J27" s="52"/>
      <c r="K27" s="59"/>
      <c r="L27" s="52"/>
      <c r="M27" s="50"/>
      <c r="N27" s="50"/>
      <c r="O27" s="50"/>
      <c r="P27" s="59"/>
      <c r="Q27" s="68"/>
      <c r="R27" s="69"/>
      <c r="S27" s="70"/>
      <c r="T27" s="71"/>
      <c r="U27" s="71"/>
      <c r="V27" s="78" t="s">
        <v>65</v>
      </c>
      <c r="W27" s="79" t="s">
        <v>74</v>
      </c>
      <c r="X27" s="80">
        <v>60928</v>
      </c>
    </row>
    <row r="28" spans="1:24" x14ac:dyDescent="0.25">
      <c r="A28" s="50"/>
      <c r="B28" s="51"/>
      <c r="C28" s="81" t="s">
        <v>69</v>
      </c>
      <c r="D28" s="50"/>
      <c r="E28" s="75"/>
      <c r="F28" s="54"/>
      <c r="G28" s="54"/>
      <c r="H28" s="76"/>
      <c r="I28" s="59"/>
      <c r="J28" s="52"/>
      <c r="K28" s="59"/>
      <c r="L28" s="52"/>
      <c r="M28" s="50"/>
      <c r="N28" s="50"/>
      <c r="O28" s="50"/>
      <c r="P28" s="59"/>
      <c r="Q28" s="68"/>
      <c r="R28" s="69"/>
      <c r="S28" s="70"/>
      <c r="T28" s="71"/>
      <c r="U28" s="71"/>
      <c r="V28" s="78" t="s">
        <v>65</v>
      </c>
      <c r="W28" s="79" t="s">
        <v>75</v>
      </c>
      <c r="X28" s="80">
        <v>56576</v>
      </c>
    </row>
    <row r="29" spans="1:24" x14ac:dyDescent="0.25">
      <c r="A29" s="50">
        <v>10</v>
      </c>
      <c r="B29" s="51"/>
      <c r="C29" s="58" t="s">
        <v>76</v>
      </c>
      <c r="D29" s="50"/>
      <c r="E29" s="75" t="s">
        <v>38</v>
      </c>
      <c r="F29" s="50">
        <v>0</v>
      </c>
      <c r="G29" s="72">
        <v>65535</v>
      </c>
      <c r="H29" s="76"/>
      <c r="I29" s="67"/>
      <c r="J29" s="52"/>
      <c r="K29" s="59"/>
      <c r="L29" s="77" t="s">
        <v>77</v>
      </c>
      <c r="M29" s="50">
        <f t="shared" si="0"/>
        <v>27</v>
      </c>
      <c r="N29" s="50">
        <f t="shared" si="1"/>
        <v>5</v>
      </c>
      <c r="O29" s="50">
        <f t="shared" si="2"/>
        <v>13834</v>
      </c>
      <c r="P29" s="59" t="str">
        <f>IF(A29&lt;&gt;"","0x" &amp;DEC2HEX( O29,4),"")</f>
        <v>0x360A</v>
      </c>
      <c r="Q29" s="61" t="s">
        <v>78</v>
      </c>
      <c r="R29" s="69" t="s">
        <v>41</v>
      </c>
      <c r="S29" s="70"/>
      <c r="T29" s="71"/>
      <c r="U29" s="71"/>
      <c r="V29" s="78" t="s">
        <v>76</v>
      </c>
      <c r="W29" s="79" t="s">
        <v>79</v>
      </c>
      <c r="X29" s="80">
        <v>1</v>
      </c>
    </row>
    <row r="30" spans="1:24" x14ac:dyDescent="0.25">
      <c r="A30" s="50"/>
      <c r="B30" s="51"/>
      <c r="C30" s="81" t="s">
        <v>69</v>
      </c>
      <c r="D30" s="50"/>
      <c r="E30" s="59"/>
      <c r="F30" s="54"/>
      <c r="G30" s="54"/>
      <c r="H30" s="76"/>
      <c r="I30" s="59"/>
      <c r="J30" s="52"/>
      <c r="K30" s="59"/>
      <c r="L30" s="52"/>
      <c r="M30" s="50"/>
      <c r="N30" s="50"/>
      <c r="O30" s="50"/>
      <c r="P30" s="59"/>
      <c r="Q30" s="68"/>
      <c r="R30" s="69"/>
      <c r="S30" s="70"/>
      <c r="T30" s="71"/>
      <c r="U30" s="71"/>
      <c r="V30" s="78" t="s">
        <v>76</v>
      </c>
      <c r="W30" s="79" t="s">
        <v>80</v>
      </c>
      <c r="X30" s="80">
        <v>2</v>
      </c>
    </row>
    <row r="31" spans="1:24" x14ac:dyDescent="0.25">
      <c r="A31" s="50"/>
      <c r="B31" s="51"/>
      <c r="C31" s="81" t="s">
        <v>69</v>
      </c>
      <c r="D31" s="50"/>
      <c r="E31" s="59"/>
      <c r="F31" s="54"/>
      <c r="G31" s="54"/>
      <c r="H31" s="76"/>
      <c r="I31" s="59"/>
      <c r="J31" s="52"/>
      <c r="K31" s="59"/>
      <c r="L31" s="52"/>
      <c r="M31" s="50"/>
      <c r="N31" s="50"/>
      <c r="O31" s="50"/>
      <c r="P31" s="59"/>
      <c r="Q31" s="68"/>
      <c r="R31" s="69"/>
      <c r="S31" s="70"/>
      <c r="T31" s="71"/>
      <c r="U31" s="71"/>
      <c r="V31" s="78" t="s">
        <v>76</v>
      </c>
      <c r="W31" s="79" t="s">
        <v>81</v>
      </c>
      <c r="X31" s="80">
        <v>3</v>
      </c>
    </row>
    <row r="32" spans="1:24" x14ac:dyDescent="0.25">
      <c r="A32" s="50"/>
      <c r="B32" s="51"/>
      <c r="C32" s="81" t="s">
        <v>69</v>
      </c>
      <c r="D32" s="50"/>
      <c r="E32" s="59"/>
      <c r="F32" s="54"/>
      <c r="G32" s="54"/>
      <c r="H32" s="76"/>
      <c r="I32" s="59"/>
      <c r="J32" s="52"/>
      <c r="K32" s="59"/>
      <c r="L32" s="52"/>
      <c r="M32" s="50"/>
      <c r="N32" s="50"/>
      <c r="O32" s="50"/>
      <c r="P32" s="59"/>
      <c r="Q32" s="68"/>
      <c r="R32" s="69"/>
      <c r="S32" s="70"/>
      <c r="T32" s="71"/>
      <c r="U32" s="71"/>
      <c r="V32" s="78" t="s">
        <v>76</v>
      </c>
      <c r="W32" s="79" t="s">
        <v>82</v>
      </c>
      <c r="X32" s="80">
        <v>4</v>
      </c>
    </row>
    <row r="33" spans="1:27" x14ac:dyDescent="0.25">
      <c r="A33" s="50"/>
      <c r="B33" s="51"/>
      <c r="C33" s="81" t="s">
        <v>69</v>
      </c>
      <c r="D33" s="50"/>
      <c r="E33" s="59"/>
      <c r="F33" s="54"/>
      <c r="G33" s="54"/>
      <c r="H33" s="76"/>
      <c r="I33" s="59"/>
      <c r="J33" s="52"/>
      <c r="K33" s="59"/>
      <c r="L33" s="52"/>
      <c r="M33" s="50"/>
      <c r="N33" s="50"/>
      <c r="O33" s="50"/>
      <c r="P33" s="59"/>
      <c r="Q33" s="68"/>
      <c r="R33" s="69"/>
      <c r="S33" s="70"/>
      <c r="T33" s="71"/>
      <c r="U33" s="71"/>
      <c r="V33" s="78" t="s">
        <v>76</v>
      </c>
      <c r="W33" s="79" t="s">
        <v>83</v>
      </c>
      <c r="X33" s="80">
        <v>0</v>
      </c>
    </row>
    <row r="34" spans="1:27" x14ac:dyDescent="0.25">
      <c r="A34" s="50"/>
      <c r="B34" s="51"/>
      <c r="C34" s="81" t="s">
        <v>69</v>
      </c>
      <c r="D34" s="50"/>
      <c r="E34" s="59"/>
      <c r="F34" s="54"/>
      <c r="G34" s="54"/>
      <c r="H34" s="76"/>
      <c r="I34" s="59"/>
      <c r="J34" s="52"/>
      <c r="K34" s="59"/>
      <c r="L34" s="52"/>
      <c r="M34" s="50"/>
      <c r="N34" s="50"/>
      <c r="O34" s="50"/>
      <c r="P34" s="59"/>
      <c r="Q34" s="68"/>
      <c r="R34" s="69"/>
      <c r="S34" s="70"/>
      <c r="T34" s="71"/>
      <c r="U34" s="71"/>
      <c r="V34" s="78" t="s">
        <v>76</v>
      </c>
      <c r="W34" s="79" t="s">
        <v>84</v>
      </c>
      <c r="X34" s="80">
        <v>65280</v>
      </c>
    </row>
    <row r="35" spans="1:27" x14ac:dyDescent="0.25">
      <c r="A35" s="50"/>
      <c r="B35" s="51"/>
      <c r="C35" s="81" t="s">
        <v>69</v>
      </c>
      <c r="D35" s="50"/>
      <c r="E35" s="59"/>
      <c r="F35" s="54"/>
      <c r="G35" s="54"/>
      <c r="H35" s="76"/>
      <c r="I35" s="59"/>
      <c r="J35" s="52"/>
      <c r="K35" s="59"/>
      <c r="L35" s="52"/>
      <c r="M35" s="50"/>
      <c r="N35" s="50"/>
      <c r="O35" s="50"/>
      <c r="P35" s="59"/>
      <c r="Q35" s="68"/>
      <c r="R35" s="69"/>
      <c r="S35" s="70"/>
      <c r="T35" s="71"/>
      <c r="U35" s="71"/>
    </row>
    <row r="36" spans="1:27" x14ac:dyDescent="0.25">
      <c r="A36" s="50">
        <v>11</v>
      </c>
      <c r="B36" s="51"/>
      <c r="C36" s="58" t="s">
        <v>85</v>
      </c>
      <c r="D36" s="50"/>
      <c r="E36" s="59" t="s">
        <v>47</v>
      </c>
      <c r="F36" s="54">
        <v>0</v>
      </c>
      <c r="G36" s="54">
        <v>0</v>
      </c>
      <c r="H36" s="76"/>
      <c r="I36" s="67"/>
      <c r="J36" s="52"/>
      <c r="K36" s="59"/>
      <c r="L36" s="52" t="s">
        <v>86</v>
      </c>
      <c r="M36" s="50">
        <f>$D$5</f>
        <v>27</v>
      </c>
      <c r="N36" s="50">
        <f>$D$4</f>
        <v>5</v>
      </c>
      <c r="O36" s="50">
        <f>IF(A36&lt;&gt;"",M36*2^9+A36,"")</f>
        <v>13835</v>
      </c>
      <c r="P36" s="59" t="str">
        <f>IF(A36&lt;&gt;"","0x" &amp;DEC2HEX( O36,4),"")</f>
        <v>0x360B</v>
      </c>
      <c r="Q36" s="61" t="s">
        <v>87</v>
      </c>
      <c r="R36" s="82"/>
      <c r="S36" s="83"/>
      <c r="T36" s="83"/>
      <c r="U36" s="84"/>
      <c r="W36" s="52"/>
      <c r="Y36"/>
      <c r="Z36" s="52"/>
      <c r="AA36"/>
    </row>
    <row r="37" spans="1:27" x14ac:dyDescent="0.25">
      <c r="A37" s="50">
        <v>12</v>
      </c>
      <c r="B37" s="51"/>
      <c r="C37" s="58" t="s">
        <v>88</v>
      </c>
      <c r="D37" s="50"/>
      <c r="E37" s="59" t="s">
        <v>47</v>
      </c>
      <c r="F37" s="54">
        <v>0</v>
      </c>
      <c r="G37" s="54">
        <v>0</v>
      </c>
      <c r="H37" s="76"/>
      <c r="I37" s="67"/>
      <c r="J37" s="52"/>
      <c r="K37" s="59"/>
      <c r="L37" s="52" t="s">
        <v>86</v>
      </c>
      <c r="M37" s="50">
        <f>$D$5</f>
        <v>27</v>
      </c>
      <c r="N37" s="50">
        <f>$D$4</f>
        <v>5</v>
      </c>
      <c r="O37" s="50">
        <f>IF(A37&lt;&gt;"",M37*2^9+A37,"")</f>
        <v>13836</v>
      </c>
      <c r="P37" s="59" t="str">
        <f>IF(A37&lt;&gt;"","0x" &amp;DEC2HEX( O37,4),"")</f>
        <v>0x360C</v>
      </c>
      <c r="Q37" s="61" t="s">
        <v>87</v>
      </c>
      <c r="R37" s="82"/>
      <c r="S37" s="83"/>
      <c r="T37" s="83"/>
      <c r="U37" s="84"/>
      <c r="W37" s="52"/>
      <c r="Y37"/>
      <c r="Z37" s="52"/>
      <c r="AA37"/>
    </row>
    <row r="38" spans="1:27" x14ac:dyDescent="0.25">
      <c r="A38" s="50"/>
      <c r="B38" s="51"/>
      <c r="C38" s="58"/>
      <c r="D38" s="50"/>
      <c r="E38" s="59"/>
      <c r="F38" s="54"/>
      <c r="G38" s="54"/>
      <c r="H38" s="76"/>
      <c r="I38" s="72"/>
      <c r="J38" s="52"/>
      <c r="K38" s="59"/>
      <c r="L38" s="52"/>
      <c r="M38" s="50"/>
      <c r="N38" s="50"/>
      <c r="O38" s="50"/>
      <c r="P38" s="59"/>
      <c r="Q38" s="68"/>
      <c r="R38" s="69"/>
      <c r="S38" s="70"/>
      <c r="T38" s="71"/>
      <c r="U38" s="71"/>
    </row>
    <row r="39" spans="1:27" x14ac:dyDescent="0.25">
      <c r="A39" s="50"/>
      <c r="B39" s="51"/>
      <c r="C39" s="58"/>
      <c r="D39" s="50"/>
      <c r="E39" s="59"/>
      <c r="F39" s="54"/>
      <c r="G39" s="54"/>
      <c r="H39" s="76"/>
      <c r="I39" s="72"/>
      <c r="J39" s="52"/>
      <c r="K39" s="59"/>
      <c r="L39" s="52"/>
      <c r="M39" s="50"/>
      <c r="N39" s="50"/>
      <c r="O39" s="50"/>
      <c r="P39" s="59"/>
      <c r="Q39" s="68"/>
      <c r="R39" s="69"/>
      <c r="S39" s="70"/>
      <c r="T39" s="71"/>
      <c r="U39" s="71"/>
    </row>
    <row r="40" spans="1:27" x14ac:dyDescent="0.25">
      <c r="A40" s="50">
        <v>15</v>
      </c>
      <c r="B40" s="51"/>
      <c r="C40" s="58" t="s">
        <v>150</v>
      </c>
      <c r="D40" s="50"/>
      <c r="E40" s="59" t="s">
        <v>47</v>
      </c>
      <c r="F40" s="54">
        <v>0</v>
      </c>
      <c r="G40" s="54">
        <v>0</v>
      </c>
      <c r="H40" s="76"/>
      <c r="I40" s="85"/>
      <c r="J40" s="52" t="s">
        <v>90</v>
      </c>
      <c r="K40" s="59"/>
      <c r="L40" s="52" t="s">
        <v>154</v>
      </c>
      <c r="M40" s="50">
        <f t="shared" si="0"/>
        <v>27</v>
      </c>
      <c r="N40" s="50">
        <f t="shared" si="1"/>
        <v>5</v>
      </c>
      <c r="O40" s="50">
        <f t="shared" ref="O40:O43" si="4">IF(A40&lt;&gt;"",M40*2^9+A40,"")</f>
        <v>13839</v>
      </c>
      <c r="P40" s="59" t="str">
        <f t="shared" ref="P40:P43" si="5">IF(A40&lt;&gt;"","0x" &amp;DEC2HEX( O40,4),"")</f>
        <v>0x360F</v>
      </c>
      <c r="Q40" s="68"/>
      <c r="R40" s="69" t="s">
        <v>41</v>
      </c>
      <c r="S40" s="70"/>
      <c r="T40" s="71"/>
      <c r="U40" s="71"/>
    </row>
    <row r="41" spans="1:27" x14ac:dyDescent="0.25">
      <c r="A41" s="50">
        <v>16</v>
      </c>
      <c r="B41" s="51"/>
      <c r="C41" s="58" t="s">
        <v>151</v>
      </c>
      <c r="D41" s="50"/>
      <c r="E41" s="59" t="s">
        <v>47</v>
      </c>
      <c r="F41" s="54">
        <v>0</v>
      </c>
      <c r="G41" s="54">
        <v>0</v>
      </c>
      <c r="H41" s="76"/>
      <c r="I41" s="85"/>
      <c r="J41" s="52" t="s">
        <v>90</v>
      </c>
      <c r="K41" s="59"/>
      <c r="L41" s="52" t="s">
        <v>155</v>
      </c>
      <c r="M41" s="50">
        <f t="shared" si="0"/>
        <v>27</v>
      </c>
      <c r="N41" s="50">
        <f t="shared" si="1"/>
        <v>5</v>
      </c>
      <c r="O41" s="50">
        <f t="shared" si="4"/>
        <v>13840</v>
      </c>
      <c r="P41" s="59" t="str">
        <f t="shared" si="5"/>
        <v>0x3610</v>
      </c>
      <c r="Q41" s="68"/>
      <c r="R41" s="69" t="s">
        <v>41</v>
      </c>
      <c r="S41" s="70"/>
      <c r="T41" s="71"/>
      <c r="U41" s="71"/>
    </row>
    <row r="42" spans="1:27" x14ac:dyDescent="0.25">
      <c r="A42" s="50">
        <v>17</v>
      </c>
      <c r="B42" s="51"/>
      <c r="C42" s="58" t="s">
        <v>152</v>
      </c>
      <c r="D42" s="50"/>
      <c r="E42" s="59" t="s">
        <v>47</v>
      </c>
      <c r="F42" s="54">
        <v>0</v>
      </c>
      <c r="G42" s="54">
        <v>0</v>
      </c>
      <c r="H42" s="76"/>
      <c r="I42" s="85"/>
      <c r="J42" s="52" t="s">
        <v>90</v>
      </c>
      <c r="K42" s="59"/>
      <c r="L42" s="52" t="s">
        <v>156</v>
      </c>
      <c r="M42" s="50">
        <f t="shared" si="0"/>
        <v>27</v>
      </c>
      <c r="N42" s="50">
        <f t="shared" si="1"/>
        <v>5</v>
      </c>
      <c r="O42" s="50">
        <f t="shared" si="4"/>
        <v>13841</v>
      </c>
      <c r="P42" s="59" t="str">
        <f t="shared" si="5"/>
        <v>0x3611</v>
      </c>
      <c r="Q42" s="68"/>
      <c r="R42" s="69" t="s">
        <v>41</v>
      </c>
      <c r="S42" s="70"/>
      <c r="T42" s="71"/>
      <c r="U42" s="71"/>
    </row>
    <row r="43" spans="1:27" x14ac:dyDescent="0.25">
      <c r="A43" s="50">
        <v>18</v>
      </c>
      <c r="B43" s="51"/>
      <c r="C43" s="58" t="s">
        <v>153</v>
      </c>
      <c r="D43" s="50"/>
      <c r="E43" s="59" t="s">
        <v>47</v>
      </c>
      <c r="F43" s="54">
        <v>0</v>
      </c>
      <c r="G43" s="54">
        <v>0</v>
      </c>
      <c r="H43" s="76"/>
      <c r="I43" s="85"/>
      <c r="J43" s="52" t="s">
        <v>90</v>
      </c>
      <c r="K43" s="59"/>
      <c r="L43" s="52" t="s">
        <v>157</v>
      </c>
      <c r="M43" s="50">
        <f t="shared" si="0"/>
        <v>27</v>
      </c>
      <c r="N43" s="50">
        <f t="shared" si="1"/>
        <v>5</v>
      </c>
      <c r="O43" s="50">
        <f t="shared" si="4"/>
        <v>13842</v>
      </c>
      <c r="P43" s="59" t="str">
        <f t="shared" si="5"/>
        <v>0x3612</v>
      </c>
      <c r="Q43" s="68"/>
      <c r="R43" s="69" t="s">
        <v>41</v>
      </c>
      <c r="S43" s="70"/>
      <c r="T43" s="71"/>
      <c r="U43" s="71"/>
    </row>
    <row r="44" spans="1:27" x14ac:dyDescent="0.25">
      <c r="A44" s="50">
        <v>19</v>
      </c>
      <c r="B44" s="51"/>
      <c r="C44" s="58" t="s">
        <v>89</v>
      </c>
      <c r="D44" s="50"/>
      <c r="E44" s="59" t="s">
        <v>47</v>
      </c>
      <c r="F44" s="54">
        <v>0</v>
      </c>
      <c r="G44" s="54">
        <v>0</v>
      </c>
      <c r="H44" s="76"/>
      <c r="I44" s="85"/>
      <c r="J44" s="52" t="s">
        <v>90</v>
      </c>
      <c r="K44" s="59"/>
      <c r="L44" s="52" t="s">
        <v>91</v>
      </c>
      <c r="M44" s="50">
        <f t="shared" si="0"/>
        <v>27</v>
      </c>
      <c r="N44" s="50">
        <f t="shared" si="1"/>
        <v>5</v>
      </c>
      <c r="O44" s="50">
        <f t="shared" si="2"/>
        <v>13843</v>
      </c>
      <c r="P44" s="59" t="str">
        <f t="shared" ref="P44:P51" si="6">IF(A44&lt;&gt;"","0x" &amp;DEC2HEX( O44,4),"")</f>
        <v>0x3613</v>
      </c>
      <c r="Q44" s="68"/>
      <c r="R44" s="69" t="s">
        <v>41</v>
      </c>
      <c r="S44" s="70"/>
      <c r="T44" s="71"/>
      <c r="U44" s="71"/>
    </row>
    <row r="45" spans="1:27" x14ac:dyDescent="0.25">
      <c r="A45" s="50">
        <v>20</v>
      </c>
      <c r="B45" s="51"/>
      <c r="C45" s="58" t="s">
        <v>92</v>
      </c>
      <c r="D45" s="50"/>
      <c r="E45" s="59" t="s">
        <v>47</v>
      </c>
      <c r="F45" s="54">
        <v>0</v>
      </c>
      <c r="G45" s="54">
        <v>0</v>
      </c>
      <c r="H45" s="76"/>
      <c r="I45" s="85"/>
      <c r="J45" s="52" t="s">
        <v>90</v>
      </c>
      <c r="K45" s="59"/>
      <c r="L45" s="52" t="s">
        <v>93</v>
      </c>
      <c r="M45" s="50">
        <f t="shared" si="0"/>
        <v>27</v>
      </c>
      <c r="N45" s="50">
        <f t="shared" si="1"/>
        <v>5</v>
      </c>
      <c r="O45" s="50">
        <f t="shared" si="2"/>
        <v>13844</v>
      </c>
      <c r="P45" s="59" t="str">
        <f t="shared" si="6"/>
        <v>0x3614</v>
      </c>
      <c r="Q45" s="68"/>
      <c r="R45" s="69" t="s">
        <v>41</v>
      </c>
      <c r="S45" s="70"/>
      <c r="T45" s="71"/>
      <c r="U45" s="71"/>
    </row>
    <row r="46" spans="1:27" x14ac:dyDescent="0.25">
      <c r="A46" s="50">
        <v>21</v>
      </c>
      <c r="B46" s="51"/>
      <c r="C46" s="58" t="s">
        <v>94</v>
      </c>
      <c r="D46" s="50"/>
      <c r="E46" s="59" t="s">
        <v>47</v>
      </c>
      <c r="F46" s="54">
        <v>0</v>
      </c>
      <c r="G46" s="54">
        <v>0</v>
      </c>
      <c r="H46" s="76"/>
      <c r="I46" s="85"/>
      <c r="J46" s="52" t="s">
        <v>90</v>
      </c>
      <c r="K46" s="59"/>
      <c r="L46" s="52" t="s">
        <v>95</v>
      </c>
      <c r="M46" s="50">
        <f t="shared" si="0"/>
        <v>27</v>
      </c>
      <c r="N46" s="50">
        <f t="shared" si="1"/>
        <v>5</v>
      </c>
      <c r="O46" s="50">
        <f t="shared" si="2"/>
        <v>13845</v>
      </c>
      <c r="P46" s="59" t="str">
        <f t="shared" si="6"/>
        <v>0x3615</v>
      </c>
      <c r="Q46" s="68"/>
      <c r="R46" s="69" t="s">
        <v>41</v>
      </c>
      <c r="S46" s="70"/>
      <c r="T46" s="71"/>
      <c r="U46" s="71"/>
    </row>
    <row r="47" spans="1:27" x14ac:dyDescent="0.25">
      <c r="A47" s="50">
        <v>22</v>
      </c>
      <c r="B47" s="51"/>
      <c r="C47" s="58" t="s">
        <v>96</v>
      </c>
      <c r="D47" s="50"/>
      <c r="E47" s="59" t="s">
        <v>47</v>
      </c>
      <c r="F47" s="54">
        <v>0</v>
      </c>
      <c r="G47" s="54">
        <v>0</v>
      </c>
      <c r="H47" s="76"/>
      <c r="I47" s="85"/>
      <c r="J47" s="52" t="s">
        <v>90</v>
      </c>
      <c r="K47" s="59"/>
      <c r="L47" s="52" t="s">
        <v>97</v>
      </c>
      <c r="M47" s="50">
        <f t="shared" si="0"/>
        <v>27</v>
      </c>
      <c r="N47" s="50">
        <f t="shared" si="1"/>
        <v>5</v>
      </c>
      <c r="O47" s="50">
        <f t="shared" si="2"/>
        <v>13846</v>
      </c>
      <c r="P47" s="59" t="str">
        <f t="shared" si="6"/>
        <v>0x3616</v>
      </c>
      <c r="Q47" s="68"/>
      <c r="R47" s="69" t="s">
        <v>41</v>
      </c>
      <c r="S47" s="70"/>
      <c r="T47" s="71"/>
      <c r="U47" s="71"/>
    </row>
    <row r="48" spans="1:27" x14ac:dyDescent="0.25">
      <c r="A48" s="50">
        <v>23</v>
      </c>
      <c r="B48" s="51"/>
      <c r="C48" s="58" t="s">
        <v>98</v>
      </c>
      <c r="D48" s="50"/>
      <c r="E48" s="59" t="s">
        <v>47</v>
      </c>
      <c r="F48" s="54">
        <v>0</v>
      </c>
      <c r="G48" s="54">
        <v>0</v>
      </c>
      <c r="H48" s="76"/>
      <c r="I48" s="85"/>
      <c r="J48" s="52" t="s">
        <v>99</v>
      </c>
      <c r="K48" s="59"/>
      <c r="L48" s="52" t="s">
        <v>100</v>
      </c>
      <c r="M48" s="50">
        <f t="shared" si="0"/>
        <v>27</v>
      </c>
      <c r="N48" s="50">
        <f t="shared" si="1"/>
        <v>5</v>
      </c>
      <c r="O48" s="50">
        <f t="shared" si="2"/>
        <v>13847</v>
      </c>
      <c r="P48" s="59" t="str">
        <f t="shared" si="6"/>
        <v>0x3617</v>
      </c>
      <c r="Q48" s="68"/>
      <c r="R48" s="69" t="s">
        <v>41</v>
      </c>
      <c r="S48" s="70"/>
      <c r="T48" s="71"/>
      <c r="U48" s="71"/>
    </row>
    <row r="49" spans="1:27" x14ac:dyDescent="0.25">
      <c r="A49" s="50">
        <v>24</v>
      </c>
      <c r="B49" s="51"/>
      <c r="C49" s="58" t="s">
        <v>101</v>
      </c>
      <c r="D49" s="50"/>
      <c r="E49" s="53" t="s">
        <v>38</v>
      </c>
      <c r="F49" s="50">
        <v>0</v>
      </c>
      <c r="G49" s="55">
        <v>3900</v>
      </c>
      <c r="H49" s="56"/>
      <c r="I49" s="85">
        <v>1</v>
      </c>
      <c r="J49" s="52" t="s">
        <v>39</v>
      </c>
      <c r="K49" s="59"/>
      <c r="L49" s="52" t="s">
        <v>102</v>
      </c>
      <c r="M49" s="50">
        <f t="shared" si="0"/>
        <v>27</v>
      </c>
      <c r="N49" s="50">
        <f t="shared" si="1"/>
        <v>5</v>
      </c>
      <c r="O49" s="50">
        <f t="shared" si="2"/>
        <v>13848</v>
      </c>
      <c r="P49" s="59" t="str">
        <f t="shared" si="6"/>
        <v>0x3618</v>
      </c>
      <c r="Q49" s="68"/>
      <c r="R49" s="69" t="s">
        <v>41</v>
      </c>
      <c r="S49" s="70"/>
      <c r="T49" s="71"/>
      <c r="U49" s="71"/>
    </row>
    <row r="50" spans="1:27" x14ac:dyDescent="0.25">
      <c r="A50" s="50">
        <v>25</v>
      </c>
      <c r="B50" s="51"/>
      <c r="C50" s="58" t="s">
        <v>103</v>
      </c>
      <c r="D50" s="50"/>
      <c r="E50" s="53" t="s">
        <v>38</v>
      </c>
      <c r="F50" s="50">
        <v>0</v>
      </c>
      <c r="G50" s="55">
        <v>3900</v>
      </c>
      <c r="H50" s="56"/>
      <c r="I50" s="85">
        <v>1</v>
      </c>
      <c r="J50" s="52" t="s">
        <v>39</v>
      </c>
      <c r="K50" s="59"/>
      <c r="L50" s="52" t="s">
        <v>104</v>
      </c>
      <c r="M50" s="50">
        <f t="shared" si="0"/>
        <v>27</v>
      </c>
      <c r="N50" s="50">
        <f t="shared" si="1"/>
        <v>5</v>
      </c>
      <c r="O50" s="50">
        <f t="shared" si="2"/>
        <v>13849</v>
      </c>
      <c r="P50" s="59" t="str">
        <f t="shared" si="6"/>
        <v>0x3619</v>
      </c>
      <c r="Q50" s="68"/>
      <c r="R50" s="69" t="s">
        <v>41</v>
      </c>
      <c r="S50" s="70"/>
      <c r="T50" s="71"/>
      <c r="U50" s="71"/>
    </row>
    <row r="51" spans="1:27" x14ac:dyDescent="0.25">
      <c r="A51" s="86">
        <v>26</v>
      </c>
      <c r="B51" s="51"/>
      <c r="C51" s="87" t="s">
        <v>105</v>
      </c>
      <c r="D51" s="86"/>
      <c r="E51" s="59" t="s">
        <v>47</v>
      </c>
      <c r="F51" s="88">
        <v>0</v>
      </c>
      <c r="G51" s="89">
        <v>3</v>
      </c>
      <c r="H51" s="90"/>
      <c r="I51" s="88"/>
      <c r="J51" s="91" t="s">
        <v>106</v>
      </c>
      <c r="K51" s="59"/>
      <c r="L51" s="52"/>
      <c r="M51" s="50">
        <f t="shared" si="0"/>
        <v>27</v>
      </c>
      <c r="N51" s="50">
        <f t="shared" si="1"/>
        <v>5</v>
      </c>
      <c r="O51" s="50">
        <f t="shared" si="2"/>
        <v>13850</v>
      </c>
      <c r="P51" s="59" t="str">
        <f t="shared" si="6"/>
        <v>0x361A</v>
      </c>
      <c r="Q51" s="68"/>
      <c r="R51" s="69" t="s">
        <v>41</v>
      </c>
      <c r="S51" s="70"/>
      <c r="T51" s="71"/>
      <c r="U51" s="71"/>
      <c r="V51" s="78" t="s">
        <v>105</v>
      </c>
      <c r="W51" s="79" t="s">
        <v>107</v>
      </c>
      <c r="X51" s="80">
        <v>0</v>
      </c>
      <c r="Y51" s="78" t="s">
        <v>105</v>
      </c>
      <c r="Z51" s="137" t="s">
        <v>160</v>
      </c>
      <c r="AA51" s="13">
        <v>0</v>
      </c>
    </row>
    <row r="52" spans="1:27" x14ac:dyDescent="0.25">
      <c r="A52" s="86"/>
      <c r="B52" s="51"/>
      <c r="C52" s="81" t="s">
        <v>69</v>
      </c>
      <c r="D52" s="86"/>
      <c r="E52" s="53"/>
      <c r="F52" s="86"/>
      <c r="G52" s="92"/>
      <c r="H52" s="90"/>
      <c r="I52" s="88"/>
      <c r="J52" s="91"/>
      <c r="K52" s="59"/>
      <c r="L52" s="52"/>
      <c r="M52" s="50"/>
      <c r="N52" s="50"/>
      <c r="O52" s="50"/>
      <c r="P52" s="59"/>
      <c r="Q52" s="68"/>
      <c r="R52" s="69"/>
      <c r="S52" s="70"/>
      <c r="T52" s="71"/>
      <c r="U52" s="71"/>
      <c r="V52" s="78" t="s">
        <v>105</v>
      </c>
      <c r="W52" s="79" t="s">
        <v>108</v>
      </c>
      <c r="X52" s="80">
        <v>1</v>
      </c>
      <c r="Y52" s="78" t="s">
        <v>105</v>
      </c>
      <c r="Z52" s="137" t="s">
        <v>159</v>
      </c>
      <c r="AA52" s="13">
        <v>1</v>
      </c>
    </row>
    <row r="53" spans="1:27" x14ac:dyDescent="0.25">
      <c r="A53" s="86"/>
      <c r="B53" s="51"/>
      <c r="C53" s="81" t="s">
        <v>69</v>
      </c>
      <c r="D53" s="86"/>
      <c r="E53" s="53"/>
      <c r="F53" s="86"/>
      <c r="G53" s="92"/>
      <c r="H53" s="90"/>
      <c r="I53" s="88"/>
      <c r="J53" s="91"/>
      <c r="K53" s="59"/>
      <c r="L53" s="52"/>
      <c r="M53" s="50"/>
      <c r="N53" s="50"/>
      <c r="O53" s="50"/>
      <c r="P53" s="59"/>
      <c r="Q53" s="68"/>
      <c r="R53" s="69"/>
      <c r="S53" s="70"/>
      <c r="T53" s="71"/>
      <c r="U53" s="71"/>
      <c r="V53" s="78" t="s">
        <v>105</v>
      </c>
      <c r="W53" s="79" t="s">
        <v>109</v>
      </c>
      <c r="X53" s="80">
        <v>2</v>
      </c>
    </row>
    <row r="54" spans="1:27" x14ac:dyDescent="0.25">
      <c r="A54" s="86"/>
      <c r="B54" s="51"/>
      <c r="C54" s="81" t="s">
        <v>69</v>
      </c>
      <c r="D54" s="86"/>
      <c r="E54" s="53"/>
      <c r="F54" s="86"/>
      <c r="G54" s="92"/>
      <c r="H54" s="90"/>
      <c r="I54" s="88"/>
      <c r="J54" s="91"/>
      <c r="K54" s="59"/>
      <c r="L54" s="52"/>
      <c r="M54" s="50"/>
      <c r="N54" s="50"/>
      <c r="O54" s="50"/>
      <c r="P54" s="59"/>
      <c r="Q54" s="68"/>
      <c r="R54" s="69"/>
      <c r="S54" s="70"/>
      <c r="T54" s="71"/>
      <c r="U54" s="71"/>
      <c r="V54" s="78" t="s">
        <v>105</v>
      </c>
      <c r="W54" s="79" t="s">
        <v>110</v>
      </c>
      <c r="X54" s="93">
        <v>3</v>
      </c>
    </row>
    <row r="55" spans="1:27" x14ac:dyDescent="0.25">
      <c r="A55" s="86"/>
      <c r="B55" s="51"/>
      <c r="C55" s="81" t="s">
        <v>69</v>
      </c>
      <c r="D55" s="86"/>
      <c r="E55" s="53"/>
      <c r="F55" s="86"/>
      <c r="G55" s="92"/>
      <c r="H55" s="90"/>
      <c r="I55" s="88"/>
      <c r="J55" s="91"/>
      <c r="K55" s="59"/>
      <c r="L55" s="52"/>
      <c r="M55" s="50"/>
      <c r="N55" s="50"/>
      <c r="O55" s="50"/>
      <c r="P55" s="59"/>
      <c r="Q55" s="68"/>
      <c r="R55" s="69"/>
      <c r="S55" s="70"/>
      <c r="T55" s="71"/>
      <c r="U55" s="71"/>
      <c r="V55" s="78" t="s">
        <v>105</v>
      </c>
      <c r="W55" s="79" t="s">
        <v>158</v>
      </c>
      <c r="X55" s="93">
        <v>4</v>
      </c>
    </row>
    <row r="56" spans="1:27" x14ac:dyDescent="0.25">
      <c r="A56" s="86">
        <v>27</v>
      </c>
      <c r="B56" s="51"/>
      <c r="C56" s="87" t="s">
        <v>111</v>
      </c>
      <c r="D56" s="86"/>
      <c r="E56" s="59" t="s">
        <v>47</v>
      </c>
      <c r="F56" s="54">
        <v>0</v>
      </c>
      <c r="G56" s="54">
        <v>0</v>
      </c>
      <c r="H56" s="76"/>
      <c r="I56" s="88"/>
      <c r="J56" s="91" t="s">
        <v>112</v>
      </c>
      <c r="K56" s="59"/>
      <c r="L56" s="52"/>
      <c r="M56" s="50">
        <f t="shared" si="0"/>
        <v>27</v>
      </c>
      <c r="N56" s="50">
        <f t="shared" si="1"/>
        <v>5</v>
      </c>
      <c r="O56" s="50">
        <f t="shared" si="2"/>
        <v>13851</v>
      </c>
      <c r="P56" s="59" t="str">
        <f t="shared" ref="P56:P75" si="7">IF(A56&lt;&gt;"","0x" &amp;DEC2HEX( O56,4),"")</f>
        <v>0x361B</v>
      </c>
      <c r="Q56" s="68"/>
      <c r="R56" s="69" t="s">
        <v>41</v>
      </c>
      <c r="S56" s="70"/>
      <c r="T56" s="71"/>
      <c r="U56" s="71"/>
    </row>
    <row r="57" spans="1:27" x14ac:dyDescent="0.25">
      <c r="A57" s="86">
        <v>28</v>
      </c>
      <c r="B57" s="51"/>
      <c r="C57" s="94" t="s">
        <v>113</v>
      </c>
      <c r="D57" s="86"/>
      <c r="E57" s="59" t="s">
        <v>47</v>
      </c>
      <c r="F57" s="54">
        <v>0</v>
      </c>
      <c r="G57" s="54">
        <v>0</v>
      </c>
      <c r="H57" s="76"/>
      <c r="I57" s="88"/>
      <c r="J57" s="91" t="s">
        <v>112</v>
      </c>
      <c r="K57" s="59"/>
      <c r="L57" s="52"/>
      <c r="M57" s="50">
        <f t="shared" si="0"/>
        <v>27</v>
      </c>
      <c r="N57" s="50">
        <f t="shared" si="1"/>
        <v>5</v>
      </c>
      <c r="O57" s="50">
        <f t="shared" si="2"/>
        <v>13852</v>
      </c>
      <c r="P57" s="59" t="str">
        <f t="shared" si="7"/>
        <v>0x361C</v>
      </c>
      <c r="Q57" s="61" t="s">
        <v>87</v>
      </c>
      <c r="R57" s="69" t="s">
        <v>41</v>
      </c>
      <c r="S57" s="70"/>
      <c r="T57" s="71"/>
      <c r="U57" s="71"/>
    </row>
    <row r="58" spans="1:27" x14ac:dyDescent="0.25">
      <c r="A58" s="86">
        <v>29</v>
      </c>
      <c r="B58" s="51"/>
      <c r="C58" s="87" t="s">
        <v>114</v>
      </c>
      <c r="D58" s="86"/>
      <c r="E58" s="59" t="s">
        <v>47</v>
      </c>
      <c r="F58" s="54">
        <v>0</v>
      </c>
      <c r="G58" s="54">
        <v>0</v>
      </c>
      <c r="H58" s="76"/>
      <c r="I58" s="88"/>
      <c r="J58" s="91" t="s">
        <v>112</v>
      </c>
      <c r="K58" s="59"/>
      <c r="L58" s="52"/>
      <c r="M58" s="50">
        <f t="shared" si="0"/>
        <v>27</v>
      </c>
      <c r="N58" s="50">
        <f t="shared" si="1"/>
        <v>5</v>
      </c>
      <c r="O58" s="50">
        <f t="shared" si="2"/>
        <v>13853</v>
      </c>
      <c r="P58" s="59" t="str">
        <f t="shared" si="7"/>
        <v>0x361D</v>
      </c>
      <c r="Q58" s="61" t="s">
        <v>87</v>
      </c>
      <c r="R58" s="69" t="s">
        <v>41</v>
      </c>
      <c r="S58" s="70"/>
      <c r="T58" s="71"/>
      <c r="U58" s="71"/>
    </row>
    <row r="59" spans="1:27" ht="12.6" customHeight="1" x14ac:dyDescent="0.25">
      <c r="A59" s="86">
        <v>30</v>
      </c>
      <c r="B59" s="51"/>
      <c r="C59" s="94" t="s">
        <v>115</v>
      </c>
      <c r="D59" s="86"/>
      <c r="E59" s="59" t="s">
        <v>47</v>
      </c>
      <c r="F59" s="54">
        <v>0</v>
      </c>
      <c r="G59" s="54">
        <v>0</v>
      </c>
      <c r="H59" s="76"/>
      <c r="I59" s="88"/>
      <c r="J59" s="91" t="s">
        <v>112</v>
      </c>
      <c r="K59" s="59"/>
      <c r="L59" s="52"/>
      <c r="M59" s="50">
        <f t="shared" si="0"/>
        <v>27</v>
      </c>
      <c r="N59" s="50">
        <f t="shared" si="1"/>
        <v>5</v>
      </c>
      <c r="O59" s="50">
        <f t="shared" si="2"/>
        <v>13854</v>
      </c>
      <c r="P59" s="59" t="str">
        <f t="shared" si="7"/>
        <v>0x361E</v>
      </c>
      <c r="Q59" s="68"/>
      <c r="R59" s="69" t="s">
        <v>41</v>
      </c>
      <c r="S59" s="70"/>
      <c r="T59" s="71"/>
      <c r="U59" s="71" t="s">
        <v>67</v>
      </c>
    </row>
    <row r="60" spans="1:27" x14ac:dyDescent="0.25">
      <c r="A60" s="86">
        <v>31</v>
      </c>
      <c r="B60" s="51"/>
      <c r="C60" s="94" t="s">
        <v>116</v>
      </c>
      <c r="D60" s="86"/>
      <c r="E60" s="53" t="s">
        <v>38</v>
      </c>
      <c r="F60" s="50">
        <v>1800</v>
      </c>
      <c r="G60" s="55">
        <v>3900</v>
      </c>
      <c r="H60" s="56"/>
      <c r="I60" s="88"/>
      <c r="J60" s="91" t="s">
        <v>39</v>
      </c>
      <c r="K60" s="59"/>
      <c r="L60" s="52"/>
      <c r="M60" s="50">
        <f t="shared" si="0"/>
        <v>27</v>
      </c>
      <c r="N60" s="50">
        <f t="shared" si="1"/>
        <v>5</v>
      </c>
      <c r="O60" s="50">
        <f t="shared" si="2"/>
        <v>13855</v>
      </c>
      <c r="P60" s="59" t="str">
        <f t="shared" si="7"/>
        <v>0x361F</v>
      </c>
      <c r="Q60" s="61" t="s">
        <v>54</v>
      </c>
      <c r="R60" s="69" t="s">
        <v>41</v>
      </c>
      <c r="S60" s="70"/>
      <c r="T60" s="71"/>
      <c r="U60" s="71" t="s">
        <v>67</v>
      </c>
    </row>
    <row r="61" spans="1:27" x14ac:dyDescent="0.25">
      <c r="A61" s="86">
        <v>32</v>
      </c>
      <c r="B61" s="51"/>
      <c r="C61" s="87" t="s">
        <v>117</v>
      </c>
      <c r="D61" s="86"/>
      <c r="E61" s="53" t="s">
        <v>38</v>
      </c>
      <c r="F61" s="50">
        <v>1800</v>
      </c>
      <c r="G61" s="55">
        <v>3900</v>
      </c>
      <c r="H61" s="56"/>
      <c r="I61" s="88"/>
      <c r="J61" s="91" t="s">
        <v>39</v>
      </c>
      <c r="K61" s="59"/>
      <c r="L61" s="52"/>
      <c r="M61" s="50">
        <f t="shared" si="0"/>
        <v>27</v>
      </c>
      <c r="N61" s="50">
        <f t="shared" si="1"/>
        <v>5</v>
      </c>
      <c r="O61" s="50">
        <f t="shared" si="2"/>
        <v>13856</v>
      </c>
      <c r="P61" s="59" t="str">
        <f t="shared" si="7"/>
        <v>0x3620</v>
      </c>
      <c r="Q61" s="61" t="s">
        <v>54</v>
      </c>
      <c r="R61" s="69" t="s">
        <v>41</v>
      </c>
      <c r="S61" s="70"/>
      <c r="T61" s="71"/>
      <c r="U61" s="71" t="s">
        <v>67</v>
      </c>
    </row>
    <row r="62" spans="1:27" x14ac:dyDescent="0.25">
      <c r="A62" s="86">
        <v>33</v>
      </c>
      <c r="B62" s="51"/>
      <c r="C62" s="94" t="s">
        <v>118</v>
      </c>
      <c r="D62" s="86"/>
      <c r="E62" s="53" t="s">
        <v>38</v>
      </c>
      <c r="F62" s="50">
        <v>1800</v>
      </c>
      <c r="G62" s="55">
        <v>3900</v>
      </c>
      <c r="H62" s="56"/>
      <c r="I62" s="88"/>
      <c r="J62" s="91" t="s">
        <v>39</v>
      </c>
      <c r="K62" s="59"/>
      <c r="L62" s="52"/>
      <c r="M62" s="50">
        <f t="shared" si="0"/>
        <v>27</v>
      </c>
      <c r="N62" s="50">
        <f t="shared" si="1"/>
        <v>5</v>
      </c>
      <c r="O62" s="50">
        <f t="shared" si="2"/>
        <v>13857</v>
      </c>
      <c r="P62" s="59" t="str">
        <f t="shared" si="7"/>
        <v>0x3621</v>
      </c>
      <c r="Q62" s="68"/>
      <c r="R62" s="69" t="s">
        <v>41</v>
      </c>
      <c r="S62" s="70"/>
      <c r="T62" s="71"/>
      <c r="U62" s="71" t="s">
        <v>67</v>
      </c>
    </row>
    <row r="63" spans="1:27" x14ac:dyDescent="0.25">
      <c r="A63" s="86">
        <v>34</v>
      </c>
      <c r="B63" s="51"/>
      <c r="C63" s="94" t="s">
        <v>119</v>
      </c>
      <c r="D63" s="86"/>
      <c r="E63" s="53" t="s">
        <v>38</v>
      </c>
      <c r="F63" s="50">
        <v>1800</v>
      </c>
      <c r="G63" s="55">
        <v>3900</v>
      </c>
      <c r="H63" s="56"/>
      <c r="I63" s="88"/>
      <c r="J63" s="91" t="s">
        <v>39</v>
      </c>
      <c r="K63" s="59"/>
      <c r="L63" s="52"/>
      <c r="M63" s="50">
        <f t="shared" si="0"/>
        <v>27</v>
      </c>
      <c r="N63" s="50">
        <f t="shared" si="1"/>
        <v>5</v>
      </c>
      <c r="O63" s="50">
        <f t="shared" si="2"/>
        <v>13858</v>
      </c>
      <c r="P63" s="59" t="str">
        <f t="shared" si="7"/>
        <v>0x3622</v>
      </c>
      <c r="Q63" s="68"/>
      <c r="R63" s="69" t="s">
        <v>41</v>
      </c>
      <c r="S63" s="70"/>
      <c r="T63" s="71"/>
      <c r="U63" s="71" t="s">
        <v>67</v>
      </c>
    </row>
    <row r="64" spans="1:27" x14ac:dyDescent="0.25">
      <c r="A64" s="86">
        <v>36</v>
      </c>
      <c r="B64" s="51"/>
      <c r="C64" s="94" t="s">
        <v>126</v>
      </c>
      <c r="D64" s="86"/>
      <c r="E64" s="96" t="s">
        <v>47</v>
      </c>
      <c r="F64" s="50">
        <v>1800</v>
      </c>
      <c r="G64" s="55">
        <v>3900</v>
      </c>
      <c r="H64" s="56"/>
      <c r="I64" s="88"/>
      <c r="J64" s="91" t="s">
        <v>39</v>
      </c>
      <c r="K64" s="59"/>
      <c r="L64" s="52"/>
      <c r="M64" s="50">
        <f t="shared" si="0"/>
        <v>27</v>
      </c>
      <c r="N64" s="50">
        <f t="shared" si="1"/>
        <v>5</v>
      </c>
      <c r="O64" s="50">
        <f t="shared" si="2"/>
        <v>13860</v>
      </c>
      <c r="P64" s="59" t="str">
        <f t="shared" ref="P64:P65" si="8">IF(A64&lt;&gt;"","0x" &amp;DEC2HEX( O64,4),"")</f>
        <v>0x3624</v>
      </c>
      <c r="Q64" s="61" t="s">
        <v>87</v>
      </c>
      <c r="R64" s="69"/>
      <c r="S64" s="70"/>
      <c r="T64" s="71"/>
      <c r="U64" s="71"/>
    </row>
    <row r="65" spans="1:21" x14ac:dyDescent="0.25">
      <c r="A65" s="86">
        <v>37</v>
      </c>
      <c r="B65" s="51"/>
      <c r="C65" s="94" t="s">
        <v>127</v>
      </c>
      <c r="D65" s="86"/>
      <c r="E65" s="96" t="s">
        <v>47</v>
      </c>
      <c r="F65" s="50">
        <v>1800</v>
      </c>
      <c r="G65" s="55">
        <v>3900</v>
      </c>
      <c r="H65" s="56"/>
      <c r="I65" s="88"/>
      <c r="J65" s="91" t="s">
        <v>39</v>
      </c>
      <c r="K65" s="59"/>
      <c r="L65" s="52"/>
      <c r="M65" s="50">
        <f t="shared" si="0"/>
        <v>27</v>
      </c>
      <c r="N65" s="50">
        <f t="shared" si="1"/>
        <v>5</v>
      </c>
      <c r="O65" s="50">
        <f t="shared" si="2"/>
        <v>13861</v>
      </c>
      <c r="P65" s="59" t="str">
        <f t="shared" si="8"/>
        <v>0x3625</v>
      </c>
      <c r="Q65" s="61" t="s">
        <v>87</v>
      </c>
      <c r="R65" s="69"/>
      <c r="S65" s="70"/>
      <c r="T65" s="71"/>
      <c r="U65" s="71"/>
    </row>
    <row r="66" spans="1:21" x14ac:dyDescent="0.25">
      <c r="A66" s="50"/>
      <c r="B66" s="51"/>
      <c r="C66" s="52"/>
      <c r="D66" s="50"/>
      <c r="E66" s="59"/>
      <c r="F66" s="59"/>
      <c r="G66" s="72"/>
      <c r="H66" s="73"/>
      <c r="I66" s="59"/>
      <c r="J66" s="95"/>
      <c r="K66" s="59"/>
      <c r="L66" s="52"/>
      <c r="M66" s="50">
        <f t="shared" si="0"/>
        <v>27</v>
      </c>
      <c r="N66" s="50">
        <f t="shared" si="1"/>
        <v>5</v>
      </c>
      <c r="O66" s="50" t="str">
        <f>IF(A66&lt;&gt;"",M66*2^9+A66,"")</f>
        <v/>
      </c>
      <c r="P66" s="59" t="str">
        <f t="shared" si="7"/>
        <v/>
      </c>
      <c r="Q66" s="68"/>
      <c r="R66" s="69"/>
      <c r="S66" s="70"/>
      <c r="T66" s="71"/>
      <c r="U66" s="71"/>
    </row>
    <row r="67" spans="1:21" x14ac:dyDescent="0.25">
      <c r="A67" s="86">
        <v>40</v>
      </c>
      <c r="B67" s="51"/>
      <c r="C67" s="94" t="s">
        <v>120</v>
      </c>
      <c r="D67" s="86"/>
      <c r="E67" s="96" t="s">
        <v>47</v>
      </c>
      <c r="F67" s="54">
        <v>0</v>
      </c>
      <c r="G67" s="54">
        <v>0</v>
      </c>
      <c r="H67" s="97"/>
      <c r="I67" s="67"/>
      <c r="J67" s="58" t="s">
        <v>99</v>
      </c>
      <c r="K67" s="59"/>
      <c r="L67" s="58" t="s">
        <v>121</v>
      </c>
      <c r="M67" s="50">
        <f t="shared" si="0"/>
        <v>27</v>
      </c>
      <c r="N67" s="50">
        <f t="shared" si="1"/>
        <v>5</v>
      </c>
      <c r="O67" s="50">
        <f>IF(A67&lt;&gt;"",M67*2^9+A67,"")</f>
        <v>13864</v>
      </c>
      <c r="P67" s="59" t="str">
        <f t="shared" si="7"/>
        <v>0x3628</v>
      </c>
      <c r="Q67" s="68"/>
      <c r="R67" s="69"/>
      <c r="S67" s="70"/>
      <c r="T67" s="71"/>
      <c r="U67" s="71"/>
    </row>
    <row r="68" spans="1:21" x14ac:dyDescent="0.25">
      <c r="A68" s="86"/>
      <c r="B68" s="51"/>
      <c r="C68" s="94"/>
      <c r="D68" s="86"/>
      <c r="E68" s="96"/>
      <c r="F68" s="54"/>
      <c r="G68" s="54"/>
      <c r="H68" s="76"/>
      <c r="I68" s="67"/>
      <c r="J68" s="58"/>
      <c r="K68" s="59"/>
      <c r="L68" s="58"/>
      <c r="M68" s="50">
        <f t="shared" si="0"/>
        <v>27</v>
      </c>
      <c r="N68" s="50">
        <f t="shared" si="1"/>
        <v>5</v>
      </c>
      <c r="O68" s="50" t="str">
        <f t="shared" ref="O68:O76" si="9">IF(A68&lt;&gt;"",M68*2^9+A68,"")</f>
        <v/>
      </c>
      <c r="P68" s="59" t="str">
        <f t="shared" si="7"/>
        <v/>
      </c>
      <c r="Q68" s="68"/>
      <c r="R68" s="69"/>
      <c r="S68" s="70"/>
      <c r="T68" s="71"/>
      <c r="U68" s="71"/>
    </row>
    <row r="69" spans="1:21" x14ac:dyDescent="0.25">
      <c r="A69" s="86"/>
      <c r="B69" s="51"/>
      <c r="C69" s="94"/>
      <c r="D69" s="86"/>
      <c r="E69" s="96"/>
      <c r="F69" s="54"/>
      <c r="G69" s="54"/>
      <c r="H69" s="76"/>
      <c r="I69" s="67"/>
      <c r="J69" s="58"/>
      <c r="K69" s="59"/>
      <c r="L69" s="58"/>
      <c r="M69" s="50">
        <f t="shared" si="0"/>
        <v>27</v>
      </c>
      <c r="N69" s="50">
        <f t="shared" si="1"/>
        <v>5</v>
      </c>
      <c r="O69" s="50" t="str">
        <f t="shared" si="9"/>
        <v/>
      </c>
      <c r="P69" s="59" t="str">
        <f t="shared" si="7"/>
        <v/>
      </c>
      <c r="Q69" s="68"/>
      <c r="R69" s="69"/>
      <c r="S69" s="70"/>
      <c r="T69" s="71"/>
      <c r="U69" s="71"/>
    </row>
    <row r="70" spans="1:21" x14ac:dyDescent="0.25">
      <c r="A70" s="86">
        <v>50</v>
      </c>
      <c r="B70" s="51"/>
      <c r="C70" s="94" t="s">
        <v>122</v>
      </c>
      <c r="D70" s="86"/>
      <c r="E70" s="53" t="s">
        <v>38</v>
      </c>
      <c r="F70" s="54">
        <v>0</v>
      </c>
      <c r="G70" s="55">
        <v>2250</v>
      </c>
      <c r="H70" s="76"/>
      <c r="I70" s="67"/>
      <c r="J70" s="58" t="s">
        <v>39</v>
      </c>
      <c r="K70" s="59"/>
      <c r="L70" s="58"/>
      <c r="M70" s="50">
        <f t="shared" si="0"/>
        <v>27</v>
      </c>
      <c r="N70" s="50">
        <f t="shared" si="1"/>
        <v>5</v>
      </c>
      <c r="O70" s="50">
        <f t="shared" si="9"/>
        <v>13874</v>
      </c>
      <c r="P70" s="59" t="str">
        <f t="shared" si="7"/>
        <v>0x3632</v>
      </c>
      <c r="Q70" s="61" t="s">
        <v>54</v>
      </c>
      <c r="R70" s="69"/>
      <c r="S70" s="70"/>
      <c r="T70" s="71"/>
      <c r="U70" s="71"/>
    </row>
    <row r="71" spans="1:21" x14ac:dyDescent="0.25">
      <c r="A71" s="86">
        <v>51</v>
      </c>
      <c r="B71" s="51"/>
      <c r="C71" s="94" t="s">
        <v>123</v>
      </c>
      <c r="D71" s="86"/>
      <c r="E71" s="53" t="s">
        <v>38</v>
      </c>
      <c r="F71" s="54">
        <v>0</v>
      </c>
      <c r="G71" s="55">
        <v>2250</v>
      </c>
      <c r="H71" s="76"/>
      <c r="I71" s="67"/>
      <c r="J71" s="58" t="s">
        <v>39</v>
      </c>
      <c r="K71" s="59"/>
      <c r="L71" s="58"/>
      <c r="M71" s="50">
        <f t="shared" si="0"/>
        <v>27</v>
      </c>
      <c r="N71" s="50">
        <f t="shared" si="1"/>
        <v>5</v>
      </c>
      <c r="O71" s="50">
        <f t="shared" si="9"/>
        <v>13875</v>
      </c>
      <c r="P71" s="59" t="str">
        <f t="shared" si="7"/>
        <v>0x3633</v>
      </c>
      <c r="Q71" s="61" t="s">
        <v>54</v>
      </c>
      <c r="R71" s="69"/>
      <c r="S71" s="70"/>
      <c r="T71" s="71"/>
      <c r="U71" s="71"/>
    </row>
    <row r="72" spans="1:21" x14ac:dyDescent="0.25">
      <c r="A72" s="86">
        <v>52</v>
      </c>
      <c r="B72" s="51"/>
      <c r="C72" s="94" t="s">
        <v>124</v>
      </c>
      <c r="D72" s="86"/>
      <c r="E72" s="53" t="s">
        <v>38</v>
      </c>
      <c r="F72" s="54">
        <v>0</v>
      </c>
      <c r="G72" s="55">
        <v>2250</v>
      </c>
      <c r="H72" s="76"/>
      <c r="I72" s="67"/>
      <c r="J72" s="58" t="s">
        <v>39</v>
      </c>
      <c r="K72" s="59"/>
      <c r="L72" s="58"/>
      <c r="M72" s="50">
        <f t="shared" si="0"/>
        <v>27</v>
      </c>
      <c r="N72" s="50">
        <f t="shared" si="1"/>
        <v>5</v>
      </c>
      <c r="O72" s="50">
        <f t="shared" si="9"/>
        <v>13876</v>
      </c>
      <c r="P72" s="59" t="str">
        <f t="shared" si="7"/>
        <v>0x3634</v>
      </c>
      <c r="Q72" s="61" t="s">
        <v>54</v>
      </c>
      <c r="R72" s="69"/>
      <c r="S72" s="70"/>
      <c r="T72" s="71"/>
      <c r="U72" s="71"/>
    </row>
    <row r="73" spans="1:21" x14ac:dyDescent="0.25">
      <c r="A73" s="86">
        <v>53</v>
      </c>
      <c r="B73" s="51"/>
      <c r="C73" s="94" t="s">
        <v>125</v>
      </c>
      <c r="D73" s="86"/>
      <c r="E73" s="53" t="s">
        <v>38</v>
      </c>
      <c r="F73" s="54">
        <v>0</v>
      </c>
      <c r="G73" s="55">
        <v>2250</v>
      </c>
      <c r="H73" s="76"/>
      <c r="I73" s="67"/>
      <c r="J73" s="58" t="s">
        <v>39</v>
      </c>
      <c r="K73" s="59"/>
      <c r="L73" s="58"/>
      <c r="M73" s="50">
        <f t="shared" si="0"/>
        <v>27</v>
      </c>
      <c r="N73" s="50">
        <f t="shared" si="1"/>
        <v>5</v>
      </c>
      <c r="O73" s="50">
        <f t="shared" si="9"/>
        <v>13877</v>
      </c>
      <c r="P73" s="59" t="str">
        <f t="shared" si="7"/>
        <v>0x3635</v>
      </c>
      <c r="Q73" s="61" t="s">
        <v>54</v>
      </c>
      <c r="R73" s="69"/>
      <c r="S73" s="70"/>
      <c r="T73" s="71"/>
      <c r="U73" s="71"/>
    </row>
    <row r="74" spans="1:21" x14ac:dyDescent="0.25">
      <c r="A74" s="86"/>
      <c r="B74" s="51"/>
      <c r="C74" s="94"/>
      <c r="D74" s="86"/>
      <c r="E74" s="96"/>
      <c r="F74" s="54"/>
      <c r="G74" s="54"/>
      <c r="H74" s="76"/>
      <c r="I74" s="67"/>
      <c r="J74" s="58"/>
      <c r="K74" s="59"/>
      <c r="L74" s="58"/>
      <c r="M74" s="50">
        <f t="shared" si="0"/>
        <v>27</v>
      </c>
      <c r="N74" s="50">
        <f t="shared" si="1"/>
        <v>5</v>
      </c>
      <c r="O74" s="50" t="str">
        <f t="shared" si="9"/>
        <v/>
      </c>
      <c r="P74" s="59" t="str">
        <f t="shared" si="7"/>
        <v/>
      </c>
      <c r="Q74" s="68"/>
      <c r="R74" s="69"/>
      <c r="S74" s="70"/>
      <c r="T74" s="71"/>
      <c r="U74" s="71"/>
    </row>
    <row r="75" spans="1:21" x14ac:dyDescent="0.25">
      <c r="A75" s="86"/>
      <c r="B75" s="51"/>
      <c r="C75" s="94"/>
      <c r="D75" s="86"/>
      <c r="E75" s="96"/>
      <c r="F75" s="54"/>
      <c r="G75" s="54"/>
      <c r="H75" s="76"/>
      <c r="I75" s="67"/>
      <c r="J75" s="58"/>
      <c r="K75" s="59"/>
      <c r="L75" s="58"/>
      <c r="M75" s="50">
        <f t="shared" si="0"/>
        <v>27</v>
      </c>
      <c r="N75" s="50">
        <f t="shared" si="1"/>
        <v>5</v>
      </c>
      <c r="O75" s="50" t="str">
        <f t="shared" si="9"/>
        <v/>
      </c>
      <c r="P75" s="59" t="str">
        <f t="shared" si="7"/>
        <v/>
      </c>
      <c r="Q75" s="68"/>
      <c r="R75" s="69"/>
      <c r="S75" s="70"/>
      <c r="T75" s="71"/>
      <c r="U75" s="71"/>
    </row>
    <row r="76" spans="1:21" x14ac:dyDescent="0.25">
      <c r="A76" s="86">
        <v>56</v>
      </c>
      <c r="B76" s="51"/>
      <c r="C76" s="94" t="s">
        <v>142</v>
      </c>
      <c r="D76" s="86"/>
      <c r="E76" s="53" t="s">
        <v>38</v>
      </c>
      <c r="F76" s="50">
        <v>0</v>
      </c>
      <c r="G76" s="55">
        <v>3900</v>
      </c>
      <c r="H76" s="56"/>
      <c r="I76" s="88">
        <v>1</v>
      </c>
      <c r="J76" s="91" t="s">
        <v>39</v>
      </c>
      <c r="K76" s="59"/>
      <c r="L76" s="52" t="s">
        <v>143</v>
      </c>
      <c r="M76" s="50">
        <f t="shared" si="0"/>
        <v>27</v>
      </c>
      <c r="N76" s="50">
        <f t="shared" si="1"/>
        <v>5</v>
      </c>
      <c r="O76" s="50">
        <f t="shared" si="9"/>
        <v>13880</v>
      </c>
      <c r="P76" s="59" t="str">
        <f t="shared" ref="P76" si="10">IF(A76&lt;&gt;"","0x" &amp;DEC2HEX( O76,4),"")</f>
        <v>0x3638</v>
      </c>
      <c r="Q76" s="61"/>
      <c r="R76" s="69"/>
      <c r="S76" s="70"/>
      <c r="T76" s="71"/>
      <c r="U76" s="71"/>
    </row>
    <row r="77" spans="1:21" x14ac:dyDescent="0.25">
      <c r="A77" s="86">
        <v>57</v>
      </c>
      <c r="B77" s="51"/>
      <c r="C77" s="94" t="s">
        <v>144</v>
      </c>
      <c r="D77" s="86"/>
      <c r="E77" s="53" t="s">
        <v>38</v>
      </c>
      <c r="F77" s="50">
        <v>0</v>
      </c>
      <c r="G77" s="55">
        <v>3900</v>
      </c>
      <c r="H77" s="56"/>
      <c r="I77" s="88">
        <v>1</v>
      </c>
      <c r="J77" s="91" t="s">
        <v>39</v>
      </c>
      <c r="K77" s="59"/>
      <c r="L77" s="52" t="s">
        <v>147</v>
      </c>
      <c r="M77" s="50">
        <f t="shared" si="0"/>
        <v>27</v>
      </c>
      <c r="N77" s="50">
        <f t="shared" si="1"/>
        <v>5</v>
      </c>
      <c r="O77" s="50">
        <f t="shared" ref="O77:O78" si="11">IF(A77&lt;&gt;"",M77*2^9+A77,"")</f>
        <v>13881</v>
      </c>
      <c r="P77" s="59" t="str">
        <f t="shared" ref="P77:P78" si="12">IF(A77&lt;&gt;"","0x" &amp;DEC2HEX( O77,4),"")</f>
        <v>0x3639</v>
      </c>
      <c r="Q77" s="61"/>
      <c r="R77" s="69"/>
      <c r="S77" s="70"/>
      <c r="T77" s="71"/>
      <c r="U77" s="71"/>
    </row>
    <row r="78" spans="1:21" x14ac:dyDescent="0.25">
      <c r="A78" s="86">
        <v>58</v>
      </c>
      <c r="B78" s="51"/>
      <c r="C78" s="94" t="s">
        <v>145</v>
      </c>
      <c r="D78" s="86"/>
      <c r="E78" s="53" t="s">
        <v>38</v>
      </c>
      <c r="F78" s="50">
        <v>0</v>
      </c>
      <c r="G78" s="55">
        <v>3900</v>
      </c>
      <c r="H78" s="56"/>
      <c r="I78" s="88">
        <v>1</v>
      </c>
      <c r="J78" s="91" t="s">
        <v>39</v>
      </c>
      <c r="K78" s="59"/>
      <c r="L78" s="52" t="s">
        <v>148</v>
      </c>
      <c r="M78" s="50">
        <f t="shared" si="0"/>
        <v>27</v>
      </c>
      <c r="N78" s="50">
        <f t="shared" si="1"/>
        <v>5</v>
      </c>
      <c r="O78" s="50">
        <f t="shared" si="11"/>
        <v>13882</v>
      </c>
      <c r="P78" s="59" t="str">
        <f t="shared" si="12"/>
        <v>0x363A</v>
      </c>
      <c r="Q78" s="61"/>
      <c r="R78" s="69"/>
      <c r="S78" s="70"/>
      <c r="T78" s="71"/>
      <c r="U78" s="71"/>
    </row>
    <row r="79" spans="1:21" x14ac:dyDescent="0.25">
      <c r="A79" s="86">
        <v>59</v>
      </c>
      <c r="B79" s="51"/>
      <c r="C79" s="94" t="s">
        <v>146</v>
      </c>
      <c r="D79" s="86"/>
      <c r="E79" s="53" t="s">
        <v>38</v>
      </c>
      <c r="F79" s="50">
        <v>0</v>
      </c>
      <c r="G79" s="55">
        <v>3900</v>
      </c>
      <c r="H79" s="56"/>
      <c r="I79" s="88">
        <v>1</v>
      </c>
      <c r="J79" s="91" t="s">
        <v>39</v>
      </c>
      <c r="K79" s="59"/>
      <c r="L79" s="52" t="s">
        <v>149</v>
      </c>
      <c r="M79" s="50">
        <f t="shared" si="0"/>
        <v>27</v>
      </c>
      <c r="N79" s="50">
        <f t="shared" si="1"/>
        <v>5</v>
      </c>
      <c r="O79" s="50">
        <f t="shared" ref="O79:O82" si="13">IF(A79&lt;&gt;"",M79*2^9+A79,"")</f>
        <v>13883</v>
      </c>
      <c r="P79" s="59" t="str">
        <f t="shared" ref="P79:P82" si="14">IF(A79&lt;&gt;"","0x" &amp;DEC2HEX( O79,4),"")</f>
        <v>0x363B</v>
      </c>
      <c r="Q79" s="61"/>
      <c r="R79" s="69"/>
      <c r="S79" s="70"/>
      <c r="T79" s="71"/>
      <c r="U79" s="71"/>
    </row>
    <row r="80" spans="1:21" x14ac:dyDescent="0.25">
      <c r="A80" s="86">
        <v>60</v>
      </c>
      <c r="B80" s="51"/>
      <c r="C80" s="94" t="s">
        <v>161</v>
      </c>
      <c r="D80" s="86"/>
      <c r="E80" s="53" t="s">
        <v>38</v>
      </c>
      <c r="F80" s="50">
        <v>0</v>
      </c>
      <c r="G80" s="55">
        <v>80</v>
      </c>
      <c r="H80" s="56"/>
      <c r="I80" s="88">
        <v>0.1</v>
      </c>
      <c r="J80" s="91" t="s">
        <v>39</v>
      </c>
      <c r="K80" s="59"/>
      <c r="L80" s="52" t="s">
        <v>165</v>
      </c>
      <c r="M80" s="50">
        <f t="shared" si="0"/>
        <v>27</v>
      </c>
      <c r="N80" s="50">
        <f t="shared" si="1"/>
        <v>5</v>
      </c>
      <c r="O80" s="50">
        <f t="shared" si="13"/>
        <v>13884</v>
      </c>
      <c r="P80" s="59" t="str">
        <f t="shared" si="14"/>
        <v>0x363C</v>
      </c>
      <c r="Q80" s="61"/>
      <c r="R80" s="69"/>
      <c r="S80" s="70"/>
      <c r="T80" s="71"/>
      <c r="U80" s="71"/>
    </row>
    <row r="81" spans="1:23" x14ac:dyDescent="0.25">
      <c r="A81" s="86">
        <v>61</v>
      </c>
      <c r="B81" s="51"/>
      <c r="C81" s="94" t="s">
        <v>162</v>
      </c>
      <c r="D81" s="86"/>
      <c r="E81" s="53" t="s">
        <v>38</v>
      </c>
      <c r="F81" s="50">
        <v>0</v>
      </c>
      <c r="G81" s="55">
        <v>80</v>
      </c>
      <c r="H81" s="56"/>
      <c r="I81" s="88">
        <v>0.1</v>
      </c>
      <c r="J81" s="91" t="s">
        <v>39</v>
      </c>
      <c r="K81" s="59"/>
      <c r="L81" s="52" t="s">
        <v>165</v>
      </c>
      <c r="M81" s="50">
        <f t="shared" si="0"/>
        <v>27</v>
      </c>
      <c r="N81" s="50">
        <f t="shared" si="1"/>
        <v>5</v>
      </c>
      <c r="O81" s="50">
        <f t="shared" si="13"/>
        <v>13885</v>
      </c>
      <c r="P81" s="59" t="str">
        <f t="shared" si="14"/>
        <v>0x363D</v>
      </c>
      <c r="Q81" s="61"/>
      <c r="R81" s="69"/>
      <c r="S81" s="70"/>
      <c r="T81" s="71"/>
      <c r="U81" s="71"/>
    </row>
    <row r="82" spans="1:23" x14ac:dyDescent="0.25">
      <c r="A82" s="86">
        <v>62</v>
      </c>
      <c r="B82" s="51"/>
      <c r="C82" s="94" t="s">
        <v>163</v>
      </c>
      <c r="D82" s="86"/>
      <c r="E82" s="53" t="s">
        <v>38</v>
      </c>
      <c r="F82" s="50">
        <v>0</v>
      </c>
      <c r="G82" s="55">
        <v>80</v>
      </c>
      <c r="H82" s="56"/>
      <c r="I82" s="88">
        <v>0.1</v>
      </c>
      <c r="J82" s="91" t="s">
        <v>39</v>
      </c>
      <c r="K82" s="59"/>
      <c r="L82" s="52" t="s">
        <v>165</v>
      </c>
      <c r="M82" s="50">
        <f t="shared" si="0"/>
        <v>27</v>
      </c>
      <c r="N82" s="50">
        <f t="shared" si="1"/>
        <v>5</v>
      </c>
      <c r="O82" s="50">
        <f t="shared" si="13"/>
        <v>13886</v>
      </c>
      <c r="P82" s="59" t="str">
        <f t="shared" si="14"/>
        <v>0x363E</v>
      </c>
      <c r="Q82" s="61"/>
      <c r="R82" s="69"/>
      <c r="S82" s="70"/>
      <c r="T82" s="71"/>
      <c r="U82" s="71"/>
    </row>
    <row r="83" spans="1:23" x14ac:dyDescent="0.25">
      <c r="A83" s="86">
        <v>63</v>
      </c>
      <c r="B83" s="51"/>
      <c r="C83" s="94" t="s">
        <v>164</v>
      </c>
      <c r="D83" s="86"/>
      <c r="E83" s="53" t="s">
        <v>38</v>
      </c>
      <c r="F83" s="50">
        <v>0</v>
      </c>
      <c r="G83" s="55">
        <v>80</v>
      </c>
      <c r="H83" s="56"/>
      <c r="I83" s="88">
        <v>0.1</v>
      </c>
      <c r="J83" s="91" t="s">
        <v>39</v>
      </c>
      <c r="K83" s="59"/>
      <c r="L83" s="52" t="s">
        <v>165</v>
      </c>
      <c r="M83" s="50">
        <f t="shared" si="0"/>
        <v>27</v>
      </c>
      <c r="N83" s="50">
        <f t="shared" si="1"/>
        <v>5</v>
      </c>
      <c r="O83" s="50">
        <f t="shared" ref="O83" si="15">IF(A83&lt;&gt;"",M83*2^9+A83,"")</f>
        <v>13887</v>
      </c>
      <c r="P83" s="59" t="str">
        <f t="shared" ref="P83" si="16">IF(A83&lt;&gt;"","0x" &amp;DEC2HEX( O83,4),"")</f>
        <v>0x363F</v>
      </c>
      <c r="Q83" s="61"/>
      <c r="R83" s="69"/>
      <c r="S83" s="70"/>
      <c r="T83" s="71"/>
      <c r="U83" s="71"/>
    </row>
    <row r="84" spans="1:23" x14ac:dyDescent="0.25">
      <c r="A84" s="86"/>
      <c r="B84" s="51"/>
      <c r="C84" s="94"/>
      <c r="D84" s="86"/>
      <c r="E84" s="96"/>
      <c r="F84" s="54"/>
      <c r="G84" s="54"/>
      <c r="H84" s="76"/>
      <c r="I84" s="67"/>
      <c r="J84" s="58"/>
      <c r="K84" s="59"/>
      <c r="L84" s="58"/>
      <c r="M84" s="50">
        <f t="shared" si="0"/>
        <v>27</v>
      </c>
      <c r="N84" s="50">
        <f t="shared" si="1"/>
        <v>5</v>
      </c>
      <c r="O84" s="50"/>
      <c r="P84" s="59"/>
      <c r="Q84" s="68"/>
      <c r="R84" s="69"/>
      <c r="S84" s="70"/>
      <c r="T84" s="71"/>
      <c r="U84" s="71"/>
    </row>
    <row r="85" spans="1:23" x14ac:dyDescent="0.25">
      <c r="A85" s="50">
        <v>494</v>
      </c>
      <c r="B85" s="51"/>
      <c r="C85" s="52" t="s">
        <v>128</v>
      </c>
      <c r="D85" s="98" t="s">
        <v>129</v>
      </c>
      <c r="E85" s="99" t="s">
        <v>47</v>
      </c>
      <c r="F85" s="98">
        <v>0</v>
      </c>
      <c r="G85" s="100">
        <v>255</v>
      </c>
      <c r="H85" s="101"/>
      <c r="I85" s="99"/>
      <c r="J85" s="77"/>
      <c r="K85" s="102" t="s">
        <v>130</v>
      </c>
      <c r="L85" s="103" t="s">
        <v>131</v>
      </c>
      <c r="M85" s="50">
        <f t="shared" si="0"/>
        <v>27</v>
      </c>
      <c r="N85" s="50">
        <f t="shared" si="1"/>
        <v>5</v>
      </c>
      <c r="O85" s="50">
        <f>IF(A85&lt;&gt;"",M85*2^9+A85,"")</f>
        <v>14318</v>
      </c>
      <c r="P85" s="59" t="str">
        <f>IF(A85&lt;&gt;"","0x" &amp;DEC2HEX( O85,4),"")</f>
        <v>0x37EE</v>
      </c>
      <c r="Q85" s="68" t="s">
        <v>87</v>
      </c>
      <c r="R85" s="69"/>
      <c r="S85" s="70"/>
      <c r="T85" s="71"/>
      <c r="U85" s="71"/>
    </row>
    <row r="86" spans="1:23" x14ac:dyDescent="0.25">
      <c r="A86" s="50"/>
      <c r="B86" s="104"/>
      <c r="C86" s="52"/>
      <c r="D86" s="50"/>
      <c r="E86" s="59"/>
      <c r="F86" s="59"/>
      <c r="G86" s="72"/>
      <c r="H86" s="73"/>
      <c r="I86" s="59"/>
      <c r="J86" s="52"/>
      <c r="K86" s="59"/>
      <c r="L86" s="52"/>
      <c r="M86" s="50">
        <f t="shared" si="0"/>
        <v>27</v>
      </c>
      <c r="N86" s="50">
        <f t="shared" si="1"/>
        <v>5</v>
      </c>
      <c r="O86" s="50" t="str">
        <f>IF(A86&lt;&gt;"",M86*2^9+A86,"")</f>
        <v/>
      </c>
      <c r="P86" s="59" t="str">
        <f>IF(A86&lt;&gt;"","0x" &amp;DEC2HEX( O86,4),"")</f>
        <v/>
      </c>
      <c r="Q86" s="68"/>
      <c r="R86" s="69"/>
      <c r="S86" s="70"/>
      <c r="T86" s="71"/>
      <c r="U86" s="71"/>
      <c r="V86" s="105"/>
    </row>
    <row r="87" spans="1:23" x14ac:dyDescent="0.25">
      <c r="A87" s="106">
        <v>511</v>
      </c>
      <c r="B87" s="107"/>
      <c r="C87" s="108" t="s">
        <v>132</v>
      </c>
      <c r="D87" s="109" t="s">
        <v>133</v>
      </c>
      <c r="E87" s="110" t="s">
        <v>38</v>
      </c>
      <c r="F87" s="111">
        <v>0</v>
      </c>
      <c r="G87" s="111">
        <v>65535</v>
      </c>
      <c r="H87" s="112"/>
      <c r="I87" s="111">
        <v>1</v>
      </c>
      <c r="J87" s="109" t="s">
        <v>134</v>
      </c>
      <c r="K87" s="113" t="s">
        <v>135</v>
      </c>
      <c r="L87" s="108" t="s">
        <v>136</v>
      </c>
      <c r="M87" s="114">
        <f t="shared" si="0"/>
        <v>27</v>
      </c>
      <c r="N87" s="114">
        <f t="shared" si="1"/>
        <v>5</v>
      </c>
      <c r="O87" s="114">
        <f xml:space="preserve"> (M87*512+A87)</f>
        <v>14335</v>
      </c>
      <c r="P87" s="106" t="str">
        <f>IF(A87&lt;&gt;"","0x" &amp;DEC2HEX( O87,4),"")</f>
        <v>0x37FF</v>
      </c>
      <c r="Q87" s="115"/>
      <c r="R87" s="106" t="s">
        <v>41</v>
      </c>
      <c r="S87" s="116"/>
      <c r="T87" s="117"/>
      <c r="U87" s="117"/>
      <c r="V87" s="118"/>
      <c r="W87" s="119"/>
    </row>
    <row r="88" spans="1:23" x14ac:dyDescent="0.25">
      <c r="A88" s="120" t="s">
        <v>137</v>
      </c>
      <c r="B88" s="104"/>
      <c r="C88" s="121"/>
      <c r="D88" s="121"/>
      <c r="E88" s="121"/>
      <c r="F88" s="121"/>
      <c r="G88" s="121"/>
      <c r="H88" s="121"/>
      <c r="I88" s="121"/>
      <c r="J88" s="121"/>
      <c r="K88" s="121"/>
      <c r="L88" s="121"/>
      <c r="Q88" s="59"/>
      <c r="R88" s="37"/>
      <c r="S88" s="71"/>
      <c r="T88" s="71"/>
      <c r="U88" s="71"/>
    </row>
    <row r="89" spans="1:23" x14ac:dyDescent="0.25">
      <c r="A89" s="121"/>
      <c r="B89" s="104"/>
      <c r="C89" s="121"/>
      <c r="D89" s="121"/>
      <c r="E89" s="121"/>
      <c r="F89" s="121"/>
      <c r="G89" s="121"/>
      <c r="H89" s="121"/>
      <c r="I89" s="121"/>
      <c r="J89" s="121"/>
      <c r="K89" s="121"/>
      <c r="L89" s="121"/>
      <c r="Q89" s="59"/>
      <c r="R89" s="37"/>
      <c r="S89" s="71"/>
      <c r="T89" s="71"/>
      <c r="U89" s="71"/>
    </row>
    <row r="90" spans="1:23" x14ac:dyDescent="0.25">
      <c r="A90" s="122" t="s">
        <v>138</v>
      </c>
      <c r="B90" s="104"/>
      <c r="C90" s="121"/>
      <c r="D90" s="121"/>
      <c r="E90" s="121"/>
      <c r="F90" s="121"/>
      <c r="G90" s="122"/>
      <c r="H90" s="122"/>
      <c r="I90" s="121"/>
      <c r="J90" s="120"/>
      <c r="K90" s="121"/>
      <c r="L90" s="121"/>
      <c r="Q90" s="59"/>
      <c r="R90" s="37"/>
      <c r="S90" s="71"/>
      <c r="T90" s="71"/>
      <c r="U90" s="71"/>
    </row>
    <row r="91" spans="1:23" x14ac:dyDescent="0.25">
      <c r="A91" s="123"/>
      <c r="B91" s="104"/>
      <c r="C91" s="124" t="s">
        <v>139</v>
      </c>
      <c r="D91" s="121"/>
      <c r="E91" s="121"/>
      <c r="F91" s="121"/>
      <c r="G91" s="121"/>
      <c r="H91" s="121"/>
      <c r="I91" s="121"/>
      <c r="J91" s="125"/>
      <c r="K91" s="121"/>
      <c r="L91" s="121"/>
      <c r="Q91" s="59"/>
      <c r="R91" s="37"/>
      <c r="S91" s="71"/>
      <c r="T91" s="71"/>
      <c r="U91" s="71"/>
    </row>
    <row r="92" spans="1:23" x14ac:dyDescent="0.25">
      <c r="A92" s="121"/>
      <c r="B92" s="104"/>
      <c r="C92" s="124" t="s">
        <v>140</v>
      </c>
      <c r="D92" s="121"/>
      <c r="E92" s="121"/>
      <c r="F92" s="121"/>
      <c r="G92" s="121"/>
      <c r="H92" s="121"/>
      <c r="I92" s="121"/>
      <c r="J92" s="125"/>
      <c r="K92" s="121"/>
      <c r="L92" s="121"/>
      <c r="Q92" s="59"/>
      <c r="R92" s="37"/>
      <c r="S92" s="71"/>
      <c r="T92" s="71"/>
      <c r="U92" s="71"/>
    </row>
    <row r="93" spans="1:23" x14ac:dyDescent="0.25">
      <c r="A93" s="121"/>
      <c r="B93" s="104"/>
      <c r="C93" s="121" t="s">
        <v>141</v>
      </c>
      <c r="D93" s="121"/>
      <c r="E93" s="121"/>
      <c r="F93" s="121"/>
      <c r="G93" s="121"/>
      <c r="H93" s="121"/>
      <c r="I93" s="121"/>
      <c r="J93" s="125"/>
      <c r="K93" s="121"/>
      <c r="L93" s="121"/>
      <c r="Q93" s="59"/>
      <c r="R93" s="37"/>
      <c r="S93" s="71"/>
      <c r="T93" s="71"/>
      <c r="U93" s="71"/>
    </row>
    <row r="94" spans="1:23" x14ac:dyDescent="0.25">
      <c r="B94" s="104"/>
      <c r="J94" s="127"/>
      <c r="Q94" s="59"/>
      <c r="R94" s="37"/>
      <c r="S94" s="71"/>
      <c r="T94" s="71"/>
      <c r="U94" s="71"/>
    </row>
    <row r="95" spans="1:23" x14ac:dyDescent="0.25">
      <c r="B95" s="104"/>
      <c r="D95"/>
      <c r="E95"/>
      <c r="Q95" s="59"/>
      <c r="R95" s="37"/>
      <c r="S95" s="71"/>
      <c r="T95" s="71"/>
      <c r="U95" s="71"/>
    </row>
    <row r="96" spans="1:23" x14ac:dyDescent="0.25">
      <c r="B96" s="104"/>
      <c r="Q96" s="59"/>
      <c r="R96" s="37"/>
      <c r="S96" s="37"/>
      <c r="T96" s="37"/>
      <c r="U96" s="37"/>
    </row>
    <row r="97" spans="1:21" x14ac:dyDescent="0.25">
      <c r="A97" s="128"/>
      <c r="B97" s="104"/>
      <c r="Q97" s="59"/>
      <c r="R97" s="129"/>
      <c r="S97" s="129"/>
      <c r="T97" s="129"/>
      <c r="U97" s="129"/>
    </row>
    <row r="98" spans="1:21" x14ac:dyDescent="0.25">
      <c r="B98" s="104"/>
      <c r="Q98" s="59"/>
      <c r="R98" s="37"/>
      <c r="S98" s="37"/>
      <c r="T98" s="37"/>
      <c r="U98" s="37"/>
    </row>
    <row r="99" spans="1:21" x14ac:dyDescent="0.25">
      <c r="A99" s="128"/>
      <c r="B99" s="104"/>
      <c r="Q99" s="59"/>
      <c r="R99" s="37"/>
      <c r="S99" s="37"/>
      <c r="T99" s="37"/>
      <c r="U99" s="37"/>
    </row>
    <row r="100" spans="1:21" x14ac:dyDescent="0.25">
      <c r="B100" s="104"/>
      <c r="Q100" s="59"/>
      <c r="R100" s="37"/>
      <c r="S100" s="37"/>
      <c r="T100" s="37"/>
      <c r="U100" s="37"/>
    </row>
    <row r="101" spans="1:21" x14ac:dyDescent="0.25">
      <c r="B101" s="104"/>
      <c r="Q101" s="59"/>
      <c r="R101" s="37"/>
      <c r="S101" s="37"/>
      <c r="T101" s="37"/>
      <c r="U101" s="37"/>
    </row>
    <row r="102" spans="1:21" x14ac:dyDescent="0.25">
      <c r="B102" s="104"/>
      <c r="Q102" s="59"/>
      <c r="R102" s="37"/>
      <c r="S102" s="37"/>
      <c r="T102" s="37"/>
      <c r="U102" s="37"/>
    </row>
    <row r="103" spans="1:21" x14ac:dyDescent="0.25">
      <c r="B103" s="104"/>
      <c r="Q103" s="59"/>
      <c r="R103" s="37"/>
      <c r="S103" s="37"/>
      <c r="T103" s="37"/>
      <c r="U103" s="37"/>
    </row>
    <row r="104" spans="1:21" x14ac:dyDescent="0.25">
      <c r="B104" s="104"/>
      <c r="Q104" s="59"/>
      <c r="R104" s="37"/>
      <c r="S104" s="37"/>
      <c r="T104" s="37"/>
      <c r="U104" s="37"/>
    </row>
    <row r="105" spans="1:21" x14ac:dyDescent="0.25">
      <c r="B105" s="104"/>
      <c r="Q105" s="59"/>
      <c r="R105" s="37"/>
      <c r="S105" s="37"/>
      <c r="T105" s="37"/>
      <c r="U105" s="37"/>
    </row>
    <row r="106" spans="1:21" x14ac:dyDescent="0.25">
      <c r="B106" s="104"/>
      <c r="Q106" s="59"/>
      <c r="R106" s="37"/>
      <c r="S106" s="37"/>
      <c r="T106" s="37"/>
      <c r="U106" s="37"/>
    </row>
    <row r="107" spans="1:21" x14ac:dyDescent="0.25">
      <c r="B107" s="104"/>
      <c r="Q107" s="59"/>
      <c r="R107" s="37"/>
      <c r="S107" s="37"/>
      <c r="T107" s="37"/>
      <c r="U107" s="37"/>
    </row>
    <row r="108" spans="1:21" x14ac:dyDescent="0.25">
      <c r="B108" s="104"/>
      <c r="Q108" s="59"/>
      <c r="R108" s="37"/>
      <c r="S108" s="37"/>
      <c r="T108" s="37"/>
      <c r="U108" s="37"/>
    </row>
    <row r="109" spans="1:21" x14ac:dyDescent="0.25">
      <c r="B109" s="104"/>
      <c r="Q109" s="59"/>
      <c r="R109" s="37"/>
      <c r="S109" s="37"/>
      <c r="T109" s="37"/>
      <c r="U109" s="37"/>
    </row>
    <row r="110" spans="1:21" x14ac:dyDescent="0.25">
      <c r="B110" s="104"/>
      <c r="Q110" s="59"/>
      <c r="R110" s="37"/>
      <c r="S110" s="37"/>
      <c r="T110" s="37"/>
      <c r="U110" s="37"/>
    </row>
    <row r="111" spans="1:21" x14ac:dyDescent="0.25">
      <c r="B111" s="104"/>
      <c r="Q111" s="59"/>
      <c r="R111" s="37"/>
      <c r="S111" s="37"/>
      <c r="T111" s="37"/>
      <c r="U111" s="37"/>
    </row>
    <row r="112" spans="1:21" x14ac:dyDescent="0.25">
      <c r="B112" s="104"/>
      <c r="Q112" s="59"/>
      <c r="R112" s="37"/>
      <c r="S112" s="37"/>
      <c r="T112" s="37"/>
      <c r="U112" s="37"/>
    </row>
    <row r="113" spans="1:21" x14ac:dyDescent="0.25">
      <c r="B113" s="104"/>
      <c r="Q113" s="59"/>
      <c r="R113" s="37"/>
      <c r="S113" s="37"/>
      <c r="T113" s="37"/>
      <c r="U113" s="37"/>
    </row>
    <row r="114" spans="1:21" x14ac:dyDescent="0.25">
      <c r="B114" s="104"/>
      <c r="Q114" s="59"/>
      <c r="R114" s="37"/>
      <c r="S114" s="37"/>
      <c r="T114" s="37"/>
      <c r="U114" s="37"/>
    </row>
    <row r="115" spans="1:21" x14ac:dyDescent="0.25">
      <c r="A115" s="128"/>
      <c r="B115" s="104"/>
      <c r="Q115" s="59"/>
      <c r="R115" s="37"/>
      <c r="S115" s="37"/>
      <c r="T115" s="37"/>
      <c r="U115" s="37"/>
    </row>
    <row r="116" spans="1:21" x14ac:dyDescent="0.25">
      <c r="B116" s="104"/>
      <c r="C116" s="127"/>
      <c r="D116" s="127"/>
      <c r="Q116" s="59"/>
      <c r="R116" s="37"/>
      <c r="S116" s="37"/>
      <c r="T116" s="37"/>
      <c r="U116" s="37"/>
    </row>
    <row r="117" spans="1:21" x14ac:dyDescent="0.25">
      <c r="B117" s="104"/>
      <c r="C117" s="127"/>
      <c r="D117" s="127"/>
      <c r="Q117" s="59"/>
      <c r="R117" s="37"/>
      <c r="S117" s="37"/>
      <c r="T117" s="37"/>
      <c r="U117" s="37"/>
    </row>
    <row r="118" spans="1:21" x14ac:dyDescent="0.25">
      <c r="B118" s="104"/>
      <c r="C118" s="127"/>
      <c r="D118" s="127"/>
      <c r="Q118" s="59"/>
      <c r="R118" s="37"/>
      <c r="S118" s="37"/>
      <c r="T118" s="37"/>
      <c r="U118" s="37"/>
    </row>
    <row r="119" spans="1:21" x14ac:dyDescent="0.25">
      <c r="B119" s="104"/>
      <c r="C119" s="127"/>
      <c r="D119" s="127"/>
      <c r="Q119" s="59"/>
      <c r="R119" s="37"/>
      <c r="S119" s="37"/>
      <c r="T119" s="37"/>
      <c r="U119" s="37"/>
    </row>
    <row r="120" spans="1:21" x14ac:dyDescent="0.25">
      <c r="B120" s="104"/>
      <c r="C120" s="127"/>
      <c r="D120" s="127"/>
      <c r="Q120" s="59"/>
      <c r="R120" s="37"/>
      <c r="S120" s="37"/>
      <c r="T120" s="37"/>
      <c r="U120" s="37"/>
    </row>
    <row r="121" spans="1:21" x14ac:dyDescent="0.25">
      <c r="B121" s="104"/>
      <c r="C121" s="127"/>
      <c r="D121" s="127"/>
      <c r="Q121" s="59"/>
      <c r="R121" s="37"/>
      <c r="S121" s="37"/>
      <c r="T121" s="37"/>
      <c r="U121" s="37"/>
    </row>
    <row r="122" spans="1:21" x14ac:dyDescent="0.25">
      <c r="B122" s="104"/>
      <c r="Q122" s="59"/>
      <c r="R122" s="37"/>
      <c r="S122" s="37"/>
      <c r="T122" s="37"/>
      <c r="U122" s="37"/>
    </row>
    <row r="123" spans="1:21" x14ac:dyDescent="0.25">
      <c r="B123" s="104"/>
      <c r="Q123" s="59"/>
      <c r="R123" s="37"/>
      <c r="S123" s="37"/>
      <c r="T123" s="37"/>
      <c r="U123" s="37"/>
    </row>
    <row r="124" spans="1:21" x14ac:dyDescent="0.25">
      <c r="A124" s="128"/>
      <c r="B124" s="104"/>
      <c r="Q124" s="59"/>
      <c r="R124" s="37"/>
      <c r="S124" s="37"/>
      <c r="T124" s="37"/>
      <c r="U124" s="37"/>
    </row>
    <row r="125" spans="1:21" x14ac:dyDescent="0.25">
      <c r="B125" s="104"/>
      <c r="D125" s="127"/>
      <c r="Q125" s="59"/>
      <c r="R125" s="37"/>
      <c r="S125" s="37"/>
      <c r="T125" s="37"/>
      <c r="U125" s="37"/>
    </row>
    <row r="126" spans="1:21" x14ac:dyDescent="0.25">
      <c r="B126" s="104"/>
      <c r="D126" s="127"/>
      <c r="Q126" s="59"/>
      <c r="R126" s="37"/>
      <c r="S126" s="37"/>
      <c r="T126" s="37"/>
      <c r="U126" s="37"/>
    </row>
    <row r="127" spans="1:21" x14ac:dyDescent="0.25">
      <c r="B127" s="104"/>
      <c r="D127" s="127"/>
      <c r="Q127" s="59"/>
      <c r="R127" s="37"/>
      <c r="S127" s="37"/>
      <c r="T127" s="37"/>
      <c r="U127" s="37"/>
    </row>
    <row r="128" spans="1:21" x14ac:dyDescent="0.25">
      <c r="B128" s="104"/>
      <c r="Q128" s="59"/>
      <c r="R128" s="37"/>
      <c r="S128" s="37"/>
      <c r="T128" s="37"/>
      <c r="U128" s="37"/>
    </row>
    <row r="129" spans="2:21" x14ac:dyDescent="0.25">
      <c r="B129" s="104"/>
      <c r="Q129" s="59"/>
      <c r="R129" s="37"/>
      <c r="S129" s="37"/>
      <c r="T129" s="37"/>
      <c r="U129" s="37"/>
    </row>
    <row r="130" spans="2:21" x14ac:dyDescent="0.25">
      <c r="B130" s="104"/>
      <c r="Q130" s="59"/>
      <c r="R130" s="37"/>
      <c r="S130" s="37"/>
      <c r="T130" s="37"/>
      <c r="U130" s="37"/>
    </row>
    <row r="131" spans="2:21" x14ac:dyDescent="0.25">
      <c r="B131" s="104"/>
      <c r="Q131" s="59"/>
      <c r="R131" s="37"/>
      <c r="S131" s="37"/>
      <c r="T131" s="37"/>
      <c r="U131" s="37"/>
    </row>
    <row r="132" spans="2:21" x14ac:dyDescent="0.25">
      <c r="B132" s="104"/>
      <c r="Q132" s="59"/>
      <c r="R132" s="37"/>
      <c r="S132" s="37"/>
      <c r="T132" s="37"/>
      <c r="U132" s="37"/>
    </row>
    <row r="133" spans="2:21" x14ac:dyDescent="0.25">
      <c r="B133" s="104"/>
      <c r="Q133" s="59"/>
      <c r="R133" s="37"/>
      <c r="S133" s="37"/>
      <c r="T133" s="37"/>
      <c r="U133" s="37"/>
    </row>
    <row r="134" spans="2:21" x14ac:dyDescent="0.25">
      <c r="B134" s="104"/>
      <c r="Q134" s="59"/>
      <c r="R134" s="37"/>
      <c r="S134" s="37"/>
      <c r="T134" s="37"/>
      <c r="U134" s="37"/>
    </row>
    <row r="135" spans="2:21" x14ac:dyDescent="0.25">
      <c r="B135" s="104"/>
      <c r="Q135" s="59"/>
      <c r="R135" s="37"/>
      <c r="S135" s="37"/>
      <c r="T135" s="37"/>
      <c r="U135" s="37"/>
    </row>
    <row r="136" spans="2:21" x14ac:dyDescent="0.25">
      <c r="B136" s="104"/>
      <c r="Q136" s="59"/>
      <c r="R136" s="37"/>
      <c r="S136" s="37"/>
      <c r="T136" s="37"/>
      <c r="U136" s="37"/>
    </row>
    <row r="137" spans="2:21" x14ac:dyDescent="0.25">
      <c r="B137" s="104"/>
      <c r="Q137" s="59"/>
      <c r="R137" s="37"/>
      <c r="S137" s="37"/>
      <c r="T137" s="37"/>
      <c r="U137" s="37"/>
    </row>
    <row r="138" spans="2:21" x14ac:dyDescent="0.25">
      <c r="B138" s="104"/>
      <c r="Q138" s="59"/>
      <c r="R138" s="37"/>
      <c r="S138" s="37"/>
      <c r="T138" s="37"/>
      <c r="U138" s="37"/>
    </row>
    <row r="139" spans="2:21" x14ac:dyDescent="0.25">
      <c r="B139" s="104"/>
      <c r="Q139" s="59"/>
      <c r="R139" s="37"/>
      <c r="S139" s="37"/>
      <c r="T139" s="37"/>
      <c r="U139" s="37"/>
    </row>
    <row r="140" spans="2:21" x14ac:dyDescent="0.25">
      <c r="B140" s="104"/>
      <c r="Q140" s="59"/>
      <c r="R140" s="37"/>
      <c r="S140" s="37"/>
      <c r="T140" s="37"/>
      <c r="U140" s="37"/>
    </row>
    <row r="141" spans="2:21" x14ac:dyDescent="0.25">
      <c r="B141" s="104"/>
      <c r="Q141" s="59"/>
      <c r="R141" s="37"/>
      <c r="S141" s="37"/>
      <c r="T141" s="37"/>
      <c r="U141" s="37"/>
    </row>
    <row r="142" spans="2:21" x14ac:dyDescent="0.25">
      <c r="B142" s="104"/>
      <c r="Q142" s="59"/>
      <c r="R142" s="37"/>
      <c r="S142" s="37"/>
      <c r="T142" s="37"/>
      <c r="U142" s="37"/>
    </row>
    <row r="143" spans="2:21" x14ac:dyDescent="0.25">
      <c r="B143" s="104"/>
      <c r="Q143" s="59"/>
      <c r="R143" s="37"/>
      <c r="S143" s="37"/>
      <c r="T143" s="37"/>
      <c r="U143" s="37"/>
    </row>
    <row r="144" spans="2:21" x14ac:dyDescent="0.25">
      <c r="B144" s="104"/>
      <c r="Q144" s="59"/>
      <c r="R144" s="37"/>
      <c r="S144" s="37"/>
      <c r="T144" s="37"/>
      <c r="U144" s="37"/>
    </row>
    <row r="145" spans="2:21" x14ac:dyDescent="0.25">
      <c r="B145" s="104"/>
      <c r="Q145" s="59"/>
      <c r="R145" s="37"/>
      <c r="S145" s="37"/>
      <c r="T145" s="37"/>
      <c r="U145" s="37"/>
    </row>
    <row r="146" spans="2:21" x14ac:dyDescent="0.25">
      <c r="B146" s="104"/>
      <c r="Q146" s="59"/>
      <c r="R146" s="37"/>
      <c r="S146" s="37"/>
      <c r="T146" s="37"/>
      <c r="U146" s="37"/>
    </row>
    <row r="147" spans="2:21" x14ac:dyDescent="0.25">
      <c r="B147" s="104"/>
      <c r="Q147" s="59"/>
      <c r="R147" s="37"/>
      <c r="S147" s="37"/>
      <c r="T147" s="37"/>
      <c r="U147" s="37"/>
    </row>
    <row r="148" spans="2:21" x14ac:dyDescent="0.25">
      <c r="B148" s="104"/>
      <c r="Q148" s="59"/>
      <c r="R148" s="37"/>
      <c r="S148" s="37"/>
      <c r="T148" s="37"/>
      <c r="U148" s="37"/>
    </row>
    <row r="149" spans="2:21" x14ac:dyDescent="0.25">
      <c r="B149" s="104"/>
      <c r="Q149" s="59"/>
      <c r="R149" s="37"/>
      <c r="S149" s="37"/>
      <c r="T149" s="37"/>
      <c r="U149" s="37"/>
    </row>
    <row r="150" spans="2:21" x14ac:dyDescent="0.25">
      <c r="B150" s="104"/>
      <c r="Q150" s="59"/>
      <c r="R150" s="37"/>
      <c r="S150" s="37"/>
      <c r="T150" s="37"/>
      <c r="U150" s="37"/>
    </row>
    <row r="151" spans="2:21" x14ac:dyDescent="0.25">
      <c r="B151" s="104"/>
      <c r="Q151" s="59"/>
      <c r="R151" s="37"/>
      <c r="S151" s="37"/>
      <c r="T151" s="37"/>
      <c r="U151" s="37"/>
    </row>
    <row r="152" spans="2:21" x14ac:dyDescent="0.25">
      <c r="B152" s="104"/>
      <c r="Q152" s="59"/>
      <c r="R152" s="37"/>
      <c r="S152" s="37"/>
      <c r="T152" s="37"/>
      <c r="U152" s="37"/>
    </row>
    <row r="153" spans="2:21" x14ac:dyDescent="0.25">
      <c r="B153" s="104"/>
      <c r="Q153" s="59"/>
      <c r="R153" s="37"/>
      <c r="S153" s="37"/>
      <c r="T153" s="37"/>
      <c r="U153" s="37"/>
    </row>
    <row r="154" spans="2:21" x14ac:dyDescent="0.25">
      <c r="B154" s="104"/>
      <c r="Q154" s="59"/>
      <c r="R154" s="37"/>
      <c r="S154" s="37"/>
      <c r="T154" s="37"/>
      <c r="U154" s="37"/>
    </row>
    <row r="155" spans="2:21" x14ac:dyDescent="0.25">
      <c r="B155" s="104"/>
      <c r="Q155" s="59"/>
      <c r="R155" s="37"/>
      <c r="S155" s="37"/>
      <c r="T155" s="37"/>
      <c r="U155" s="37"/>
    </row>
    <row r="156" spans="2:21" x14ac:dyDescent="0.25">
      <c r="B156" s="104"/>
      <c r="Q156" s="59"/>
      <c r="R156" s="37"/>
      <c r="S156" s="37"/>
      <c r="T156" s="37"/>
      <c r="U156" s="37"/>
    </row>
    <row r="157" spans="2:21" x14ac:dyDescent="0.25">
      <c r="B157" s="104"/>
      <c r="Q157" s="59"/>
      <c r="R157" s="37"/>
      <c r="S157" s="37"/>
      <c r="T157" s="37"/>
      <c r="U157" s="37"/>
    </row>
    <row r="158" spans="2:21" x14ac:dyDescent="0.25">
      <c r="B158" s="104"/>
      <c r="Q158" s="59"/>
      <c r="R158" s="37"/>
      <c r="S158" s="37"/>
      <c r="T158" s="37"/>
      <c r="U158" s="37"/>
    </row>
    <row r="159" spans="2:21" x14ac:dyDescent="0.25">
      <c r="B159" s="104"/>
      <c r="Q159" s="59"/>
      <c r="R159" s="37"/>
      <c r="S159" s="37"/>
      <c r="T159" s="37"/>
      <c r="U159" s="37"/>
    </row>
    <row r="160" spans="2:21" x14ac:dyDescent="0.25">
      <c r="B160" s="104"/>
      <c r="Q160" s="59"/>
      <c r="R160" s="37"/>
      <c r="S160" s="37"/>
      <c r="T160" s="37"/>
      <c r="U160" s="37"/>
    </row>
    <row r="161" spans="2:21" x14ac:dyDescent="0.25">
      <c r="B161" s="104"/>
      <c r="Q161" s="59"/>
      <c r="R161" s="37"/>
      <c r="S161" s="37"/>
      <c r="T161" s="37"/>
      <c r="U161" s="37"/>
    </row>
    <row r="162" spans="2:21" x14ac:dyDescent="0.25">
      <c r="B162" s="104"/>
      <c r="Q162" s="59"/>
      <c r="R162" s="37"/>
      <c r="S162" s="37"/>
      <c r="T162" s="37"/>
      <c r="U162" s="37"/>
    </row>
    <row r="163" spans="2:21" x14ac:dyDescent="0.25">
      <c r="B163" s="104"/>
      <c r="Q163" s="59"/>
      <c r="R163" s="37"/>
      <c r="S163" s="37"/>
      <c r="T163" s="37"/>
      <c r="U163" s="37"/>
    </row>
    <row r="164" spans="2:21" x14ac:dyDescent="0.25">
      <c r="B164" s="104"/>
      <c r="Q164" s="59"/>
      <c r="R164" s="37"/>
      <c r="S164" s="37"/>
      <c r="T164" s="37"/>
      <c r="U164" s="37"/>
    </row>
    <row r="165" spans="2:21" x14ac:dyDescent="0.25">
      <c r="B165" s="104"/>
      <c r="Q165" s="59"/>
      <c r="R165" s="37"/>
      <c r="S165" s="37"/>
      <c r="T165" s="37"/>
      <c r="U165" s="37"/>
    </row>
    <row r="166" spans="2:21" x14ac:dyDescent="0.25">
      <c r="B166" s="104"/>
      <c r="Q166" s="59"/>
      <c r="R166" s="37"/>
      <c r="S166" s="37"/>
      <c r="T166" s="37"/>
      <c r="U166" s="37"/>
    </row>
    <row r="167" spans="2:21" x14ac:dyDescent="0.25">
      <c r="B167" s="104"/>
      <c r="Q167" s="59"/>
      <c r="R167" s="37"/>
      <c r="S167" s="37"/>
      <c r="T167" s="37"/>
      <c r="U167" s="37"/>
    </row>
    <row r="168" spans="2:21" x14ac:dyDescent="0.25">
      <c r="B168" s="104"/>
      <c r="Q168" s="59"/>
      <c r="R168" s="37"/>
      <c r="S168" s="37"/>
      <c r="T168" s="37"/>
      <c r="U168" s="37"/>
    </row>
    <row r="169" spans="2:21" x14ac:dyDescent="0.25">
      <c r="B169" s="104"/>
      <c r="Q169" s="59"/>
      <c r="R169" s="37"/>
      <c r="S169" s="37"/>
      <c r="T169" s="37"/>
      <c r="U169" s="37"/>
    </row>
    <row r="170" spans="2:21" x14ac:dyDescent="0.25">
      <c r="B170" s="104"/>
      <c r="Q170" s="59"/>
      <c r="R170" s="37"/>
      <c r="S170" s="37"/>
      <c r="T170" s="37"/>
      <c r="U170" s="37"/>
    </row>
    <row r="171" spans="2:21" x14ac:dyDescent="0.25">
      <c r="B171" s="104"/>
      <c r="Q171" s="59"/>
      <c r="R171" s="37"/>
      <c r="S171" s="37"/>
      <c r="T171" s="37"/>
      <c r="U171" s="37"/>
    </row>
    <row r="172" spans="2:21" x14ac:dyDescent="0.25">
      <c r="B172" s="104"/>
      <c r="Q172" s="59"/>
      <c r="R172" s="37"/>
      <c r="S172" s="37"/>
      <c r="T172" s="37"/>
      <c r="U172" s="37"/>
    </row>
    <row r="173" spans="2:21" x14ac:dyDescent="0.25">
      <c r="B173" s="104"/>
      <c r="Q173" s="59"/>
      <c r="R173" s="37"/>
      <c r="S173" s="37"/>
      <c r="T173" s="37"/>
      <c r="U173" s="37"/>
    </row>
    <row r="174" spans="2:21" x14ac:dyDescent="0.25">
      <c r="B174" s="104"/>
      <c r="Q174" s="59"/>
      <c r="R174" s="37"/>
      <c r="S174" s="37"/>
      <c r="T174" s="37"/>
      <c r="U174" s="37"/>
    </row>
    <row r="175" spans="2:21" x14ac:dyDescent="0.25">
      <c r="B175" s="104"/>
      <c r="Q175" s="59"/>
      <c r="R175" s="37"/>
      <c r="S175" s="37"/>
      <c r="T175" s="37"/>
      <c r="U175" s="37"/>
    </row>
    <row r="176" spans="2:21" x14ac:dyDescent="0.25">
      <c r="B176" s="104"/>
      <c r="Q176" s="59"/>
      <c r="R176" s="37"/>
      <c r="S176" s="37"/>
      <c r="T176" s="37"/>
      <c r="U176" s="37"/>
    </row>
    <row r="177" spans="2:21" x14ac:dyDescent="0.25">
      <c r="B177" s="104"/>
      <c r="Q177" s="59"/>
      <c r="R177" s="37"/>
      <c r="S177" s="37"/>
      <c r="T177" s="37"/>
      <c r="U177" s="37"/>
    </row>
    <row r="178" spans="2:21" x14ac:dyDescent="0.25">
      <c r="B178" s="104"/>
      <c r="Q178" s="59"/>
      <c r="R178" s="37"/>
      <c r="S178" s="37"/>
      <c r="T178" s="37"/>
      <c r="U178" s="37"/>
    </row>
    <row r="179" spans="2:21" x14ac:dyDescent="0.25">
      <c r="B179" s="104"/>
      <c r="Q179" s="59"/>
      <c r="R179" s="37"/>
      <c r="S179" s="37"/>
      <c r="T179" s="37"/>
      <c r="U179" s="37"/>
    </row>
    <row r="180" spans="2:21" x14ac:dyDescent="0.25">
      <c r="B180" s="104"/>
      <c r="Q180" s="59"/>
      <c r="R180" s="37"/>
      <c r="S180" s="37"/>
      <c r="T180" s="37"/>
      <c r="U180" s="37"/>
    </row>
    <row r="181" spans="2:21" x14ac:dyDescent="0.25">
      <c r="B181" s="104"/>
      <c r="Q181" s="59"/>
      <c r="R181" s="37"/>
      <c r="S181" s="37"/>
      <c r="T181" s="37"/>
      <c r="U181" s="37"/>
    </row>
    <row r="182" spans="2:21" x14ac:dyDescent="0.25">
      <c r="B182" s="104"/>
      <c r="Q182" s="59"/>
      <c r="R182" s="37"/>
      <c r="S182" s="37"/>
      <c r="T182" s="37"/>
      <c r="U182" s="37"/>
    </row>
    <row r="183" spans="2:21" x14ac:dyDescent="0.25">
      <c r="B183" s="104"/>
      <c r="Q183" s="59"/>
      <c r="R183" s="37"/>
      <c r="S183" s="37"/>
      <c r="T183" s="37"/>
      <c r="U183" s="37"/>
    </row>
    <row r="184" spans="2:21" x14ac:dyDescent="0.25">
      <c r="B184" s="104"/>
      <c r="Q184" s="59"/>
      <c r="R184" s="37"/>
      <c r="S184" s="37"/>
      <c r="T184" s="37"/>
      <c r="U184" s="37"/>
    </row>
    <row r="185" spans="2:21" x14ac:dyDescent="0.25">
      <c r="B185" s="104"/>
      <c r="Q185" s="59"/>
      <c r="R185" s="37"/>
      <c r="S185" s="37"/>
      <c r="T185" s="37"/>
      <c r="U185" s="37"/>
    </row>
    <row r="186" spans="2:21" x14ac:dyDescent="0.25">
      <c r="B186" s="104"/>
      <c r="Q186" s="59"/>
      <c r="R186" s="37"/>
      <c r="S186" s="37"/>
      <c r="T186" s="37"/>
      <c r="U186" s="37"/>
    </row>
    <row r="187" spans="2:21" x14ac:dyDescent="0.25">
      <c r="B187" s="130"/>
      <c r="Q187" s="59"/>
      <c r="R187" s="37"/>
      <c r="S187" s="37"/>
      <c r="T187" s="37"/>
      <c r="U187" s="37"/>
    </row>
    <row r="188" spans="2:21" x14ac:dyDescent="0.25">
      <c r="B188" s="130"/>
      <c r="Q188" s="59"/>
      <c r="R188" s="37"/>
      <c r="S188" s="37"/>
      <c r="T188" s="37"/>
      <c r="U188" s="37"/>
    </row>
    <row r="189" spans="2:21" x14ac:dyDescent="0.25">
      <c r="B189" s="104"/>
      <c r="Q189" s="59"/>
      <c r="R189" s="37"/>
      <c r="S189" s="37"/>
      <c r="T189" s="37"/>
      <c r="U189" s="37"/>
    </row>
    <row r="190" spans="2:21" x14ac:dyDescent="0.25">
      <c r="B190" s="104"/>
      <c r="Q190" s="59"/>
      <c r="R190" s="37"/>
      <c r="S190" s="37"/>
      <c r="T190" s="37"/>
      <c r="U190" s="37"/>
    </row>
    <row r="191" spans="2:21" x14ac:dyDescent="0.25">
      <c r="B191" s="104"/>
      <c r="Q191" s="59"/>
      <c r="R191" s="37"/>
      <c r="S191" s="37"/>
      <c r="T191" s="37"/>
      <c r="U191" s="37"/>
    </row>
    <row r="192" spans="2:21" x14ac:dyDescent="0.25">
      <c r="B192" s="104"/>
      <c r="Q192" s="59"/>
      <c r="R192" s="37"/>
      <c r="S192" s="37"/>
      <c r="T192" s="37"/>
      <c r="U192" s="37"/>
    </row>
    <row r="193" spans="2:21" x14ac:dyDescent="0.25">
      <c r="B193" s="104"/>
      <c r="Q193" s="59"/>
      <c r="R193" s="37"/>
      <c r="S193" s="37"/>
      <c r="T193" s="37"/>
      <c r="U193" s="37"/>
    </row>
    <row r="194" spans="2:21" x14ac:dyDescent="0.25">
      <c r="B194" s="104"/>
      <c r="Q194" s="59"/>
      <c r="R194" s="37"/>
      <c r="S194" s="37"/>
      <c r="T194" s="37"/>
      <c r="U194" s="37"/>
    </row>
    <row r="195" spans="2:21" x14ac:dyDescent="0.25">
      <c r="B195" s="104"/>
      <c r="Q195" s="59"/>
      <c r="R195" s="37"/>
      <c r="S195" s="37"/>
      <c r="T195" s="37"/>
      <c r="U195" s="37"/>
    </row>
    <row r="196" spans="2:21" x14ac:dyDescent="0.25">
      <c r="B196" s="104"/>
      <c r="Q196" s="59"/>
      <c r="R196" s="37"/>
      <c r="S196" s="37"/>
      <c r="T196" s="37"/>
      <c r="U196" s="37"/>
    </row>
    <row r="197" spans="2:21" x14ac:dyDescent="0.25">
      <c r="B197" s="104"/>
      <c r="Q197" s="59"/>
      <c r="R197" s="37"/>
      <c r="S197" s="37"/>
      <c r="T197" s="37"/>
      <c r="U197" s="37"/>
    </row>
    <row r="198" spans="2:21" x14ac:dyDescent="0.25">
      <c r="B198" s="104"/>
      <c r="Q198" s="59"/>
      <c r="R198" s="37"/>
      <c r="S198" s="37"/>
      <c r="T198" s="37"/>
      <c r="U198" s="37"/>
    </row>
    <row r="199" spans="2:21" x14ac:dyDescent="0.25">
      <c r="B199" s="104"/>
      <c r="Q199" s="59"/>
      <c r="R199" s="37"/>
      <c r="S199" s="37"/>
      <c r="T199" s="37"/>
      <c r="U199" s="37"/>
    </row>
    <row r="200" spans="2:21" x14ac:dyDescent="0.25">
      <c r="B200" s="104"/>
      <c r="Q200" s="59"/>
      <c r="R200" s="37"/>
      <c r="S200" s="37"/>
      <c r="T200" s="37"/>
      <c r="U200" s="37"/>
    </row>
    <row r="201" spans="2:21" x14ac:dyDescent="0.25">
      <c r="B201" s="104"/>
      <c r="Q201" s="59"/>
      <c r="R201" s="37"/>
      <c r="S201" s="37"/>
      <c r="T201" s="37"/>
      <c r="U201" s="37"/>
    </row>
    <row r="202" spans="2:21" x14ac:dyDescent="0.25">
      <c r="B202" s="104"/>
      <c r="Q202" s="59"/>
      <c r="R202" s="37"/>
      <c r="S202" s="37"/>
      <c r="T202" s="37"/>
      <c r="U202" s="37"/>
    </row>
    <row r="203" spans="2:21" x14ac:dyDescent="0.25">
      <c r="B203" s="104"/>
      <c r="Q203" s="59"/>
      <c r="R203" s="37"/>
      <c r="S203" s="37"/>
      <c r="T203" s="37"/>
      <c r="U203" s="37"/>
    </row>
    <row r="204" spans="2:21" x14ac:dyDescent="0.25">
      <c r="B204" s="104"/>
      <c r="Q204" s="59"/>
      <c r="R204" s="37"/>
      <c r="S204" s="37"/>
      <c r="T204" s="37"/>
      <c r="U204" s="37"/>
    </row>
    <row r="205" spans="2:21" x14ac:dyDescent="0.25">
      <c r="B205" s="104"/>
      <c r="Q205" s="59"/>
      <c r="R205" s="37"/>
      <c r="S205" s="37"/>
      <c r="T205" s="37"/>
      <c r="U205" s="37"/>
    </row>
    <row r="206" spans="2:21" x14ac:dyDescent="0.25">
      <c r="B206" s="104"/>
      <c r="Q206" s="59"/>
      <c r="R206" s="37"/>
      <c r="S206" s="37"/>
      <c r="T206" s="37"/>
      <c r="U206" s="37"/>
    </row>
    <row r="207" spans="2:21" x14ac:dyDescent="0.25">
      <c r="B207" s="104"/>
      <c r="Q207" s="59"/>
      <c r="R207" s="37"/>
      <c r="S207" s="37"/>
      <c r="T207" s="37"/>
      <c r="U207" s="37"/>
    </row>
    <row r="208" spans="2:21" x14ac:dyDescent="0.25">
      <c r="B208" s="104"/>
      <c r="Q208" s="59"/>
      <c r="R208" s="37"/>
      <c r="S208" s="37"/>
      <c r="T208" s="37"/>
      <c r="U208" s="37"/>
    </row>
    <row r="209" spans="2:21" x14ac:dyDescent="0.25">
      <c r="B209" s="104"/>
      <c r="Q209" s="59"/>
      <c r="R209" s="37"/>
      <c r="S209" s="37"/>
      <c r="T209" s="37"/>
      <c r="U209" s="37"/>
    </row>
    <row r="210" spans="2:21" x14ac:dyDescent="0.25">
      <c r="B210" s="104"/>
      <c r="Q210" s="59"/>
      <c r="R210" s="37"/>
      <c r="S210" s="37"/>
      <c r="T210" s="37"/>
      <c r="U210" s="37"/>
    </row>
    <row r="211" spans="2:21" x14ac:dyDescent="0.25">
      <c r="B211" s="104"/>
      <c r="Q211" s="59"/>
      <c r="R211" s="37"/>
      <c r="S211" s="37"/>
      <c r="T211" s="37"/>
      <c r="U211" s="37"/>
    </row>
    <row r="212" spans="2:21" x14ac:dyDescent="0.25">
      <c r="B212" s="104"/>
      <c r="Q212" s="59"/>
      <c r="R212" s="37"/>
      <c r="S212" s="37"/>
      <c r="T212" s="37"/>
      <c r="U212" s="37"/>
    </row>
    <row r="213" spans="2:21" x14ac:dyDescent="0.25">
      <c r="B213" s="104"/>
      <c r="Q213" s="59"/>
      <c r="R213" s="37"/>
      <c r="S213" s="37"/>
      <c r="T213" s="37"/>
      <c r="U213" s="37"/>
    </row>
    <row r="214" spans="2:21" x14ac:dyDescent="0.25">
      <c r="B214" s="104"/>
      <c r="Q214" s="59"/>
      <c r="R214" s="37"/>
      <c r="S214" s="37"/>
      <c r="T214" s="37"/>
      <c r="U214" s="37"/>
    </row>
    <row r="215" spans="2:21" x14ac:dyDescent="0.25">
      <c r="B215" s="104"/>
      <c r="Q215" s="59"/>
      <c r="R215" s="37"/>
      <c r="S215" s="37"/>
      <c r="T215" s="37"/>
      <c r="U215" s="37"/>
    </row>
    <row r="216" spans="2:21" x14ac:dyDescent="0.25">
      <c r="B216" s="104"/>
      <c r="Q216" s="59"/>
      <c r="R216" s="37"/>
      <c r="S216" s="37"/>
      <c r="T216" s="37"/>
      <c r="U216" s="37"/>
    </row>
    <row r="217" spans="2:21" x14ac:dyDescent="0.25">
      <c r="B217" s="104"/>
      <c r="Q217" s="59"/>
      <c r="R217" s="37"/>
      <c r="S217" s="37"/>
      <c r="T217" s="37"/>
      <c r="U217" s="37"/>
    </row>
    <row r="218" spans="2:21" x14ac:dyDescent="0.25">
      <c r="B218" s="104"/>
      <c r="Q218" s="59"/>
      <c r="R218" s="37"/>
      <c r="S218" s="37"/>
      <c r="T218" s="37"/>
      <c r="U218" s="37"/>
    </row>
    <row r="219" spans="2:21" x14ac:dyDescent="0.25">
      <c r="B219" s="104"/>
      <c r="Q219" s="59"/>
      <c r="R219" s="37"/>
      <c r="S219" s="37"/>
      <c r="T219" s="37"/>
      <c r="U219" s="37"/>
    </row>
    <row r="220" spans="2:21" x14ac:dyDescent="0.25">
      <c r="B220" s="104"/>
      <c r="Q220" s="59"/>
      <c r="R220" s="37"/>
      <c r="S220" s="37"/>
      <c r="T220" s="37"/>
      <c r="U220" s="37"/>
    </row>
    <row r="221" spans="2:21" x14ac:dyDescent="0.25">
      <c r="B221" s="104"/>
      <c r="Q221" s="59"/>
      <c r="R221" s="37"/>
      <c r="S221" s="37"/>
      <c r="T221" s="37"/>
      <c r="U221" s="37"/>
    </row>
    <row r="222" spans="2:21" x14ac:dyDescent="0.25">
      <c r="B222" s="104"/>
      <c r="Q222" s="59"/>
      <c r="R222" s="37"/>
      <c r="S222" s="37"/>
      <c r="T222" s="37"/>
      <c r="U222" s="37"/>
    </row>
    <row r="223" spans="2:21" x14ac:dyDescent="0.25">
      <c r="B223" s="104"/>
      <c r="Q223" s="59"/>
      <c r="R223" s="37"/>
      <c r="S223" s="37"/>
      <c r="T223" s="37"/>
      <c r="U223" s="37"/>
    </row>
    <row r="224" spans="2:21" x14ac:dyDescent="0.25">
      <c r="B224" s="104"/>
      <c r="Q224" s="59"/>
      <c r="R224" s="37"/>
      <c r="S224" s="37"/>
      <c r="T224" s="37"/>
      <c r="U224" s="37"/>
    </row>
    <row r="225" spans="2:21" x14ac:dyDescent="0.25">
      <c r="B225" s="104"/>
      <c r="Q225" s="59"/>
      <c r="R225" s="37"/>
      <c r="S225" s="37"/>
      <c r="T225" s="37"/>
      <c r="U225" s="37"/>
    </row>
    <row r="226" spans="2:21" x14ac:dyDescent="0.25">
      <c r="Q226" s="59"/>
      <c r="R226" s="37"/>
      <c r="S226" s="37"/>
      <c r="T226" s="37"/>
      <c r="U226" s="37"/>
    </row>
    <row r="227" spans="2:21" x14ac:dyDescent="0.25">
      <c r="B227" s="132"/>
      <c r="Q227" s="59"/>
      <c r="R227" s="37"/>
      <c r="S227" s="37"/>
      <c r="T227" s="37"/>
      <c r="U227" s="37"/>
    </row>
    <row r="228" spans="2:21" x14ac:dyDescent="0.25">
      <c r="B228" s="132"/>
      <c r="Q228" s="59"/>
      <c r="R228" s="37"/>
      <c r="S228" s="37"/>
      <c r="T228" s="37"/>
      <c r="U228" s="37"/>
    </row>
    <row r="229" spans="2:21" x14ac:dyDescent="0.25">
      <c r="B229" s="132"/>
      <c r="Q229" s="59"/>
      <c r="R229" s="37"/>
      <c r="S229" s="37"/>
      <c r="T229" s="37"/>
      <c r="U229" s="37"/>
    </row>
    <row r="230" spans="2:21" x14ac:dyDescent="0.25">
      <c r="B230" s="132"/>
      <c r="Q230" s="59"/>
      <c r="R230" s="37"/>
      <c r="S230" s="37"/>
      <c r="T230" s="37"/>
      <c r="U230" s="37"/>
    </row>
    <row r="231" spans="2:21" x14ac:dyDescent="0.25">
      <c r="B231" s="132"/>
      <c r="Q231" s="59"/>
      <c r="R231" s="37"/>
      <c r="S231" s="37"/>
      <c r="T231" s="37"/>
      <c r="U231" s="37"/>
    </row>
    <row r="232" spans="2:21" x14ac:dyDescent="0.25">
      <c r="B232" s="132"/>
      <c r="Q232" s="59"/>
      <c r="R232" s="37"/>
      <c r="S232" s="37"/>
      <c r="T232" s="37"/>
      <c r="U232" s="37"/>
    </row>
    <row r="233" spans="2:21" x14ac:dyDescent="0.25">
      <c r="B233" s="132"/>
      <c r="Q233" s="59"/>
      <c r="R233" s="37"/>
      <c r="S233" s="37"/>
      <c r="T233" s="37"/>
      <c r="U233" s="37"/>
    </row>
    <row r="234" spans="2:21" x14ac:dyDescent="0.25">
      <c r="B234" s="132"/>
      <c r="Q234" s="59"/>
      <c r="R234" s="37"/>
      <c r="S234" s="37"/>
      <c r="T234" s="37"/>
      <c r="U234" s="37"/>
    </row>
    <row r="235" spans="2:21" x14ac:dyDescent="0.25">
      <c r="B235" s="132"/>
      <c r="Q235" s="59"/>
      <c r="R235" s="37"/>
      <c r="S235" s="37"/>
      <c r="T235" s="37"/>
      <c r="U235" s="37"/>
    </row>
    <row r="236" spans="2:21" x14ac:dyDescent="0.25">
      <c r="B236" s="132"/>
      <c r="Q236" s="59"/>
      <c r="R236" s="37"/>
      <c r="S236" s="37"/>
      <c r="T236" s="37"/>
      <c r="U236" s="37"/>
    </row>
    <row r="237" spans="2:21" x14ac:dyDescent="0.25">
      <c r="B237" s="132"/>
      <c r="Q237" s="59"/>
      <c r="R237" s="37"/>
      <c r="S237" s="37"/>
      <c r="T237" s="37"/>
      <c r="U237" s="37"/>
    </row>
    <row r="238" spans="2:21" x14ac:dyDescent="0.25">
      <c r="B238" s="132"/>
      <c r="Q238" s="59"/>
      <c r="R238" s="37"/>
      <c r="S238" s="37"/>
      <c r="T238" s="37"/>
      <c r="U238" s="37"/>
    </row>
    <row r="239" spans="2:21" x14ac:dyDescent="0.25">
      <c r="B239" s="132"/>
      <c r="Q239" s="59"/>
      <c r="R239" s="37"/>
      <c r="S239" s="37"/>
      <c r="T239" s="37"/>
      <c r="U239" s="37"/>
    </row>
    <row r="240" spans="2:21" x14ac:dyDescent="0.25">
      <c r="B240" s="132"/>
      <c r="Q240" s="59"/>
      <c r="R240" s="37"/>
      <c r="S240" s="37"/>
      <c r="T240" s="37"/>
      <c r="U240" s="37"/>
    </row>
    <row r="241" spans="2:21" x14ac:dyDescent="0.25">
      <c r="B241" s="132"/>
      <c r="Q241" s="59"/>
      <c r="R241" s="37"/>
      <c r="S241" s="37"/>
      <c r="T241" s="37"/>
      <c r="U241" s="37"/>
    </row>
    <row r="242" spans="2:21" x14ac:dyDescent="0.25">
      <c r="B242" s="132"/>
      <c r="Q242" s="59"/>
      <c r="R242" s="37"/>
      <c r="S242" s="37"/>
      <c r="T242" s="37"/>
      <c r="U242" s="37"/>
    </row>
    <row r="243" spans="2:21" x14ac:dyDescent="0.25">
      <c r="B243" s="132"/>
      <c r="Q243" s="59"/>
      <c r="R243" s="37"/>
      <c r="S243" s="37"/>
      <c r="T243" s="37"/>
      <c r="U243" s="37"/>
    </row>
    <row r="244" spans="2:21" x14ac:dyDescent="0.25">
      <c r="B244" s="132"/>
      <c r="Q244" s="59"/>
      <c r="R244" s="37"/>
      <c r="S244" s="37"/>
      <c r="T244" s="37"/>
      <c r="U244" s="37"/>
    </row>
    <row r="245" spans="2:21" x14ac:dyDescent="0.25">
      <c r="B245" s="132"/>
      <c r="Q245" s="59"/>
      <c r="R245" s="37"/>
      <c r="S245" s="37"/>
      <c r="T245" s="37"/>
      <c r="U245" s="37"/>
    </row>
    <row r="246" spans="2:21" x14ac:dyDescent="0.25">
      <c r="B246" s="132"/>
      <c r="Q246" s="59"/>
      <c r="R246" s="37"/>
      <c r="S246" s="37"/>
      <c r="T246" s="37"/>
      <c r="U246" s="37"/>
    </row>
    <row r="247" spans="2:21" x14ac:dyDescent="0.25">
      <c r="B247" s="132"/>
      <c r="Q247" s="59"/>
      <c r="R247" s="37"/>
      <c r="S247" s="37"/>
      <c r="T247" s="37"/>
      <c r="U247" s="37"/>
    </row>
    <row r="248" spans="2:21" x14ac:dyDescent="0.25">
      <c r="B248" s="132"/>
      <c r="Q248" s="59"/>
      <c r="R248" s="37"/>
      <c r="S248" s="37"/>
      <c r="T248" s="37"/>
      <c r="U248" s="37"/>
    </row>
    <row r="249" spans="2:21" x14ac:dyDescent="0.25">
      <c r="B249" s="132"/>
      <c r="Q249" s="59"/>
      <c r="R249" s="37"/>
      <c r="S249" s="37"/>
      <c r="T249" s="37"/>
      <c r="U249" s="37"/>
    </row>
    <row r="250" spans="2:21" x14ac:dyDescent="0.25">
      <c r="B250" s="132"/>
      <c r="Q250" s="59"/>
      <c r="R250" s="37"/>
      <c r="S250" s="37"/>
      <c r="T250" s="37"/>
      <c r="U250" s="37"/>
    </row>
    <row r="251" spans="2:21" x14ac:dyDescent="0.25">
      <c r="B251" s="132"/>
      <c r="Q251" s="59"/>
      <c r="R251" s="37"/>
      <c r="S251" s="37"/>
      <c r="T251" s="37"/>
      <c r="U251" s="37"/>
    </row>
    <row r="252" spans="2:21" x14ac:dyDescent="0.25">
      <c r="B252" s="132"/>
      <c r="Q252" s="59"/>
      <c r="R252" s="37"/>
      <c r="S252" s="37"/>
      <c r="T252" s="37"/>
      <c r="U252" s="37"/>
    </row>
    <row r="253" spans="2:21" x14ac:dyDescent="0.25">
      <c r="B253" s="132"/>
      <c r="Q253" s="59"/>
      <c r="R253" s="37"/>
      <c r="S253" s="37"/>
      <c r="T253" s="37"/>
      <c r="U253" s="37"/>
    </row>
    <row r="254" spans="2:21" x14ac:dyDescent="0.25">
      <c r="B254" s="132"/>
      <c r="Q254" s="59"/>
      <c r="R254" s="37"/>
      <c r="S254" s="37"/>
      <c r="T254" s="37"/>
      <c r="U254" s="37"/>
    </row>
    <row r="255" spans="2:21" x14ac:dyDescent="0.25">
      <c r="B255" s="132"/>
      <c r="Q255" s="59"/>
      <c r="R255" s="37"/>
      <c r="S255" s="37"/>
      <c r="T255" s="37"/>
      <c r="U255" s="37"/>
    </row>
    <row r="256" spans="2:21" x14ac:dyDescent="0.25">
      <c r="B256" s="132"/>
      <c r="Q256" s="59"/>
      <c r="R256" s="37"/>
      <c r="S256" s="37"/>
      <c r="T256" s="37"/>
      <c r="U256" s="37"/>
    </row>
    <row r="257" spans="2:21" x14ac:dyDescent="0.25">
      <c r="B257" s="132"/>
      <c r="Q257" s="59"/>
      <c r="R257" s="37"/>
      <c r="S257" s="37"/>
      <c r="T257" s="37"/>
      <c r="U257" s="37"/>
    </row>
    <row r="258" spans="2:21" x14ac:dyDescent="0.25">
      <c r="B258" s="132"/>
      <c r="Q258" s="59"/>
      <c r="R258" s="37"/>
      <c r="S258" s="37"/>
      <c r="T258" s="37"/>
      <c r="U258" s="37"/>
    </row>
    <row r="259" spans="2:21" x14ac:dyDescent="0.25">
      <c r="Q259" s="59"/>
      <c r="R259" s="37"/>
      <c r="S259" s="37"/>
      <c r="T259" s="37"/>
      <c r="U259" s="37"/>
    </row>
    <row r="260" spans="2:21" x14ac:dyDescent="0.25">
      <c r="B260" s="132"/>
      <c r="Q260" s="59"/>
      <c r="R260" s="37"/>
      <c r="S260" s="37"/>
      <c r="T260" s="37"/>
      <c r="U260" s="37"/>
    </row>
    <row r="261" spans="2:21" x14ac:dyDescent="0.25">
      <c r="B261" s="132"/>
      <c r="Q261" s="59"/>
      <c r="R261" s="37"/>
      <c r="S261" s="37"/>
      <c r="T261" s="37"/>
      <c r="U261" s="37"/>
    </row>
    <row r="262" spans="2:21" x14ac:dyDescent="0.25">
      <c r="B262" s="132"/>
      <c r="Q262" s="59"/>
      <c r="R262" s="37"/>
      <c r="S262" s="37"/>
      <c r="T262" s="37"/>
      <c r="U262" s="37"/>
    </row>
    <row r="263" spans="2:21" x14ac:dyDescent="0.25">
      <c r="B263" s="132"/>
      <c r="Q263" s="59"/>
      <c r="R263" s="37"/>
      <c r="S263" s="37"/>
      <c r="T263" s="37"/>
      <c r="U263" s="37"/>
    </row>
    <row r="264" spans="2:21" x14ac:dyDescent="0.25">
      <c r="B264" s="132"/>
      <c r="Q264" s="59"/>
      <c r="R264" s="37"/>
      <c r="S264" s="37"/>
      <c r="T264" s="37"/>
      <c r="U264" s="37"/>
    </row>
    <row r="265" spans="2:21" x14ac:dyDescent="0.25">
      <c r="B265" s="132"/>
      <c r="Q265" s="59"/>
      <c r="R265" s="37"/>
      <c r="S265" s="37"/>
      <c r="T265" s="37"/>
      <c r="U265" s="37"/>
    </row>
    <row r="266" spans="2:21" x14ac:dyDescent="0.25">
      <c r="B266" s="132"/>
      <c r="Q266" s="59"/>
      <c r="R266" s="37"/>
      <c r="S266" s="37"/>
      <c r="T266" s="37"/>
      <c r="U266" s="37"/>
    </row>
    <row r="267" spans="2:21" x14ac:dyDescent="0.25">
      <c r="B267" s="132"/>
      <c r="Q267" s="59"/>
      <c r="R267" s="37"/>
      <c r="S267" s="37"/>
      <c r="T267" s="37"/>
      <c r="U267" s="37"/>
    </row>
    <row r="268" spans="2:21" x14ac:dyDescent="0.25">
      <c r="B268" s="132"/>
      <c r="Q268" s="59"/>
      <c r="R268" s="37"/>
      <c r="S268" s="37"/>
      <c r="T268" s="37"/>
      <c r="U268" s="37"/>
    </row>
    <row r="269" spans="2:21" x14ac:dyDescent="0.25">
      <c r="B269" s="132"/>
      <c r="Q269" s="59"/>
      <c r="R269" s="37"/>
      <c r="S269" s="37"/>
      <c r="T269" s="37"/>
      <c r="U269" s="37"/>
    </row>
    <row r="270" spans="2:21" x14ac:dyDescent="0.25">
      <c r="B270" s="132"/>
      <c r="Q270" s="59"/>
      <c r="R270" s="37"/>
      <c r="S270" s="37"/>
      <c r="T270" s="37"/>
      <c r="U270" s="37"/>
    </row>
    <row r="271" spans="2:21" x14ac:dyDescent="0.25">
      <c r="B271" s="132"/>
      <c r="Q271" s="59"/>
      <c r="R271" s="37"/>
      <c r="S271" s="37"/>
      <c r="T271" s="37"/>
      <c r="U271" s="37"/>
    </row>
    <row r="272" spans="2:21" x14ac:dyDescent="0.25">
      <c r="B272" s="132"/>
      <c r="Q272" s="59"/>
      <c r="R272" s="37"/>
      <c r="S272" s="37"/>
      <c r="T272" s="37"/>
      <c r="U272" s="37"/>
    </row>
    <row r="273" spans="2:21" x14ac:dyDescent="0.25">
      <c r="B273" s="132"/>
      <c r="Q273" s="59"/>
      <c r="R273" s="37"/>
      <c r="S273" s="37"/>
      <c r="T273" s="37"/>
      <c r="U273" s="37"/>
    </row>
    <row r="274" spans="2:21" x14ac:dyDescent="0.25">
      <c r="B274" s="132"/>
      <c r="Q274" s="59"/>
      <c r="R274" s="37"/>
      <c r="S274" s="37"/>
      <c r="T274" s="37"/>
      <c r="U274" s="37"/>
    </row>
    <row r="275" spans="2:21" x14ac:dyDescent="0.25">
      <c r="B275" s="132"/>
      <c r="Q275" s="59"/>
      <c r="R275" s="37"/>
      <c r="S275" s="37"/>
      <c r="T275" s="37"/>
      <c r="U275" s="37"/>
    </row>
    <row r="276" spans="2:21" x14ac:dyDescent="0.25">
      <c r="B276" s="132"/>
      <c r="Q276" s="59"/>
      <c r="R276" s="37"/>
      <c r="S276" s="37"/>
      <c r="T276" s="37"/>
      <c r="U276" s="37"/>
    </row>
    <row r="277" spans="2:21" x14ac:dyDescent="0.25">
      <c r="B277" s="132"/>
      <c r="Q277" s="59"/>
      <c r="R277" s="37"/>
      <c r="S277" s="37"/>
      <c r="T277" s="37"/>
      <c r="U277" s="37"/>
    </row>
    <row r="278" spans="2:21" x14ac:dyDescent="0.25">
      <c r="B278" s="132"/>
      <c r="Q278" s="59"/>
      <c r="R278" s="37"/>
      <c r="S278" s="37"/>
      <c r="T278" s="37"/>
      <c r="U278" s="37"/>
    </row>
    <row r="279" spans="2:21" x14ac:dyDescent="0.25">
      <c r="Q279" s="59"/>
      <c r="R279" s="37"/>
      <c r="S279" s="37"/>
      <c r="T279" s="37"/>
      <c r="U279" s="37"/>
    </row>
    <row r="280" spans="2:21" x14ac:dyDescent="0.25">
      <c r="Q280" s="59"/>
      <c r="R280" s="37"/>
      <c r="S280" s="37"/>
      <c r="T280" s="37"/>
      <c r="U280" s="37"/>
    </row>
    <row r="281" spans="2:21" x14ac:dyDescent="0.25">
      <c r="B281" s="132"/>
      <c r="Q281" s="59"/>
      <c r="R281" s="37"/>
      <c r="S281" s="37"/>
      <c r="T281" s="37"/>
      <c r="U281" s="37"/>
    </row>
    <row r="282" spans="2:21" x14ac:dyDescent="0.25">
      <c r="B282" s="132"/>
      <c r="Q282" s="59"/>
      <c r="R282" s="37"/>
      <c r="S282" s="37"/>
      <c r="T282" s="37"/>
      <c r="U282" s="37"/>
    </row>
    <row r="283" spans="2:21" x14ac:dyDescent="0.25">
      <c r="B283" s="132"/>
      <c r="Q283" s="59"/>
      <c r="R283" s="37"/>
      <c r="S283" s="37"/>
      <c r="T283" s="37"/>
      <c r="U283" s="37"/>
    </row>
    <row r="284" spans="2:21" x14ac:dyDescent="0.25">
      <c r="B284" s="132"/>
      <c r="Q284" s="59"/>
      <c r="R284" s="37"/>
      <c r="S284" s="37"/>
      <c r="T284" s="37"/>
      <c r="U284" s="37"/>
    </row>
    <row r="285" spans="2:21" x14ac:dyDescent="0.25">
      <c r="B285" s="132"/>
      <c r="Q285" s="59"/>
      <c r="R285" s="37"/>
      <c r="S285" s="37"/>
      <c r="T285" s="37"/>
      <c r="U285" s="37"/>
    </row>
    <row r="286" spans="2:21" x14ac:dyDescent="0.25">
      <c r="B286" s="132"/>
      <c r="Q286" s="59"/>
      <c r="R286" s="37"/>
      <c r="S286" s="37"/>
      <c r="T286" s="37"/>
      <c r="U286" s="37"/>
    </row>
    <row r="287" spans="2:21" x14ac:dyDescent="0.25">
      <c r="B287" s="132"/>
      <c r="Q287" s="59"/>
      <c r="R287" s="37"/>
      <c r="S287" s="37"/>
      <c r="T287" s="37"/>
      <c r="U287" s="37"/>
    </row>
    <row r="288" spans="2:21" x14ac:dyDescent="0.25">
      <c r="Q288" s="59"/>
      <c r="R288" s="37"/>
      <c r="S288" s="37"/>
      <c r="T288" s="37"/>
      <c r="U288" s="37"/>
    </row>
    <row r="289" spans="2:21" x14ac:dyDescent="0.25">
      <c r="Q289" s="59"/>
      <c r="R289" s="37"/>
      <c r="S289" s="37"/>
      <c r="T289" s="37"/>
      <c r="U289" s="37"/>
    </row>
    <row r="290" spans="2:21" x14ac:dyDescent="0.25">
      <c r="B290" s="132"/>
      <c r="Q290" s="59"/>
      <c r="R290" s="37"/>
      <c r="S290" s="37"/>
      <c r="T290" s="37"/>
      <c r="U290" s="37"/>
    </row>
    <row r="291" spans="2:21" x14ac:dyDescent="0.25">
      <c r="B291" s="132"/>
      <c r="Q291" s="59"/>
      <c r="R291" s="37"/>
      <c r="S291" s="37"/>
      <c r="T291" s="37"/>
      <c r="U291" s="37"/>
    </row>
    <row r="292" spans="2:21" x14ac:dyDescent="0.25">
      <c r="B292" s="132"/>
      <c r="Q292" s="59"/>
      <c r="R292" s="37"/>
      <c r="S292" s="37"/>
      <c r="T292" s="37"/>
      <c r="U292" s="37"/>
    </row>
    <row r="293" spans="2:21" x14ac:dyDescent="0.25">
      <c r="B293" s="132"/>
      <c r="Q293" s="59"/>
      <c r="R293" s="37"/>
      <c r="S293" s="37"/>
      <c r="T293" s="37"/>
      <c r="U293" s="37"/>
    </row>
    <row r="294" spans="2:21" x14ac:dyDescent="0.25">
      <c r="B294" s="132"/>
      <c r="Q294" s="59"/>
      <c r="R294" s="37"/>
      <c r="S294" s="37"/>
      <c r="T294" s="37"/>
      <c r="U294" s="37"/>
    </row>
    <row r="295" spans="2:21" x14ac:dyDescent="0.25">
      <c r="B295" s="132"/>
      <c r="Q295" s="59"/>
      <c r="R295" s="37"/>
      <c r="S295" s="37"/>
      <c r="T295" s="37"/>
      <c r="U295" s="37"/>
    </row>
    <row r="296" spans="2:21" x14ac:dyDescent="0.25">
      <c r="B296" s="132"/>
      <c r="Q296" s="59"/>
      <c r="R296" s="37"/>
      <c r="S296" s="37"/>
      <c r="T296" s="37"/>
      <c r="U296" s="37"/>
    </row>
    <row r="297" spans="2:21" x14ac:dyDescent="0.25">
      <c r="B297" s="132"/>
      <c r="Q297" s="59"/>
    </row>
    <row r="298" spans="2:21" x14ac:dyDescent="0.25">
      <c r="B298" s="132"/>
      <c r="Q298" s="59"/>
    </row>
    <row r="299" spans="2:21" x14ac:dyDescent="0.25">
      <c r="B299" s="132"/>
      <c r="Q299" s="59"/>
    </row>
    <row r="300" spans="2:21" x14ac:dyDescent="0.25">
      <c r="B300" s="132"/>
      <c r="Q300" s="59"/>
    </row>
    <row r="301" spans="2:21" x14ac:dyDescent="0.25">
      <c r="Q301" s="59"/>
    </row>
    <row r="302" spans="2:21" x14ac:dyDescent="0.25">
      <c r="Q302" s="59"/>
    </row>
    <row r="303" spans="2:21" x14ac:dyDescent="0.25">
      <c r="B303" s="132"/>
      <c r="Q303" s="59"/>
    </row>
    <row r="304" spans="2:21" x14ac:dyDescent="0.25">
      <c r="B304" s="132"/>
    </row>
    <row r="305" spans="2:2" x14ac:dyDescent="0.25">
      <c r="B305" s="132"/>
    </row>
    <row r="306" spans="2:2" x14ac:dyDescent="0.25">
      <c r="B306" s="132"/>
    </row>
    <row r="307" spans="2:2" x14ac:dyDescent="0.25">
      <c r="B307" s="132"/>
    </row>
    <row r="308" spans="2:2" x14ac:dyDescent="0.25">
      <c r="B308" s="132"/>
    </row>
    <row r="309" spans="2:2" x14ac:dyDescent="0.25">
      <c r="B309" s="132"/>
    </row>
    <row r="312" spans="2:2" x14ac:dyDescent="0.25">
      <c r="B312" s="132"/>
    </row>
    <row r="313" spans="2:2" x14ac:dyDescent="0.25">
      <c r="B313" s="132"/>
    </row>
    <row r="314" spans="2:2" x14ac:dyDescent="0.25">
      <c r="B314" s="132"/>
    </row>
    <row r="315" spans="2:2" x14ac:dyDescent="0.25">
      <c r="B315" s="132"/>
    </row>
    <row r="316" spans="2:2" x14ac:dyDescent="0.25">
      <c r="B316" s="132"/>
    </row>
    <row r="317" spans="2:2" x14ac:dyDescent="0.25">
      <c r="B317" s="132"/>
    </row>
    <row r="318" spans="2:2" x14ac:dyDescent="0.25">
      <c r="B318" s="132"/>
    </row>
    <row r="319" spans="2:2" x14ac:dyDescent="0.25">
      <c r="B319" s="130"/>
    </row>
    <row r="320" spans="2:2" x14ac:dyDescent="0.25">
      <c r="B320" s="130"/>
    </row>
    <row r="321" spans="2:2" x14ac:dyDescent="0.25">
      <c r="B321" s="130"/>
    </row>
    <row r="322" spans="2:2" x14ac:dyDescent="0.25">
      <c r="B322" s="130"/>
    </row>
    <row r="323" spans="2:2" x14ac:dyDescent="0.25">
      <c r="B323" s="130"/>
    </row>
    <row r="324" spans="2:2" x14ac:dyDescent="0.25">
      <c r="B324" s="130"/>
    </row>
    <row r="325" spans="2:2" x14ac:dyDescent="0.25">
      <c r="B325" s="130"/>
    </row>
    <row r="326" spans="2:2" x14ac:dyDescent="0.25">
      <c r="B326" s="130"/>
    </row>
    <row r="327" spans="2:2" x14ac:dyDescent="0.25">
      <c r="B327" s="130"/>
    </row>
    <row r="328" spans="2:2" x14ac:dyDescent="0.25">
      <c r="B328" s="130"/>
    </row>
    <row r="329" spans="2:2" x14ac:dyDescent="0.25">
      <c r="B329" s="130"/>
    </row>
    <row r="330" spans="2:2" x14ac:dyDescent="0.25">
      <c r="B330" s="130"/>
    </row>
    <row r="331" spans="2:2" x14ac:dyDescent="0.25">
      <c r="B331" s="133"/>
    </row>
    <row r="332" spans="2:2" ht="13.8" thickBot="1" x14ac:dyDescent="0.3">
      <c r="B332" s="133"/>
    </row>
    <row r="333" spans="2:2" ht="13.8" thickBot="1" x14ac:dyDescent="0.3">
      <c r="B333" s="134"/>
    </row>
    <row r="336" spans="2:2" x14ac:dyDescent="0.25">
      <c r="B336" s="135"/>
    </row>
    <row r="337" spans="2:2" x14ac:dyDescent="0.25">
      <c r="B337" s="136"/>
    </row>
    <row r="343" spans="2:2" x14ac:dyDescent="0.25">
      <c r="B343" s="135"/>
    </row>
    <row r="345" spans="2:2" x14ac:dyDescent="0.25">
      <c r="B345" s="135"/>
    </row>
    <row r="361" spans="2:2" x14ac:dyDescent="0.25">
      <c r="B361" s="135"/>
    </row>
    <row r="370" spans="2:2" x14ac:dyDescent="0.25">
      <c r="B370" s="135"/>
    </row>
  </sheetData>
  <mergeCells count="10">
    <mergeCell ref="O8:P8"/>
    <mergeCell ref="Q8:Q9"/>
    <mergeCell ref="A1:M1"/>
    <mergeCell ref="A8:A9"/>
    <mergeCell ref="C8:C9"/>
    <mergeCell ref="D8:D9"/>
    <mergeCell ref="F8:G8"/>
    <mergeCell ref="K8:K9"/>
    <mergeCell ref="L8:L9"/>
    <mergeCell ref="M8:N8"/>
  </mergeCells>
  <pageMargins left="0.75" right="0.75" top="1" bottom="1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5" r:id="rId4" name="btnGenerate">
          <controlPr defaultSize="0" autoLine="0" r:id="rId5">
            <anchor moveWithCells="1" sizeWithCells="1">
              <from>
                <xdr:col>5</xdr:col>
                <xdr:colOff>45720</xdr:colOff>
                <xdr:row>2</xdr:row>
                <xdr:rowOff>99060</xdr:rowOff>
              </from>
              <to>
                <xdr:col>7</xdr:col>
                <xdr:colOff>548640</xdr:colOff>
                <xdr:row>4</xdr:row>
                <xdr:rowOff>7620</xdr:rowOff>
              </to>
            </anchor>
          </controlPr>
        </control>
      </mc:Choice>
      <mc:Fallback>
        <control shapeId="1035" r:id="rId4" name="btnGener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</vt:lpstr>
      <vt:lpstr>TA_RG600</vt:lpstr>
    </vt:vector>
  </TitlesOfParts>
  <Company>AGCO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Dumont, Robert</cp:lastModifiedBy>
  <dcterms:created xsi:type="dcterms:W3CDTF">2016-04-19T15:57:49Z</dcterms:created>
  <dcterms:modified xsi:type="dcterms:W3CDTF">2020-10-12T20:42:46Z</dcterms:modified>
</cp:coreProperties>
</file>